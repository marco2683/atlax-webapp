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defaultThemeVersion="124226"/>
  <mc:AlternateContent xmlns:mc="http://schemas.openxmlformats.org/markup-compatibility/2006">
    <mc:Choice Requires="x15">
      <x15ac:absPath xmlns:x15ac="http://schemas.microsoft.com/office/spreadsheetml/2010/11/ac" url="C:\Users\sebas\OneDrive\Desktop\"/>
    </mc:Choice>
  </mc:AlternateContent>
  <xr:revisionPtr revIDLastSave="0" documentId="13_ncr:1_{6D8B6AD8-B62F-4CFF-9190-6F8A2C768724}" xr6:coauthVersionLast="47" xr6:coauthVersionMax="47" xr10:uidLastSave="{00000000-0000-0000-0000-000000000000}"/>
  <bookViews>
    <workbookView xWindow="-98" yWindow="-98" windowWidth="28996" windowHeight="17475" tabRatio="428" firstSheet="2" activeTab="2" xr2:uid="{00000000-000D-0000-FFFF-FFFF00000000}"/>
  </bookViews>
  <sheets>
    <sheet name="Revision History" sheetId="8" state="hidden" r:id="rId1"/>
    <sheet name="Search Tool" sheetId="14" state="hidden" r:id="rId2"/>
    <sheet name="Register" sheetId="6" r:id="rId3"/>
    <sheet name="Sheet2 (2)" sheetId="12" state="hidden" r:id="rId4"/>
    <sheet name="Projects" sheetId="11" state="hidden" r:id="rId5"/>
    <sheet name="$$$ Spread" sheetId="10" state="hidden" r:id="rId6"/>
    <sheet name="Malaysia Expl." sheetId="16" r:id="rId7"/>
    <sheet name="Thailand Expl." sheetId="17" state="hidden" r:id="rId8"/>
    <sheet name="TAGS" sheetId="13" state="hidden" r:id="rId9"/>
  </sheets>
  <externalReferences>
    <externalReference r:id="rId10"/>
    <externalReference r:id="rId11"/>
    <externalReference r:id="rId12"/>
  </externalReferences>
  <definedNames>
    <definedName name="_xlnm._FilterDatabase" localSheetId="2" hidden="1">Register!$A$3:$L$1202</definedName>
    <definedName name="_xlnm._FilterDatabase" localSheetId="8" hidden="1">TAGS!$J$4:$J$1360</definedName>
    <definedName name="_xlnm.Print_Area" localSheetId="2">Register!$B$4:$L$738</definedName>
    <definedName name="_xlnm.Print_Area" localSheetId="0">'Revision History'!$A$2:$F$24</definedName>
    <definedName name="_xlnm.Print_Titles" localSheetId="2">Register!$3:$3</definedName>
    <definedName name="Range_0" localSheetId="3">'[1]Picklists values'!$A$2:$A$7</definedName>
    <definedName name="Range_0">'[2]Picklists values'!$A$2:$A$7</definedName>
    <definedName name="Range_1" localSheetId="3">'[1]Picklists values'!$B$2:$B$9</definedName>
    <definedName name="Range_1">'[2]Picklists values'!$B$2:$B$9</definedName>
    <definedName name="Range_2" localSheetId="3">'[1]Picklists values'!$C$2:$C$5</definedName>
    <definedName name="Range_2">'[2]Picklists values'!$C$2:$C$5</definedName>
    <definedName name="Slicer_Product_Lifecycle">#N/A</definedName>
    <definedName name="Slicer_Program">#N/A</definedName>
  </definedNames>
  <calcPr calcId="191028"/>
  <pivotCaches>
    <pivotCache cacheId="0" r:id="rId13"/>
  </pivotCaches>
  <fileRecoveryPr autoRecover="0"/>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3" i="6" l="1"/>
  <c r="G299" i="6"/>
  <c r="G995" i="6"/>
  <c r="G4" i="6"/>
  <c r="G5" i="6"/>
  <c r="G6" i="6"/>
  <c r="G14" i="6"/>
  <c r="G15" i="6"/>
  <c r="G20" i="6"/>
  <c r="G22" i="6"/>
  <c r="G31" i="6"/>
  <c r="G1182" i="6"/>
  <c r="G1183" i="6"/>
  <c r="G1184" i="6"/>
  <c r="G1185" i="6"/>
  <c r="G1177" i="6"/>
  <c r="G23" i="6"/>
  <c r="G24" i="6"/>
  <c r="G25" i="6"/>
  <c r="G26" i="6"/>
  <c r="G32" i="6"/>
  <c r="G33" i="6"/>
  <c r="G34" i="6"/>
  <c r="G35" i="6"/>
  <c r="G36" i="6"/>
  <c r="G37" i="6"/>
  <c r="G38" i="6"/>
  <c r="G39" i="6"/>
  <c r="G40" i="6"/>
  <c r="G41" i="6"/>
  <c r="G42" i="6"/>
  <c r="G43" i="6"/>
  <c r="G21" i="6"/>
  <c r="G27" i="6"/>
  <c r="G29" i="6"/>
  <c r="G28" i="6"/>
  <c r="G30" i="6"/>
  <c r="G57" i="6"/>
  <c r="G44" i="6"/>
  <c r="G45" i="6"/>
  <c r="G60" i="6"/>
  <c r="G46" i="6"/>
  <c r="G47" i="6"/>
  <c r="G366" i="6"/>
  <c r="G48" i="6"/>
  <c r="G49" i="6"/>
  <c r="G61" i="6"/>
  <c r="G50" i="6"/>
  <c r="G51" i="6"/>
  <c r="G52" i="6"/>
  <c r="G53" i="6"/>
  <c r="G369" i="6"/>
  <c r="G54" i="6"/>
  <c r="G367" i="6"/>
  <c r="G368" i="6"/>
  <c r="G370" i="6"/>
  <c r="G55" i="6"/>
  <c r="G56" i="6"/>
  <c r="G62" i="6"/>
  <c r="G63" i="6"/>
  <c r="G58" i="6"/>
  <c r="G64" i="6"/>
  <c r="G353" i="6"/>
  <c r="G700" i="6"/>
  <c r="G65" i="6"/>
  <c r="G67" i="6"/>
  <c r="G66" i="6"/>
  <c r="G68" i="6"/>
  <c r="G69" i="6"/>
  <c r="G70" i="6"/>
  <c r="G71" i="6"/>
  <c r="G72" i="6"/>
  <c r="G73" i="6"/>
  <c r="G76" i="6"/>
  <c r="G74" i="6"/>
  <c r="G77" i="6"/>
  <c r="G79" i="6"/>
  <c r="G80" i="6"/>
  <c r="G81" i="6"/>
  <c r="G78" i="6"/>
  <c r="G371" i="6"/>
  <c r="G82" i="6"/>
  <c r="G83" i="6"/>
  <c r="G84" i="6"/>
  <c r="G85" i="6"/>
  <c r="G87" i="6"/>
  <c r="G88" i="6"/>
  <c r="G10" i="6"/>
  <c r="G889" i="6"/>
  <c r="G896" i="6"/>
  <c r="G701" i="6"/>
  <c r="G124" i="6"/>
  <c r="G583" i="6"/>
  <c r="G911" i="6"/>
  <c r="G238" i="6"/>
  <c r="G89" i="6"/>
  <c r="G750" i="6"/>
  <c r="G759" i="6"/>
  <c r="G92" i="6"/>
  <c r="G93" i="6"/>
  <c r="G94" i="6"/>
  <c r="G95" i="6"/>
  <c r="G104" i="6"/>
  <c r="G105" i="6"/>
  <c r="G106" i="6"/>
  <c r="G96" i="6"/>
  <c r="G97" i="6"/>
  <c r="G98" i="6"/>
  <c r="G107" i="6"/>
  <c r="G108" i="6"/>
  <c r="G109" i="6"/>
  <c r="G99" i="6"/>
  <c r="G100" i="6"/>
  <c r="G110" i="6"/>
  <c r="G101" i="6"/>
  <c r="G111" i="6"/>
  <c r="G102" i="6"/>
  <c r="G112" i="6"/>
  <c r="G113" i="6"/>
  <c r="G114" i="6"/>
  <c r="G115" i="6"/>
  <c r="G116" i="6"/>
  <c r="G117" i="6"/>
  <c r="G103" i="6"/>
  <c r="G118" i="6"/>
  <c r="G119" i="6"/>
  <c r="G120" i="6"/>
  <c r="G699" i="6"/>
  <c r="G702" i="6"/>
  <c r="G122" i="6"/>
  <c r="G9" i="6"/>
  <c r="G12" i="6"/>
  <c r="G123" i="6"/>
  <c r="G121" i="6"/>
  <c r="G18" i="6"/>
  <c r="G125" i="6"/>
  <c r="G328" i="6"/>
  <c r="G318" i="6"/>
  <c r="G319" i="6"/>
  <c r="G320" i="6"/>
  <c r="G322" i="6"/>
  <c r="G324" i="6"/>
  <c r="G126" i="6"/>
  <c r="G130" i="6"/>
  <c r="G127" i="6"/>
  <c r="G129" i="6"/>
  <c r="G131" i="6"/>
  <c r="G132" i="6"/>
  <c r="G133" i="6"/>
  <c r="G134" i="6"/>
  <c r="G136" i="6"/>
  <c r="G135" i="6"/>
  <c r="G193" i="6"/>
  <c r="G216" i="6"/>
  <c r="G231" i="6"/>
  <c r="G865" i="6"/>
  <c r="G217" i="6"/>
  <c r="G218" i="6"/>
  <c r="G219" i="6"/>
  <c r="G220" i="6"/>
  <c r="G221" i="6"/>
  <c r="G222" i="6"/>
  <c r="G866" i="6"/>
  <c r="G867" i="6"/>
  <c r="G223" i="6"/>
  <c r="G232" i="6"/>
  <c r="G233" i="6"/>
  <c r="G234" i="6"/>
  <c r="G235" i="6"/>
  <c r="G224" i="6"/>
  <c r="G236" i="6"/>
  <c r="G225" i="6"/>
  <c r="G868" i="6"/>
  <c r="G237" i="6"/>
  <c r="G226" i="6"/>
  <c r="G227" i="6"/>
  <c r="G228" i="6"/>
  <c r="G229" i="6"/>
  <c r="G230" i="6"/>
  <c r="G59" i="6"/>
  <c r="G137" i="6"/>
  <c r="G143" i="6"/>
  <c r="G144" i="6"/>
  <c r="G145" i="6"/>
  <c r="G138" i="6"/>
  <c r="G139" i="6"/>
  <c r="G140" i="6"/>
  <c r="G146" i="6"/>
  <c r="G141" i="6"/>
  <c r="G147" i="6"/>
  <c r="G148" i="6"/>
  <c r="G149" i="6"/>
  <c r="G150" i="6"/>
  <c r="G142" i="6"/>
  <c r="G151" i="6"/>
  <c r="G154" i="6"/>
  <c r="G157" i="6"/>
  <c r="G152" i="6"/>
  <c r="G160" i="6"/>
  <c r="G161" i="6"/>
  <c r="G153" i="6"/>
  <c r="G162" i="6"/>
  <c r="G155" i="6"/>
  <c r="G156" i="6"/>
  <c r="G158" i="6"/>
  <c r="G159" i="6"/>
  <c r="G163" i="6"/>
  <c r="G164" i="6"/>
  <c r="G165" i="6"/>
  <c r="G166" i="6"/>
  <c r="G167" i="6"/>
  <c r="G168" i="6"/>
  <c r="G169" i="6"/>
  <c r="G171" i="6"/>
  <c r="G170" i="6"/>
  <c r="G182" i="6"/>
  <c r="G172" i="6"/>
  <c r="G179" i="6"/>
  <c r="G173" i="6"/>
  <c r="G183" i="6"/>
  <c r="G184" i="6"/>
  <c r="G185" i="6"/>
  <c r="G174" i="6"/>
  <c r="G175" i="6"/>
  <c r="G176" i="6"/>
  <c r="G177" i="6"/>
  <c r="G186" i="6"/>
  <c r="G178" i="6"/>
  <c r="G180" i="6"/>
  <c r="G181" i="6"/>
  <c r="G187" i="6"/>
  <c r="G188" i="6"/>
  <c r="G190" i="6"/>
  <c r="G189" i="6"/>
  <c r="G192" i="6"/>
  <c r="G191" i="6"/>
  <c r="G208" i="6"/>
  <c r="G194" i="6"/>
  <c r="G195" i="6"/>
  <c r="G211" i="6"/>
  <c r="G196" i="6"/>
  <c r="G197" i="6"/>
  <c r="G198" i="6"/>
  <c r="G209" i="6"/>
  <c r="G199" i="6"/>
  <c r="G212" i="6"/>
  <c r="G200" i="6"/>
  <c r="G201" i="6"/>
  <c r="G202" i="6"/>
  <c r="G210" i="6"/>
  <c r="G203" i="6"/>
  <c r="G213" i="6"/>
  <c r="G204" i="6"/>
  <c r="G205" i="6"/>
  <c r="G206" i="6"/>
  <c r="G207" i="6"/>
  <c r="G214" i="6"/>
  <c r="G215" i="6"/>
  <c r="G239" i="6"/>
  <c r="G240" i="6"/>
  <c r="G241" i="6"/>
  <c r="G242" i="6"/>
  <c r="G243" i="6"/>
  <c r="G244" i="6"/>
  <c r="G245" i="6"/>
  <c r="G246" i="6"/>
  <c r="G703" i="6"/>
  <c r="G704" i="6"/>
  <c r="G705" i="6"/>
  <c r="G247" i="6"/>
  <c r="G248" i="6"/>
  <c r="G249" i="6"/>
  <c r="G250" i="6"/>
  <c r="G251" i="6"/>
  <c r="G252" i="6"/>
  <c r="G253" i="6"/>
  <c r="G258" i="6"/>
  <c r="G254" i="6"/>
  <c r="G255" i="6"/>
  <c r="G256" i="6"/>
  <c r="G257" i="6"/>
  <c r="G259" i="6"/>
  <c r="G260" i="6"/>
  <c r="G261" i="6"/>
  <c r="G262" i="6"/>
  <c r="G263" i="6"/>
  <c r="G264" i="6"/>
  <c r="G265" i="6"/>
  <c r="G266" i="6"/>
  <c r="G267" i="6"/>
  <c r="G268" i="6"/>
  <c r="G269" i="6"/>
  <c r="G276" i="6"/>
  <c r="G270" i="6"/>
  <c r="G277" i="6"/>
  <c r="G278" i="6"/>
  <c r="G271" i="6"/>
  <c r="G272" i="6"/>
  <c r="G273" i="6"/>
  <c r="G274" i="6"/>
  <c r="G275" i="6"/>
  <c r="G279" i="6"/>
  <c r="G280" i="6"/>
  <c r="G281" i="6"/>
  <c r="G282" i="6"/>
  <c r="G283" i="6"/>
  <c r="G284" i="6"/>
  <c r="G285" i="6"/>
  <c r="G19" i="6"/>
  <c r="G11" i="6"/>
  <c r="G8" i="6"/>
  <c r="G16" i="6"/>
  <c r="G286" i="6"/>
  <c r="G287" i="6"/>
  <c r="G288" i="6"/>
  <c r="G289" i="6"/>
  <c r="G290" i="6"/>
  <c r="G291" i="6"/>
  <c r="G17" i="6"/>
  <c r="G292" i="6"/>
  <c r="G293" i="6"/>
  <c r="G294" i="6"/>
  <c r="G295" i="6"/>
  <c r="G296" i="6"/>
  <c r="G297" i="6"/>
  <c r="G298" i="6"/>
  <c r="G300" i="6"/>
  <c r="G302" i="6"/>
  <c r="G303" i="6"/>
  <c r="G310" i="6"/>
  <c r="G305" i="6"/>
  <c r="G311" i="6"/>
  <c r="G306" i="6"/>
  <c r="G314" i="6"/>
  <c r="G307" i="6"/>
  <c r="G312" i="6"/>
  <c r="G308" i="6"/>
  <c r="G313" i="6"/>
  <c r="G309" i="6"/>
  <c r="G315" i="6"/>
  <c r="G327" i="6"/>
  <c r="G316" i="6"/>
  <c r="G329" i="6"/>
  <c r="G330" i="6"/>
  <c r="G317" i="6"/>
  <c r="G321" i="6"/>
  <c r="G323" i="6"/>
  <c r="G325" i="6"/>
  <c r="G326" i="6"/>
  <c r="G331" i="6"/>
  <c r="G332" i="6"/>
  <c r="G333" i="6"/>
  <c r="G334" i="6"/>
  <c r="G336" i="6"/>
  <c r="G339" i="6"/>
  <c r="G340" i="6"/>
  <c r="G347" i="6"/>
  <c r="G341" i="6"/>
  <c r="G337" i="6"/>
  <c r="G338" i="6"/>
  <c r="G335" i="6"/>
  <c r="G346" i="6"/>
  <c r="G342" i="6"/>
  <c r="G348" i="6"/>
  <c r="G343" i="6"/>
  <c r="G344" i="6"/>
  <c r="G345" i="6"/>
  <c r="G350" i="6"/>
  <c r="G351" i="6"/>
  <c r="G352" i="6"/>
  <c r="G361" i="6"/>
  <c r="G354" i="6"/>
  <c r="G363" i="6"/>
  <c r="G355" i="6"/>
  <c r="G356" i="6"/>
  <c r="G364" i="6"/>
  <c r="G357" i="6"/>
  <c r="G358" i="6"/>
  <c r="G359" i="6"/>
  <c r="G360" i="6"/>
  <c r="G362" i="6"/>
  <c r="G365" i="6"/>
  <c r="G372" i="6"/>
  <c r="G349" i="6"/>
  <c r="G373" i="6"/>
  <c r="G379" i="6"/>
  <c r="G380" i="6"/>
  <c r="G375" i="6"/>
  <c r="G376" i="6"/>
  <c r="G377" i="6"/>
  <c r="G381" i="6"/>
  <c r="G378" i="6"/>
  <c r="G374" i="6"/>
  <c r="G382" i="6"/>
  <c r="G383" i="6"/>
  <c r="G384" i="6"/>
  <c r="G385" i="6"/>
  <c r="G386" i="6"/>
  <c r="G387" i="6"/>
  <c r="G388" i="6"/>
  <c r="G389" i="6"/>
  <c r="G392" i="6"/>
  <c r="G393" i="6"/>
  <c r="G390" i="6"/>
  <c r="G391" i="6"/>
  <c r="G394" i="6"/>
  <c r="G395" i="6"/>
  <c r="G396" i="6"/>
  <c r="G397" i="6"/>
  <c r="G398" i="6"/>
  <c r="G399" i="6"/>
  <c r="G400" i="6"/>
  <c r="G401" i="6"/>
  <c r="G404" i="6"/>
  <c r="G405" i="6"/>
  <c r="G406" i="6"/>
  <c r="G402" i="6"/>
  <c r="G403" i="6"/>
  <c r="G407" i="6"/>
  <c r="G408" i="6"/>
  <c r="G409" i="6"/>
  <c r="G410" i="6"/>
  <c r="G411" i="6"/>
  <c r="G415" i="6"/>
  <c r="G416" i="6"/>
  <c r="G412" i="6"/>
  <c r="G417" i="6"/>
  <c r="G413" i="6"/>
  <c r="G418" i="6"/>
  <c r="G414" i="6"/>
  <c r="G883" i="6"/>
  <c r="G884" i="6"/>
  <c r="G888" i="6"/>
  <c r="G890" i="6"/>
  <c r="G981" i="6"/>
  <c r="G886" i="6"/>
  <c r="G891" i="6"/>
  <c r="G893" i="6"/>
  <c r="G887" i="6"/>
  <c r="G894" i="6"/>
  <c r="G895" i="6"/>
  <c r="G898" i="6"/>
  <c r="G892" i="6"/>
  <c r="G899" i="6"/>
  <c r="G900" i="6"/>
  <c r="G897" i="6"/>
  <c r="G901" i="6"/>
  <c r="G902" i="6"/>
  <c r="G903" i="6"/>
  <c r="G904" i="6"/>
  <c r="G905" i="6"/>
  <c r="G906" i="6"/>
  <c r="G907" i="6"/>
  <c r="G908" i="6"/>
  <c r="G909" i="6"/>
  <c r="G914" i="6"/>
  <c r="G910" i="6"/>
  <c r="G912" i="6"/>
  <c r="G913" i="6"/>
  <c r="G915" i="6"/>
  <c r="G419" i="6"/>
  <c r="G429" i="6"/>
  <c r="G420" i="6"/>
  <c r="G430" i="6"/>
  <c r="G431" i="6"/>
  <c r="G432" i="6"/>
  <c r="G433" i="6"/>
  <c r="G434" i="6"/>
  <c r="G435" i="6"/>
  <c r="G421" i="6"/>
  <c r="G422" i="6"/>
  <c r="G436" i="6"/>
  <c r="G423" i="6"/>
  <c r="G437" i="6"/>
  <c r="G438" i="6"/>
  <c r="G439" i="6"/>
  <c r="G424" i="6"/>
  <c r="G425" i="6"/>
  <c r="G426" i="6"/>
  <c r="G427" i="6"/>
  <c r="G440" i="6"/>
  <c r="G441" i="6"/>
  <c r="G428" i="6"/>
  <c r="G442" i="6"/>
  <c r="G444" i="6"/>
  <c r="G456" i="6"/>
  <c r="G445" i="6"/>
  <c r="G446" i="6"/>
  <c r="G447" i="6"/>
  <c r="G448" i="6"/>
  <c r="G443" i="6"/>
  <c r="G449" i="6"/>
  <c r="G457" i="6"/>
  <c r="G450" i="6"/>
  <c r="G451" i="6"/>
  <c r="G458" i="6"/>
  <c r="G452" i="6"/>
  <c r="G459" i="6"/>
  <c r="G453" i="6"/>
  <c r="G454" i="6"/>
  <c r="G455" i="6"/>
  <c r="G460" i="6"/>
  <c r="G461" i="6"/>
  <c r="G462" i="6"/>
  <c r="G463" i="6"/>
  <c r="G464" i="6"/>
  <c r="G465" i="6"/>
  <c r="G470" i="6"/>
  <c r="G471" i="6"/>
  <c r="G466" i="6"/>
  <c r="G472" i="6"/>
  <c r="G473" i="6"/>
  <c r="G474" i="6"/>
  <c r="G467" i="6"/>
  <c r="G475" i="6"/>
  <c r="G476" i="6"/>
  <c r="G468" i="6"/>
  <c r="G477" i="6"/>
  <c r="G478" i="6"/>
  <c r="G479" i="6"/>
  <c r="G469" i="6"/>
  <c r="G480" i="6"/>
  <c r="G483" i="6"/>
  <c r="G484" i="6"/>
  <c r="G485" i="6"/>
  <c r="G481" i="6"/>
  <c r="G482" i="6"/>
  <c r="G486" i="6"/>
  <c r="G487" i="6"/>
  <c r="G488" i="6"/>
  <c r="G489" i="6"/>
  <c r="G490" i="6"/>
  <c r="G491" i="6"/>
  <c r="G492" i="6"/>
  <c r="G493" i="6"/>
  <c r="G494" i="6"/>
  <c r="G495" i="6"/>
  <c r="G496" i="6"/>
  <c r="G499" i="6"/>
  <c r="G498" i="6"/>
  <c r="G497" i="6"/>
  <c r="G504" i="6"/>
  <c r="G500" i="6"/>
  <c r="G505" i="6"/>
  <c r="G506" i="6"/>
  <c r="G507" i="6"/>
  <c r="G501" i="6"/>
  <c r="G508" i="6"/>
  <c r="G509" i="6"/>
  <c r="G502" i="6"/>
  <c r="G503" i="6"/>
  <c r="G510" i="6"/>
  <c r="G511" i="6"/>
  <c r="G512" i="6"/>
  <c r="G513" i="6"/>
  <c r="G514" i="6"/>
  <c r="G516" i="6"/>
  <c r="G515" i="6"/>
  <c r="G517" i="6"/>
  <c r="G518" i="6"/>
  <c r="G528" i="6"/>
  <c r="G519" i="6"/>
  <c r="G520" i="6"/>
  <c r="G521" i="6"/>
  <c r="G529" i="6"/>
  <c r="G522" i="6"/>
  <c r="G523" i="6"/>
  <c r="G524" i="6"/>
  <c r="G525" i="6"/>
  <c r="G530" i="6"/>
  <c r="G526" i="6"/>
  <c r="G527" i="6"/>
  <c r="G531" i="6"/>
  <c r="G535" i="6"/>
  <c r="G532" i="6"/>
  <c r="G536" i="6"/>
  <c r="G537" i="6"/>
  <c r="G538" i="6"/>
  <c r="G539" i="6"/>
  <c r="G533" i="6"/>
  <c r="G540" i="6"/>
  <c r="G541" i="6"/>
  <c r="G534" i="6"/>
  <c r="G542" i="6"/>
  <c r="G543" i="6"/>
  <c r="G547" i="6"/>
  <c r="G545" i="6"/>
  <c r="G546" i="6"/>
  <c r="G544" i="6"/>
  <c r="G548" i="6"/>
  <c r="G549" i="6"/>
  <c r="G551" i="6"/>
  <c r="G550" i="6"/>
  <c r="G552" i="6"/>
  <c r="G553" i="6"/>
  <c r="G554" i="6"/>
  <c r="G555" i="6"/>
  <c r="G556" i="6"/>
  <c r="G557" i="6"/>
  <c r="G558" i="6"/>
  <c r="G559" i="6"/>
  <c r="G566" i="6"/>
  <c r="G567" i="6"/>
  <c r="G568" i="6"/>
  <c r="G560" i="6"/>
  <c r="G569" i="6"/>
  <c r="G570" i="6"/>
  <c r="G561" i="6"/>
  <c r="G571" i="6"/>
  <c r="G562" i="6"/>
  <c r="G574" i="6"/>
  <c r="G576" i="6"/>
  <c r="G577" i="6"/>
  <c r="G578" i="6"/>
  <c r="G563" i="6"/>
  <c r="G579" i="6"/>
  <c r="G564" i="6"/>
  <c r="G580" i="6"/>
  <c r="G582" i="6"/>
  <c r="G584" i="6"/>
  <c r="G565" i="6"/>
  <c r="G585" i="6"/>
  <c r="G586" i="6"/>
  <c r="G588" i="6"/>
  <c r="G589" i="6"/>
  <c r="G572" i="6"/>
  <c r="G573" i="6"/>
  <c r="G575" i="6"/>
  <c r="G590" i="6"/>
  <c r="G591" i="6"/>
  <c r="G592" i="6"/>
  <c r="G593" i="6"/>
  <c r="G581" i="6"/>
  <c r="G594" i="6"/>
  <c r="G595" i="6"/>
  <c r="G587" i="6"/>
  <c r="G596" i="6"/>
  <c r="G597" i="6"/>
  <c r="G598" i="6"/>
  <c r="G599" i="6"/>
  <c r="G600" i="6"/>
  <c r="G601" i="6"/>
  <c r="G602" i="6"/>
  <c r="G603" i="6"/>
  <c r="G604" i="6"/>
  <c r="G605" i="6"/>
  <c r="G606" i="6"/>
  <c r="G607" i="6"/>
  <c r="G608" i="6"/>
  <c r="G609" i="6"/>
  <c r="G610" i="6"/>
  <c r="G612" i="6"/>
  <c r="G644" i="6"/>
  <c r="G647" i="6"/>
  <c r="G667" i="6"/>
  <c r="G662" i="6"/>
  <c r="G614" i="6"/>
  <c r="G635" i="6"/>
  <c r="G636" i="6"/>
  <c r="G616" i="6"/>
  <c r="G638" i="6"/>
  <c r="G639" i="6"/>
  <c r="G625" i="6"/>
  <c r="G626" i="6"/>
  <c r="G643" i="6"/>
  <c r="G648" i="6"/>
  <c r="G629" i="6"/>
  <c r="G665" i="6"/>
  <c r="G650" i="6"/>
  <c r="G645" i="6"/>
  <c r="G652" i="6"/>
  <c r="G666" i="6"/>
  <c r="G668" i="6"/>
  <c r="G669" i="6"/>
  <c r="G653" i="6"/>
  <c r="G654" i="6"/>
  <c r="G671" i="6"/>
  <c r="G646" i="6"/>
  <c r="G659" i="6"/>
  <c r="G674" i="6"/>
  <c r="G675" i="6"/>
  <c r="G615" i="6"/>
  <c r="G617" i="6"/>
  <c r="G640" i="6"/>
  <c r="G641" i="6"/>
  <c r="G655" i="6"/>
  <c r="G621" i="6"/>
  <c r="G622" i="6"/>
  <c r="G630" i="6"/>
  <c r="G611" i="6"/>
  <c r="G631" i="6"/>
  <c r="G613" i="6"/>
  <c r="G633" i="6"/>
  <c r="G634" i="6"/>
  <c r="G618" i="6"/>
  <c r="G637" i="6"/>
  <c r="G619" i="6"/>
  <c r="G620" i="6"/>
  <c r="G623" i="6"/>
  <c r="G624" i="6"/>
  <c r="G642" i="6"/>
  <c r="G627" i="6"/>
  <c r="G628" i="6"/>
  <c r="G649" i="6"/>
  <c r="G651" i="6"/>
  <c r="G670" i="6"/>
  <c r="G656" i="6"/>
  <c r="G657" i="6"/>
  <c r="G660" i="6"/>
  <c r="G672" i="6"/>
  <c r="G673" i="6"/>
  <c r="G661" i="6"/>
  <c r="G663" i="6"/>
  <c r="G664" i="6"/>
  <c r="G632" i="6"/>
  <c r="G658" i="6"/>
  <c r="G676" i="6"/>
  <c r="G677" i="6"/>
  <c r="G678" i="6"/>
  <c r="G679" i="6"/>
  <c r="G682" i="6"/>
  <c r="G680" i="6"/>
  <c r="G681" i="6"/>
  <c r="G683" i="6"/>
  <c r="G684" i="6"/>
  <c r="G685" i="6"/>
  <c r="G686" i="6"/>
  <c r="G687" i="6"/>
  <c r="G688" i="6"/>
  <c r="G689" i="6"/>
  <c r="G691" i="6"/>
  <c r="G690" i="6"/>
  <c r="G692" i="6"/>
  <c r="G693" i="6"/>
  <c r="G694" i="6"/>
  <c r="G695" i="6"/>
  <c r="G696" i="6"/>
  <c r="G697" i="6"/>
  <c r="G698" i="6"/>
  <c r="G706" i="6"/>
  <c r="G707" i="6"/>
  <c r="G708" i="6"/>
  <c r="G711" i="6"/>
  <c r="G712" i="6"/>
  <c r="G713" i="6"/>
  <c r="G714" i="6"/>
  <c r="G761" i="6"/>
  <c r="G721" i="6"/>
  <c r="G715" i="6"/>
  <c r="G716" i="6"/>
  <c r="G722" i="6"/>
  <c r="G724" i="6"/>
  <c r="G725" i="6"/>
  <c r="G726" i="6"/>
  <c r="G727" i="6"/>
  <c r="G730" i="6"/>
  <c r="G731" i="6"/>
  <c r="G732" i="6"/>
  <c r="G733" i="6"/>
  <c r="G734" i="6"/>
  <c r="G735" i="6"/>
  <c r="G717" i="6"/>
  <c r="G736" i="6"/>
  <c r="G737" i="6"/>
  <c r="G718" i="6"/>
  <c r="G738" i="6"/>
  <c r="G739" i="6"/>
  <c r="G740" i="6"/>
  <c r="G741" i="6"/>
  <c r="G742" i="6"/>
  <c r="G719" i="6"/>
  <c r="G720" i="6"/>
  <c r="G743" i="6"/>
  <c r="G744" i="6"/>
  <c r="G745" i="6"/>
  <c r="G746" i="6"/>
  <c r="G747" i="6"/>
  <c r="G748" i="6"/>
  <c r="G749" i="6"/>
  <c r="G751" i="6"/>
  <c r="G752" i="6"/>
  <c r="G753" i="6"/>
  <c r="G754" i="6"/>
  <c r="G755" i="6"/>
  <c r="G756" i="6"/>
  <c r="G757" i="6"/>
  <c r="G764" i="6"/>
  <c r="G758" i="6"/>
  <c r="G765" i="6"/>
  <c r="G723" i="6"/>
  <c r="G760" i="6"/>
  <c r="G728" i="6"/>
  <c r="G729" i="6"/>
  <c r="G762" i="6"/>
  <c r="G763" i="6"/>
  <c r="G766" i="6"/>
  <c r="G769" i="6"/>
  <c r="G767" i="6"/>
  <c r="G768" i="6"/>
  <c r="G770" i="6"/>
  <c r="G771" i="6"/>
  <c r="G772" i="6"/>
  <c r="G776" i="6"/>
  <c r="G773" i="6"/>
  <c r="G777" i="6"/>
  <c r="G778" i="6"/>
  <c r="G779" i="6"/>
  <c r="G774" i="6"/>
  <c r="G775" i="6"/>
  <c r="G780" i="6"/>
  <c r="G782" i="6"/>
  <c r="G781" i="6"/>
  <c r="G783" i="6"/>
  <c r="G784" i="6"/>
  <c r="G785" i="6"/>
  <c r="G786" i="6"/>
  <c r="G787" i="6"/>
  <c r="G788" i="6"/>
  <c r="G789" i="6"/>
  <c r="G790" i="6"/>
  <c r="G791" i="6"/>
  <c r="G802" i="6"/>
  <c r="G792" i="6"/>
  <c r="G803" i="6"/>
  <c r="G793" i="6"/>
  <c r="G804" i="6"/>
  <c r="G805" i="6"/>
  <c r="G806" i="6"/>
  <c r="G808" i="6"/>
  <c r="G809" i="6"/>
  <c r="G810" i="6"/>
  <c r="G811" i="6"/>
  <c r="G812" i="6"/>
  <c r="G813" i="6"/>
  <c r="G794" i="6"/>
  <c r="G814" i="6"/>
  <c r="G815" i="6"/>
  <c r="G795" i="6"/>
  <c r="G796" i="6"/>
  <c r="G816" i="6"/>
  <c r="G817" i="6"/>
  <c r="G797" i="6"/>
  <c r="G818" i="6"/>
  <c r="G819" i="6"/>
  <c r="G798" i="6"/>
  <c r="G799" i="6"/>
  <c r="G820" i="6"/>
  <c r="G821" i="6"/>
  <c r="G822" i="6"/>
  <c r="G823" i="6"/>
  <c r="G800" i="6"/>
  <c r="G824" i="6"/>
  <c r="G825" i="6"/>
  <c r="G801" i="6"/>
  <c r="G826" i="6"/>
  <c r="G833" i="6"/>
  <c r="G827" i="6"/>
  <c r="G828" i="6"/>
  <c r="G829" i="6"/>
  <c r="G830" i="6"/>
  <c r="G834" i="6"/>
  <c r="G831" i="6"/>
  <c r="G807" i="6"/>
  <c r="G832" i="6"/>
  <c r="G840" i="6"/>
  <c r="G841" i="6"/>
  <c r="G835" i="6"/>
  <c r="G842" i="6"/>
  <c r="G843" i="6"/>
  <c r="G836" i="6"/>
  <c r="G844" i="6"/>
  <c r="G845" i="6"/>
  <c r="G846" i="6"/>
  <c r="G837" i="6"/>
  <c r="G847" i="6"/>
  <c r="G848" i="6"/>
  <c r="G849" i="6"/>
  <c r="G838" i="6"/>
  <c r="G850" i="6"/>
  <c r="G851" i="6"/>
  <c r="G852" i="6"/>
  <c r="G853" i="6"/>
  <c r="G854" i="6"/>
  <c r="G839" i="6"/>
  <c r="G855" i="6"/>
  <c r="G856" i="6"/>
  <c r="G857" i="6"/>
  <c r="G858" i="6"/>
  <c r="G859" i="6"/>
  <c r="G860" i="6"/>
  <c r="G861" i="6"/>
  <c r="G862" i="6"/>
  <c r="G863" i="6"/>
  <c r="G864" i="6"/>
  <c r="G869" i="6"/>
  <c r="G870" i="6"/>
  <c r="G872" i="6"/>
  <c r="G871" i="6"/>
  <c r="G873" i="6"/>
  <c r="G874" i="6"/>
  <c r="G75" i="6"/>
  <c r="G875" i="6"/>
  <c r="G879" i="6"/>
  <c r="G880" i="6"/>
  <c r="G881" i="6"/>
  <c r="G882" i="6"/>
  <c r="G916" i="6"/>
  <c r="G918" i="6"/>
  <c r="G917" i="6"/>
  <c r="G919" i="6"/>
  <c r="G920" i="6"/>
  <c r="G922" i="6"/>
  <c r="G924" i="6"/>
  <c r="G925" i="6"/>
  <c r="G926" i="6"/>
  <c r="G927" i="6"/>
  <c r="G928" i="6"/>
  <c r="G929" i="6"/>
  <c r="G930" i="6"/>
  <c r="G931" i="6"/>
  <c r="G932" i="6"/>
  <c r="G933" i="6"/>
  <c r="G934" i="6"/>
  <c r="G935" i="6"/>
  <c r="G936" i="6"/>
  <c r="G937" i="6"/>
  <c r="G940" i="6"/>
  <c r="G938" i="6"/>
  <c r="G941" i="6"/>
  <c r="G939" i="6"/>
  <c r="G942" i="6"/>
  <c r="G943" i="6"/>
  <c r="G944" i="6"/>
  <c r="G945" i="6"/>
  <c r="G946" i="6"/>
  <c r="G947" i="6"/>
  <c r="G953" i="6"/>
  <c r="G954" i="6"/>
  <c r="G949" i="6"/>
  <c r="G955" i="6"/>
  <c r="G964" i="6"/>
  <c r="G956" i="6"/>
  <c r="G957" i="6"/>
  <c r="G958" i="6"/>
  <c r="G959" i="6"/>
  <c r="G960" i="6"/>
  <c r="G950" i="6"/>
  <c r="G951" i="6"/>
  <c r="G961" i="6"/>
  <c r="G952" i="6"/>
  <c r="G962" i="6"/>
  <c r="G963" i="6"/>
  <c r="G968" i="6"/>
  <c r="G966" i="6"/>
  <c r="G965" i="6"/>
  <c r="G967" i="6"/>
  <c r="G969" i="6"/>
  <c r="G970" i="6"/>
  <c r="G971" i="6"/>
  <c r="G972" i="6"/>
  <c r="G973" i="6"/>
  <c r="G974" i="6"/>
  <c r="G975" i="6"/>
  <c r="G979" i="6"/>
  <c r="G980" i="6"/>
  <c r="G976" i="6"/>
  <c r="G983" i="6"/>
  <c r="G977" i="6"/>
  <c r="G986" i="6"/>
  <c r="G978" i="6"/>
  <c r="G987" i="6"/>
  <c r="G988" i="6"/>
  <c r="G989" i="6"/>
  <c r="G982" i="6"/>
  <c r="G984" i="6"/>
  <c r="G985" i="6"/>
  <c r="G991" i="6"/>
  <c r="G992" i="6"/>
  <c r="G993" i="6"/>
  <c r="G996" i="6"/>
  <c r="G990" i="6"/>
  <c r="G997" i="6"/>
  <c r="G998" i="6"/>
  <c r="G999" i="6"/>
  <c r="G994" i="6"/>
  <c r="G1000" i="6"/>
  <c r="G1001" i="6"/>
  <c r="G1002" i="6"/>
  <c r="G1003" i="6"/>
  <c r="G1004" i="6"/>
  <c r="G1005" i="6"/>
  <c r="G1006" i="6"/>
  <c r="G1007" i="6"/>
  <c r="G1008" i="6"/>
  <c r="G1009" i="6"/>
  <c r="G1010" i="6"/>
  <c r="G1011" i="6"/>
  <c r="G1014" i="6"/>
  <c r="G1012" i="6"/>
  <c r="G1013" i="6"/>
  <c r="G1015" i="6"/>
  <c r="G1016" i="6"/>
  <c r="G1017" i="6"/>
  <c r="G1018" i="6"/>
  <c r="G1019" i="6"/>
  <c r="G1020" i="6"/>
  <c r="G1026" i="6"/>
  <c r="G1021" i="6"/>
  <c r="G1025" i="6"/>
  <c r="G1022" i="6"/>
  <c r="G1023" i="6"/>
  <c r="G1024" i="6"/>
  <c r="G1027" i="6"/>
  <c r="G1028" i="6"/>
  <c r="G1029" i="6"/>
  <c r="G1030" i="6"/>
  <c r="G1031" i="6"/>
  <c r="G921" i="6"/>
  <c r="G7" i="6"/>
  <c r="G876" i="6"/>
  <c r="G877" i="6"/>
  <c r="G1032" i="6"/>
  <c r="G1033" i="6"/>
  <c r="G1034" i="6"/>
  <c r="G1035" i="6"/>
  <c r="G1036" i="6"/>
  <c r="G1040" i="6"/>
  <c r="G1037" i="6"/>
  <c r="G1038" i="6"/>
  <c r="G128" i="6"/>
  <c r="G1041" i="6"/>
  <c r="G1039" i="6"/>
  <c r="G1042" i="6"/>
  <c r="G1043" i="6"/>
  <c r="G1044" i="6"/>
  <c r="G1045" i="6"/>
  <c r="G1046" i="6"/>
  <c r="G1050" i="6"/>
  <c r="G1047" i="6"/>
  <c r="G1051" i="6"/>
  <c r="G1052" i="6"/>
  <c r="G1049" i="6"/>
  <c r="G1048" i="6"/>
  <c r="G1054" i="6"/>
  <c r="G1055" i="6"/>
  <c r="G1053" i="6"/>
  <c r="G1057" i="6"/>
  <c r="G1056" i="6"/>
  <c r="G1059" i="6"/>
  <c r="G1058" i="6"/>
  <c r="G1060" i="6"/>
  <c r="G1061" i="6"/>
  <c r="G1062" i="6"/>
  <c r="G1063" i="6"/>
  <c r="G1064" i="6"/>
  <c r="G1065" i="6"/>
  <c r="G1066" i="6"/>
  <c r="G1067" i="6"/>
  <c r="G1068" i="6"/>
  <c r="G1069" i="6"/>
  <c r="G1070" i="6"/>
  <c r="G1071" i="6"/>
  <c r="G1072" i="6"/>
  <c r="G1073" i="6"/>
  <c r="G1074" i="6"/>
  <c r="G1078" i="6"/>
  <c r="G1075" i="6"/>
  <c r="G1076" i="6"/>
  <c r="G1077" i="6"/>
  <c r="G1079" i="6"/>
  <c r="G923" i="6"/>
  <c r="G1080" i="6"/>
  <c r="G1081" i="6"/>
  <c r="G885" i="6"/>
  <c r="G1082" i="6"/>
  <c r="G1083" i="6"/>
  <c r="G1089" i="6"/>
  <c r="G1084" i="6"/>
  <c r="G1085" i="6"/>
  <c r="G1090" i="6"/>
  <c r="G1092" i="6"/>
  <c r="G1093" i="6"/>
  <c r="G1086" i="6"/>
  <c r="G1087" i="6"/>
  <c r="G1096" i="6"/>
  <c r="G1094" i="6"/>
  <c r="G1095" i="6"/>
  <c r="G1088" i="6"/>
  <c r="G1098" i="6"/>
  <c r="G1104" i="6"/>
  <c r="G1107" i="6"/>
  <c r="G1110" i="6"/>
  <c r="G1111" i="6"/>
  <c r="G1113" i="6"/>
  <c r="G1105" i="6"/>
  <c r="G1114" i="6"/>
  <c r="G1106" i="6"/>
  <c r="G1099" i="6"/>
  <c r="G1108" i="6"/>
  <c r="G1112" i="6"/>
  <c r="G1115" i="6"/>
  <c r="G1116" i="6"/>
  <c r="G1100" i="6"/>
  <c r="G1101" i="6"/>
  <c r="G1117" i="6"/>
  <c r="G1102" i="6"/>
  <c r="G1119" i="6"/>
  <c r="G1109" i="6"/>
  <c r="G1103" i="6"/>
  <c r="G1118" i="6"/>
  <c r="G1120" i="6"/>
  <c r="G1121" i="6"/>
  <c r="G1122" i="6"/>
  <c r="G1123" i="6"/>
  <c r="G1124" i="6"/>
  <c r="G1125" i="6"/>
  <c r="G1126" i="6"/>
  <c r="G1127" i="6"/>
  <c r="G1128" i="6"/>
  <c r="G1129" i="6"/>
  <c r="G1130" i="6"/>
  <c r="G1132" i="6"/>
  <c r="G1131" i="6"/>
  <c r="G1133" i="6"/>
  <c r="G1134" i="6"/>
  <c r="G1135" i="6"/>
  <c r="G1136" i="6"/>
  <c r="G90" i="6"/>
  <c r="G91" i="6"/>
  <c r="G709" i="6"/>
  <c r="G710" i="6"/>
  <c r="G1137" i="6"/>
  <c r="G1138" i="6"/>
  <c r="G1140" i="6"/>
  <c r="G1141" i="6"/>
  <c r="G1142" i="6"/>
  <c r="G1143" i="6"/>
  <c r="G1144" i="6"/>
  <c r="G1145" i="6"/>
  <c r="G1146" i="6"/>
  <c r="G1147" i="6"/>
  <c r="G1148" i="6"/>
  <c r="G1149" i="6"/>
  <c r="G1150" i="6"/>
  <c r="G878" i="6"/>
  <c r="G1151" i="6"/>
  <c r="G1152" i="6"/>
  <c r="G1153" i="6"/>
  <c r="G1154" i="6"/>
  <c r="G1155" i="6"/>
  <c r="G1156" i="6"/>
  <c r="G1157" i="6"/>
  <c r="G1158" i="6"/>
  <c r="G1159" i="6"/>
  <c r="G1162" i="6"/>
  <c r="G1160" i="6"/>
  <c r="G1161" i="6"/>
  <c r="G1163" i="6"/>
  <c r="G1164" i="6"/>
  <c r="G1165" i="6"/>
  <c r="G1166" i="6"/>
  <c r="G1167" i="6"/>
  <c r="G1168" i="6"/>
  <c r="G1169" i="6"/>
  <c r="G1170" i="6"/>
  <c r="G1171" i="6"/>
  <c r="G1173" i="6"/>
  <c r="G1172" i="6"/>
  <c r="G1174" i="6"/>
  <c r="G1175" i="6"/>
  <c r="G1176" i="6"/>
  <c r="G1180" i="6"/>
  <c r="G1178" i="6"/>
  <c r="G1179" i="6"/>
  <c r="G1181" i="6"/>
  <c r="G1186" i="6"/>
  <c r="G1091" i="6"/>
  <c r="G1139" i="6"/>
  <c r="G86" i="6"/>
  <c r="G1097" i="6"/>
  <c r="G301" i="6"/>
  <c r="B121" i="10"/>
  <c r="B73" i="10"/>
  <c r="B78" i="10"/>
  <c r="B313" i="10"/>
  <c r="B71" i="10"/>
  <c r="B393" i="10"/>
  <c r="B32" i="10"/>
  <c r="B105" i="10"/>
  <c r="B249" i="10"/>
  <c r="B9" i="10"/>
  <c r="B25" i="10"/>
  <c r="B110" i="10"/>
  <c r="B409" i="10"/>
  <c r="B79" i="10"/>
  <c r="A4" i="13" a="1"/>
  <c r="A4" i="13" s="1"/>
  <c r="B4" i="13" s="1"/>
  <c r="A5" i="13" a="1"/>
  <c r="A5" i="13" s="1"/>
  <c r="A6" i="13" a="1"/>
  <c r="A6" i="13" s="1"/>
  <c r="D6" i="13" s="1"/>
  <c r="A7" i="13" a="1"/>
  <c r="A7" i="13" s="1"/>
  <c r="D7" i="13" s="1"/>
  <c r="A8" i="13" a="1"/>
  <c r="A8" i="13" s="1"/>
  <c r="D8" i="13" s="1"/>
  <c r="A9" i="13" a="1"/>
  <c r="A9" i="13" s="1"/>
  <c r="C9" i="13" s="1"/>
  <c r="A10" i="13" a="1"/>
  <c r="A10" i="13" s="1"/>
  <c r="A11" i="13" a="1"/>
  <c r="A11" i="13" s="1"/>
  <c r="A12" i="13" a="1"/>
  <c r="A12" i="13" s="1"/>
  <c r="B12" i="13" s="1"/>
  <c r="A13" i="13" a="1"/>
  <c r="A13" i="13" s="1"/>
  <c r="C13" i="13" s="1"/>
  <c r="A14" i="13" a="1"/>
  <c r="A14" i="13" s="1"/>
  <c r="C14" i="13" s="1"/>
  <c r="A15" i="13" a="1"/>
  <c r="A15" i="13" s="1"/>
  <c r="A16" i="13" a="1"/>
  <c r="A16" i="13" s="1"/>
  <c r="B16" i="13" s="1"/>
  <c r="A17" i="13" a="1"/>
  <c r="A17" i="13" s="1"/>
  <c r="B17" i="13" s="1"/>
  <c r="A18" i="13" a="1"/>
  <c r="A18" i="13" s="1"/>
  <c r="D18" i="13" s="1"/>
  <c r="A19" i="13" a="1"/>
  <c r="A19" i="13" s="1"/>
  <c r="A20" i="13" a="1"/>
  <c r="A20" i="13" s="1"/>
  <c r="B20" i="13" s="1"/>
  <c r="A21" i="13" a="1"/>
  <c r="A21" i="13" s="1"/>
  <c r="C21" i="13" s="1"/>
  <c r="A22" i="13" a="1"/>
  <c r="A22" i="13" s="1"/>
  <c r="C22" i="13" s="1"/>
  <c r="A23" i="13" a="1"/>
  <c r="A23" i="13" s="1"/>
  <c r="B23" i="13" s="1"/>
  <c r="A24" i="13" a="1"/>
  <c r="A24" i="13" s="1"/>
  <c r="B24" i="13" s="1"/>
  <c r="A25" i="13" a="1"/>
  <c r="A25" i="13" s="1"/>
  <c r="B25" i="13" s="1"/>
  <c r="A26" i="13" a="1"/>
  <c r="A26" i="13" s="1"/>
  <c r="B26" i="13" s="1"/>
  <c r="A27" i="13" a="1"/>
  <c r="A27" i="13" s="1"/>
  <c r="A28" i="13" a="1"/>
  <c r="A28" i="13" s="1"/>
  <c r="A29" i="13" a="1"/>
  <c r="A29" i="13" s="1"/>
  <c r="C29" i="13" s="1"/>
  <c r="A30" i="13" a="1"/>
  <c r="A30" i="13" s="1"/>
  <c r="B30" i="13" s="1"/>
  <c r="A31" i="13" a="1"/>
  <c r="A31" i="13" s="1"/>
  <c r="C31" i="13" s="1"/>
  <c r="A32" i="13" a="1"/>
  <c r="A32" i="13" s="1"/>
  <c r="C32" i="13" s="1"/>
  <c r="A33" i="13" a="1"/>
  <c r="A33" i="13" s="1"/>
  <c r="D33" i="13" s="1"/>
  <c r="A34" i="13" a="1"/>
  <c r="A34" i="13" s="1"/>
  <c r="B34" i="13" s="1"/>
  <c r="A35" i="13" a="1"/>
  <c r="A35" i="13" s="1"/>
  <c r="D35" i="13" s="1"/>
  <c r="A36" i="13" a="1"/>
  <c r="A36" i="13" s="1"/>
  <c r="C36" i="13" s="1"/>
  <c r="A37" i="13" a="1"/>
  <c r="A37" i="13" s="1"/>
  <c r="D37" i="13" s="1"/>
  <c r="A38" i="13" a="1"/>
  <c r="A38" i="13" s="1"/>
  <c r="C38" i="13" s="1"/>
  <c r="A39" i="13" a="1"/>
  <c r="A39" i="13" s="1"/>
  <c r="B39" i="13" s="1"/>
  <c r="A40" i="13" a="1"/>
  <c r="A40" i="13" s="1"/>
  <c r="D40" i="13" s="1"/>
  <c r="A41" i="13" a="1"/>
  <c r="A41" i="13" s="1"/>
  <c r="D41" i="13" s="1"/>
  <c r="A42" i="13" a="1"/>
  <c r="A42" i="13" s="1"/>
  <c r="B42" i="13" s="1"/>
  <c r="A43" i="13" a="1"/>
  <c r="A43" i="13" s="1"/>
  <c r="A44" i="13" a="1"/>
  <c r="A44" i="13" s="1"/>
  <c r="A45" i="13" a="1"/>
  <c r="A45" i="13" s="1"/>
  <c r="C45" i="13" s="1"/>
  <c r="A46" i="13" a="1"/>
  <c r="A46" i="13" s="1"/>
  <c r="C46" i="13" s="1"/>
  <c r="A47" i="13" a="1"/>
  <c r="A47" i="13" s="1"/>
  <c r="B47" i="13" s="1"/>
  <c r="A48" i="13" a="1"/>
  <c r="A48" i="13" s="1"/>
  <c r="B48" i="13" s="1"/>
  <c r="A49" i="13" a="1"/>
  <c r="A49" i="13" s="1"/>
  <c r="A50" i="13" a="1"/>
  <c r="A50" i="13" s="1"/>
  <c r="A51" i="13" a="1"/>
  <c r="A51" i="13" s="1"/>
  <c r="C51" i="13" s="1"/>
  <c r="A52" i="13" a="1"/>
  <c r="A52" i="13" s="1"/>
  <c r="C52" i="13" s="1"/>
  <c r="A53" i="13" a="1"/>
  <c r="A53" i="13" s="1"/>
  <c r="C53" i="13" s="1"/>
  <c r="A54" i="13" a="1"/>
  <c r="A54" i="13" s="1"/>
  <c r="D54" i="13" s="1"/>
  <c r="A55" i="13" a="1"/>
  <c r="A55" i="13" s="1"/>
  <c r="D55" i="13" s="1"/>
  <c r="A56" i="13" a="1"/>
  <c r="A56" i="13" s="1"/>
  <c r="B56" i="13" s="1"/>
  <c r="A57" i="13" a="1"/>
  <c r="A57" i="13" s="1"/>
  <c r="A58" i="13" a="1"/>
  <c r="A58" i="13" s="1"/>
  <c r="A59" i="13" a="1"/>
  <c r="A59" i="13" s="1"/>
  <c r="B59" i="13" s="1"/>
  <c r="A60" i="13" a="1"/>
  <c r="A60" i="13" s="1"/>
  <c r="D60" i="13" s="1"/>
  <c r="A61" i="13" a="1"/>
  <c r="A61" i="13" s="1"/>
  <c r="B61" i="13" s="1"/>
  <c r="A62" i="13" a="1"/>
  <c r="A62" i="13" s="1"/>
  <c r="C62" i="13" s="1"/>
  <c r="A63" i="13" a="1"/>
  <c r="A63" i="13" s="1"/>
  <c r="B63" i="13" s="1"/>
  <c r="A64" i="13" a="1"/>
  <c r="A64" i="13" s="1"/>
  <c r="D64" i="13" s="1"/>
  <c r="A65" i="13" a="1"/>
  <c r="A65" i="13" s="1"/>
  <c r="C65" i="13" s="1"/>
  <c r="A66" i="13" a="1"/>
  <c r="A66" i="13" s="1"/>
  <c r="B66" i="13" s="1"/>
  <c r="A67" i="13" a="1"/>
  <c r="A67" i="13" s="1"/>
  <c r="D67" i="13" s="1"/>
  <c r="A68" i="13" a="1"/>
  <c r="A68" i="13" s="1"/>
  <c r="B68" i="13" s="1"/>
  <c r="A69" i="13" a="1"/>
  <c r="A69" i="13" s="1"/>
  <c r="B69" i="13" s="1"/>
  <c r="A70" i="13" a="1"/>
  <c r="A70" i="13" s="1"/>
  <c r="A71" i="13" a="1"/>
  <c r="A71" i="13" s="1"/>
  <c r="D71" i="13" s="1"/>
  <c r="A72" i="13" a="1"/>
  <c r="A72" i="13" s="1"/>
  <c r="C72" i="13" s="1"/>
  <c r="A73" i="13" a="1"/>
  <c r="A73" i="13" s="1"/>
  <c r="A74" i="13" a="1"/>
  <c r="A74" i="13" s="1"/>
  <c r="A75" i="13" a="1"/>
  <c r="A75" i="13" s="1"/>
  <c r="C75" i="13" s="1"/>
  <c r="A76" i="13" a="1"/>
  <c r="A76" i="13" s="1"/>
  <c r="C76" i="13" s="1"/>
  <c r="A77" i="13" a="1"/>
  <c r="A77" i="13" s="1"/>
  <c r="B77" i="13" s="1"/>
  <c r="A78" i="13" a="1"/>
  <c r="A78" i="13" s="1"/>
  <c r="A79" i="13" a="1"/>
  <c r="A79" i="13" s="1"/>
  <c r="C79" i="13" s="1"/>
  <c r="A80" i="13" a="1"/>
  <c r="A80" i="13" s="1"/>
  <c r="B80" i="13" s="1"/>
  <c r="A81" i="13" a="1"/>
  <c r="A81" i="13" s="1"/>
  <c r="B81" i="13" s="1"/>
  <c r="A82" i="13" a="1"/>
  <c r="A82" i="13" s="1"/>
  <c r="D82" i="13" s="1"/>
  <c r="A83" i="13" a="1"/>
  <c r="A83" i="13" s="1"/>
  <c r="B83" i="13" s="1"/>
  <c r="A84" i="13" a="1"/>
  <c r="A84" i="13" s="1"/>
  <c r="D84" i="13" s="1"/>
  <c r="A85" i="13" a="1"/>
  <c r="A85" i="13" s="1"/>
  <c r="D85" i="13" s="1"/>
  <c r="A86" i="13" a="1"/>
  <c r="A86" i="13" s="1"/>
  <c r="B86" i="13" s="1"/>
  <c r="A87" i="13" a="1"/>
  <c r="A87" i="13" s="1"/>
  <c r="C87" i="13" s="1"/>
  <c r="A88" i="13" a="1"/>
  <c r="A88" i="13" s="1"/>
  <c r="A89" i="13" a="1"/>
  <c r="A89" i="13" s="1"/>
  <c r="A90" i="13" a="1"/>
  <c r="A90" i="13" s="1"/>
  <c r="A91" i="13" a="1"/>
  <c r="A91" i="13" s="1"/>
  <c r="A92" i="13" a="1"/>
  <c r="A92" i="13" s="1"/>
  <c r="B92" i="13" s="1"/>
  <c r="A93" i="13" a="1"/>
  <c r="A93" i="13" s="1"/>
  <c r="D93" i="13" s="1"/>
  <c r="A94" i="13" a="1"/>
  <c r="A94" i="13" s="1"/>
  <c r="A95" i="13" a="1"/>
  <c r="A95" i="13" s="1"/>
  <c r="D95" i="13" s="1"/>
  <c r="A96" i="13" a="1"/>
  <c r="A96" i="13" s="1"/>
  <c r="D96" i="13" s="1"/>
  <c r="A97" i="13" a="1"/>
  <c r="A97" i="13" s="1"/>
  <c r="D97" i="13" s="1"/>
  <c r="A98" i="13" a="1"/>
  <c r="A98" i="13" s="1"/>
  <c r="C98" i="13" s="1"/>
  <c r="A99" i="13" a="1"/>
  <c r="A99" i="13" s="1"/>
  <c r="C99" i="13" s="1"/>
  <c r="A100" i="13" a="1"/>
  <c r="A100" i="13" s="1"/>
  <c r="D100" i="13" s="1"/>
  <c r="A101" i="13" a="1"/>
  <c r="A101" i="13" s="1"/>
  <c r="C101" i="13" s="1"/>
  <c r="A102" i="13" a="1"/>
  <c r="A102" i="13" s="1"/>
  <c r="A103" i="13" a="1"/>
  <c r="A103" i="13" s="1"/>
  <c r="A104" i="13" a="1"/>
  <c r="A104" i="13" s="1"/>
  <c r="B104" i="13" s="1"/>
  <c r="A105" i="13" a="1"/>
  <c r="A105" i="13" s="1"/>
  <c r="A106" i="13" a="1"/>
  <c r="A106" i="13" s="1"/>
  <c r="C106" i="13" s="1"/>
  <c r="A107" i="13" a="1"/>
  <c r="A107" i="13" s="1"/>
  <c r="D107" i="13" s="1"/>
  <c r="A108" i="13" a="1"/>
  <c r="A108" i="13" s="1"/>
  <c r="B108" i="13" s="1"/>
  <c r="A109" i="13" a="1"/>
  <c r="A109" i="13" s="1"/>
  <c r="D109" i="13" s="1"/>
  <c r="A110" i="13" a="1"/>
  <c r="A110" i="13" s="1"/>
  <c r="D110" i="13" s="1"/>
  <c r="A111" i="13" a="1"/>
  <c r="A111" i="13" s="1"/>
  <c r="A112" i="13" a="1"/>
  <c r="A112" i="13" s="1"/>
  <c r="C112" i="13" s="1"/>
  <c r="A113" i="13" a="1"/>
  <c r="A113" i="13" s="1"/>
  <c r="D113" i="13" s="1"/>
  <c r="A114" i="13" a="1"/>
  <c r="A114" i="13" s="1"/>
  <c r="C114" i="13" s="1"/>
  <c r="A115" i="13" a="1"/>
  <c r="A115" i="13" s="1"/>
  <c r="C115" i="13" s="1"/>
  <c r="A116" i="13" a="1"/>
  <c r="A116" i="13" s="1"/>
  <c r="D116" i="13" s="1"/>
  <c r="A117" i="13" a="1"/>
  <c r="A117" i="13" s="1"/>
  <c r="B117" i="13" s="1"/>
  <c r="A118" i="13" a="1"/>
  <c r="A118" i="13" s="1"/>
  <c r="D118" i="13" s="1"/>
  <c r="A119" i="13" a="1"/>
  <c r="A119" i="13" s="1"/>
  <c r="D119" i="13" s="1"/>
  <c r="A120" i="13" a="1"/>
  <c r="A120" i="13" s="1"/>
  <c r="B120" i="13" s="1"/>
  <c r="A121" i="13" a="1"/>
  <c r="A121" i="13" s="1"/>
  <c r="C121" i="13" s="1"/>
  <c r="A122" i="13" a="1"/>
  <c r="A122" i="13" s="1"/>
  <c r="C122" i="13" s="1"/>
  <c r="A123" i="13" a="1"/>
  <c r="A123" i="13" s="1"/>
  <c r="B123" i="13" s="1"/>
  <c r="A124" i="13" a="1"/>
  <c r="A124" i="13" s="1"/>
  <c r="B124" i="13" s="1"/>
  <c r="A125" i="13" a="1"/>
  <c r="A125" i="13" s="1"/>
  <c r="C125" i="13" s="1"/>
  <c r="A126" i="13" a="1"/>
  <c r="A126" i="13" s="1"/>
  <c r="B126" i="13" s="1"/>
  <c r="A127" i="13" a="1"/>
  <c r="A127" i="13" s="1"/>
  <c r="C127" i="13" s="1"/>
  <c r="A128" i="13" a="1"/>
  <c r="A128" i="13" s="1"/>
  <c r="C128" i="13" s="1"/>
  <c r="A129" i="13" a="1"/>
  <c r="A129" i="13" s="1"/>
  <c r="A130" i="13" a="1"/>
  <c r="A130" i="13" s="1"/>
  <c r="B130" i="13" s="1"/>
  <c r="A131" i="13" a="1"/>
  <c r="A131" i="13" s="1"/>
  <c r="C131" i="13" s="1"/>
  <c r="A132" i="13" a="1"/>
  <c r="A132" i="13" s="1"/>
  <c r="C132" i="13" s="1"/>
  <c r="A133" i="13" a="1"/>
  <c r="A133" i="13" s="1"/>
  <c r="D133" i="13" s="1"/>
  <c r="A134" i="13" a="1"/>
  <c r="A134" i="13" s="1"/>
  <c r="C134" i="13" s="1"/>
  <c r="A135" i="13" a="1"/>
  <c r="A135" i="13" s="1"/>
  <c r="A136" i="13" a="1"/>
  <c r="A136" i="13" s="1"/>
  <c r="A137" i="13" a="1"/>
  <c r="A137" i="13" s="1"/>
  <c r="A138" i="13" a="1"/>
  <c r="A138" i="13" s="1"/>
  <c r="D138" i="13" s="1"/>
  <c r="A139" i="13" a="1"/>
  <c r="A139" i="13" s="1"/>
  <c r="C139" i="13" s="1"/>
  <c r="A140" i="13" a="1"/>
  <c r="A140" i="13" s="1"/>
  <c r="C140" i="13" s="1"/>
  <c r="A141" i="13" a="1"/>
  <c r="A141" i="13" s="1"/>
  <c r="C141" i="13" s="1"/>
  <c r="A142" i="13" a="1"/>
  <c r="A142" i="13" s="1"/>
  <c r="A143" i="13" a="1"/>
  <c r="A143" i="13" s="1"/>
  <c r="C143" i="13" s="1"/>
  <c r="A144" i="13" a="1"/>
  <c r="A144" i="13" s="1"/>
  <c r="B144" i="13" s="1"/>
  <c r="A145" i="13" a="1"/>
  <c r="A145" i="13" s="1"/>
  <c r="D145" i="13" s="1"/>
  <c r="A146" i="13" a="1"/>
  <c r="A146" i="13" s="1"/>
  <c r="C146" i="13" s="1"/>
  <c r="A147" i="13" a="1"/>
  <c r="A147" i="13" s="1"/>
  <c r="D147" i="13" s="1"/>
  <c r="A148" i="13" a="1"/>
  <c r="A148" i="13" s="1"/>
  <c r="B148" i="13" s="1"/>
  <c r="A149" i="13" a="1"/>
  <c r="A149" i="13" s="1"/>
  <c r="B149" i="13" s="1"/>
  <c r="A150" i="13" a="1"/>
  <c r="A150" i="13" s="1"/>
  <c r="A151" i="13" a="1"/>
  <c r="A151" i="13" s="1"/>
  <c r="A152" i="13" a="1"/>
  <c r="A152" i="13" s="1"/>
  <c r="B152" i="13" s="1"/>
  <c r="A153" i="13" a="1"/>
  <c r="A153" i="13" s="1"/>
  <c r="C153" i="13" s="1"/>
  <c r="A154" i="13" a="1"/>
  <c r="A154" i="13" s="1"/>
  <c r="C154" i="13" s="1"/>
  <c r="A155" i="13" a="1"/>
  <c r="A155" i="13" s="1"/>
  <c r="A156" i="13" a="1"/>
  <c r="A156" i="13" s="1"/>
  <c r="C156" i="13" s="1"/>
  <c r="A157" i="13" a="1"/>
  <c r="A157" i="13" s="1"/>
  <c r="B157" i="13" s="1"/>
  <c r="A158" i="13" a="1"/>
  <c r="A158" i="13" s="1"/>
  <c r="D158" i="13" s="1"/>
  <c r="A159" i="13" a="1"/>
  <c r="A159" i="13" s="1"/>
  <c r="B159" i="13" s="1"/>
  <c r="A160" i="13" a="1"/>
  <c r="A160" i="13" s="1"/>
  <c r="D160" i="13" s="1"/>
  <c r="A161" i="13" a="1"/>
  <c r="A161" i="13" s="1"/>
  <c r="D161" i="13" s="1"/>
  <c r="A162" i="13" a="1"/>
  <c r="A162" i="13" s="1"/>
  <c r="D162" i="13" s="1"/>
  <c r="A163" i="13" a="1"/>
  <c r="A163" i="13" s="1"/>
  <c r="B163" i="13" s="1"/>
  <c r="A164" i="13" a="1"/>
  <c r="A164" i="13" s="1"/>
  <c r="D164" i="13" s="1"/>
  <c r="A165" i="13" a="1"/>
  <c r="A165" i="13" s="1"/>
  <c r="B165" i="13" s="1"/>
  <c r="A166" i="13" a="1"/>
  <c r="A166" i="13" s="1"/>
  <c r="A167" i="13" a="1"/>
  <c r="A167" i="13" s="1"/>
  <c r="A168" i="13" a="1"/>
  <c r="A168" i="13" s="1"/>
  <c r="A169" i="13" a="1"/>
  <c r="A169" i="13" s="1"/>
  <c r="C169" i="13" s="1"/>
  <c r="A170" i="13" a="1"/>
  <c r="A170" i="13" s="1"/>
  <c r="C170" i="13" s="1"/>
  <c r="A171" i="13" a="1"/>
  <c r="A171" i="13" s="1"/>
  <c r="B171" i="13" s="1"/>
  <c r="A172" i="13" a="1"/>
  <c r="A172" i="13" s="1"/>
  <c r="B172" i="13" s="1"/>
  <c r="A173" i="13" a="1"/>
  <c r="A173" i="13" s="1"/>
  <c r="B173" i="13" s="1"/>
  <c r="A174" i="13" a="1"/>
  <c r="A174" i="13" s="1"/>
  <c r="B174" i="13" s="1"/>
  <c r="A175" i="13" a="1"/>
  <c r="A175" i="13" s="1"/>
  <c r="C175" i="13" s="1"/>
  <c r="A176" i="13" a="1"/>
  <c r="A176" i="13" s="1"/>
  <c r="D176" i="13" s="1"/>
  <c r="A177" i="13" a="1"/>
  <c r="A177" i="13" s="1"/>
  <c r="C177" i="13" s="1"/>
  <c r="A178" i="13" a="1"/>
  <c r="A178" i="13" s="1"/>
  <c r="A179" i="13" a="1"/>
  <c r="A179" i="13" s="1"/>
  <c r="C179" i="13" s="1"/>
  <c r="A180" i="13" a="1"/>
  <c r="A180" i="13" s="1"/>
  <c r="B180" i="13" s="1"/>
  <c r="A181" i="13" a="1"/>
  <c r="A181" i="13" s="1"/>
  <c r="A182" i="13" a="1"/>
  <c r="A182" i="13" s="1"/>
  <c r="A183" i="13" a="1"/>
  <c r="A183" i="13" s="1"/>
  <c r="D183" i="13" s="1"/>
  <c r="A184" i="13" a="1"/>
  <c r="A184" i="13" s="1"/>
  <c r="A185" i="13" a="1"/>
  <c r="A185" i="13" s="1"/>
  <c r="B185" i="13" s="1"/>
  <c r="A186" i="13" a="1"/>
  <c r="A186" i="13" s="1"/>
  <c r="C186" i="13" s="1"/>
  <c r="A187" i="13" a="1"/>
  <c r="A187" i="13" s="1"/>
  <c r="B187" i="13" s="1"/>
  <c r="A188" i="13" a="1"/>
  <c r="A188" i="13" s="1"/>
  <c r="B188" i="13" s="1"/>
  <c r="A189" i="13" a="1"/>
  <c r="A189" i="13" s="1"/>
  <c r="B189" i="13" s="1"/>
  <c r="A190" i="13" a="1"/>
  <c r="A190" i="13" s="1"/>
  <c r="D190" i="13" s="1"/>
  <c r="A191" i="13" a="1"/>
  <c r="A191" i="13" s="1"/>
  <c r="B191" i="13" s="1"/>
  <c r="A192" i="13" a="1"/>
  <c r="A192" i="13" s="1"/>
  <c r="B192" i="13" s="1"/>
  <c r="A193" i="13" a="1"/>
  <c r="A193" i="13" s="1"/>
  <c r="D193" i="13" s="1"/>
  <c r="A194" i="13" a="1"/>
  <c r="A194" i="13" s="1"/>
  <c r="D194" i="13" s="1"/>
  <c r="A195" i="13" a="1"/>
  <c r="A195" i="13" s="1"/>
  <c r="B195" i="13" s="1"/>
  <c r="A196" i="13" a="1"/>
  <c r="A196" i="13" s="1"/>
  <c r="D196" i="13" s="1"/>
  <c r="A197" i="13" a="1"/>
  <c r="A197" i="13" s="1"/>
  <c r="A198" i="13" a="1"/>
  <c r="A198" i="13" s="1"/>
  <c r="A199" i="13" a="1"/>
  <c r="A199" i="13" s="1"/>
  <c r="B199" i="13" s="1"/>
  <c r="A200" i="13" a="1"/>
  <c r="A200" i="13" s="1"/>
  <c r="D200" i="13" s="1"/>
  <c r="A201" i="13" a="1"/>
  <c r="A201" i="13" s="1"/>
  <c r="A202" i="13" a="1"/>
  <c r="A202" i="13" s="1"/>
  <c r="D202" i="13" s="1"/>
  <c r="A203" i="13" a="1"/>
  <c r="A203" i="13" s="1"/>
  <c r="B203" i="13" s="1"/>
  <c r="A204" i="13" a="1"/>
  <c r="A204" i="13" s="1"/>
  <c r="B204" i="13" s="1"/>
  <c r="A205" i="13" a="1"/>
  <c r="A205" i="13" s="1"/>
  <c r="B205" i="13" s="1"/>
  <c r="A206" i="13" a="1"/>
  <c r="A206" i="13" s="1"/>
  <c r="B206" i="13" s="1"/>
  <c r="A207" i="13" a="1"/>
  <c r="A207" i="13" s="1"/>
  <c r="D207" i="13" s="1"/>
  <c r="A208" i="13" a="1"/>
  <c r="A208" i="13" s="1"/>
  <c r="D208" i="13" s="1"/>
  <c r="A209" i="13" a="1"/>
  <c r="A209" i="13" s="1"/>
  <c r="A210" i="13" a="1"/>
  <c r="A210" i="13" s="1"/>
  <c r="A211" i="13" a="1"/>
  <c r="A211" i="13" s="1"/>
  <c r="D211" i="13" s="1"/>
  <c r="A212" i="13" a="1"/>
  <c r="A212" i="13" s="1"/>
  <c r="C212" i="13" s="1"/>
  <c r="A213" i="13" a="1"/>
  <c r="A213" i="13" s="1"/>
  <c r="B213" i="13" s="1"/>
  <c r="A214" i="13" a="1"/>
  <c r="A214" i="13" s="1"/>
  <c r="A215" i="13" a="1"/>
  <c r="A215" i="13" s="1"/>
  <c r="D215" i="13" s="1"/>
  <c r="A216" i="13" a="1"/>
  <c r="A216" i="13" s="1"/>
  <c r="B216" i="13" s="1"/>
  <c r="A217" i="13" a="1"/>
  <c r="A217" i="13" s="1"/>
  <c r="A218" i="13" a="1"/>
  <c r="A218" i="13" s="1"/>
  <c r="D218" i="13" s="1"/>
  <c r="A219" i="13" a="1"/>
  <c r="A219" i="13" s="1"/>
  <c r="C219" i="13" s="1"/>
  <c r="A220" i="13" a="1"/>
  <c r="A220" i="13" s="1"/>
  <c r="B220" i="13" s="1"/>
  <c r="A221" i="13" a="1"/>
  <c r="A221" i="13" s="1"/>
  <c r="C221" i="13" s="1"/>
  <c r="A222" i="13" a="1"/>
  <c r="A222" i="13" s="1"/>
  <c r="B222" i="13" s="1"/>
  <c r="A223" i="13" a="1"/>
  <c r="A223" i="13" s="1"/>
  <c r="D223" i="13" s="1"/>
  <c r="A224" i="13" a="1"/>
  <c r="A224" i="13" s="1"/>
  <c r="C224" i="13" s="1"/>
  <c r="A225" i="13" a="1"/>
  <c r="A225" i="13" s="1"/>
  <c r="A226" i="13" a="1"/>
  <c r="A226" i="13" s="1"/>
  <c r="D226" i="13" s="1"/>
  <c r="A227" i="13" a="1"/>
  <c r="A227" i="13" s="1"/>
  <c r="D227" i="13" s="1"/>
  <c r="A228" i="13" a="1"/>
  <c r="A228" i="13" s="1"/>
  <c r="B228" i="13" s="1"/>
  <c r="A229" i="13" a="1"/>
  <c r="A229" i="13" s="1"/>
  <c r="A230" i="13" a="1"/>
  <c r="A230" i="13" s="1"/>
  <c r="A231" i="13" a="1"/>
  <c r="A231" i="13" s="1"/>
  <c r="A232" i="13" a="1"/>
  <c r="A232" i="13" s="1"/>
  <c r="C232" i="13" s="1"/>
  <c r="A233" i="13" a="1"/>
  <c r="A233" i="13" s="1"/>
  <c r="A234" i="13" a="1"/>
  <c r="A234" i="13" s="1"/>
  <c r="B234" i="13" s="1"/>
  <c r="A235" i="13" a="1"/>
  <c r="A235" i="13" s="1"/>
  <c r="B235" i="13" s="1"/>
  <c r="A236" i="13" a="1"/>
  <c r="A236" i="13" s="1"/>
  <c r="C236" i="13" s="1"/>
  <c r="A237" i="13" a="1"/>
  <c r="A237" i="13" s="1"/>
  <c r="C237" i="13" s="1"/>
  <c r="A238" i="13" a="1"/>
  <c r="A238" i="13" s="1"/>
  <c r="D238" i="13" s="1"/>
  <c r="A239" i="13" a="1"/>
  <c r="A239" i="13" s="1"/>
  <c r="C239" i="13" s="1"/>
  <c r="A240" i="13" a="1"/>
  <c r="A240" i="13" s="1"/>
  <c r="D240" i="13" s="1"/>
  <c r="A241" i="13" a="1"/>
  <c r="A241" i="13" s="1"/>
  <c r="C241" i="13" s="1"/>
  <c r="A242" i="13" a="1"/>
  <c r="A242" i="13" s="1"/>
  <c r="A243" i="13" a="1"/>
  <c r="A243" i="13" s="1"/>
  <c r="C243" i="13" s="1"/>
  <c r="A244" i="13" a="1"/>
  <c r="A244" i="13" s="1"/>
  <c r="C244" i="13" s="1"/>
  <c r="A245" i="13" a="1"/>
  <c r="A245" i="13" s="1"/>
  <c r="D245" i="13" s="1"/>
  <c r="A246" i="13" a="1"/>
  <c r="A246" i="13" s="1"/>
  <c r="C246" i="13" s="1"/>
  <c r="A247" i="13" a="1"/>
  <c r="A247" i="13" s="1"/>
  <c r="D247" i="13" s="1"/>
  <c r="A248" i="13" a="1"/>
  <c r="A248" i="13" s="1"/>
  <c r="C248" i="13" s="1"/>
  <c r="A249" i="13" a="1"/>
  <c r="A249" i="13" s="1"/>
  <c r="C249" i="13" s="1"/>
  <c r="A250" i="13" a="1"/>
  <c r="A250" i="13" s="1"/>
  <c r="B250" i="13" s="1"/>
  <c r="A251" i="13" a="1"/>
  <c r="A251" i="13" s="1"/>
  <c r="D251" i="13" s="1"/>
  <c r="A252" i="13" a="1"/>
  <c r="A252" i="13" s="1"/>
  <c r="C252" i="13" s="1"/>
  <c r="A253" i="13" a="1"/>
  <c r="A253" i="13" s="1"/>
  <c r="B253" i="13" s="1"/>
  <c r="A254" i="13" a="1"/>
  <c r="A254" i="13" s="1"/>
  <c r="A255" i="13" a="1"/>
  <c r="A255" i="13" s="1"/>
  <c r="C255" i="13" s="1"/>
  <c r="A256" i="13" a="1"/>
  <c r="A256" i="13" s="1"/>
  <c r="C256" i="13" s="1"/>
  <c r="A257" i="13" a="1"/>
  <c r="A257" i="13" s="1"/>
  <c r="B257" i="13" s="1"/>
  <c r="A258" i="13" a="1"/>
  <c r="A258" i="13" s="1"/>
  <c r="C258" i="13" s="1"/>
  <c r="A259" i="13" a="1"/>
  <c r="A259" i="13" s="1"/>
  <c r="D259" i="13" s="1"/>
  <c r="A260" i="13" a="1"/>
  <c r="A260" i="13" s="1"/>
  <c r="B260" i="13" s="1"/>
  <c r="A261" i="13" a="1"/>
  <c r="A261" i="13" s="1"/>
  <c r="B261" i="13" s="1"/>
  <c r="A262" i="13" a="1"/>
  <c r="A262" i="13" s="1"/>
  <c r="A263" i="13" a="1"/>
  <c r="A263" i="13" s="1"/>
  <c r="D263" i="13" s="1"/>
  <c r="A264" i="13" a="1"/>
  <c r="A264" i="13" s="1"/>
  <c r="C264" i="13" s="1"/>
  <c r="A265" i="13" a="1"/>
  <c r="A265" i="13" s="1"/>
  <c r="D265" i="13" s="1"/>
  <c r="A266" i="13" a="1"/>
  <c r="A266" i="13" s="1"/>
  <c r="D266" i="13" s="1"/>
  <c r="A267" i="13" a="1"/>
  <c r="A267" i="13" s="1"/>
  <c r="B267" i="13" s="1"/>
  <c r="A268" i="13" a="1"/>
  <c r="A268" i="13" s="1"/>
  <c r="B268" i="13" s="1"/>
  <c r="A269" i="13" a="1"/>
  <c r="A269" i="13" s="1"/>
  <c r="B269" i="13" s="1"/>
  <c r="A270" i="13" a="1"/>
  <c r="A270" i="13" s="1"/>
  <c r="A271" i="13" a="1"/>
  <c r="A271" i="13" s="1"/>
  <c r="D271" i="13" s="1"/>
  <c r="A272" i="13" a="1"/>
  <c r="A272" i="13" s="1"/>
  <c r="A273" i="13" a="1"/>
  <c r="A273" i="13" s="1"/>
  <c r="D273" i="13" s="1"/>
  <c r="A274" i="13" a="1"/>
  <c r="A274" i="13" s="1"/>
  <c r="C274" i="13" s="1"/>
  <c r="A275" i="13" a="1"/>
  <c r="A275" i="13" s="1"/>
  <c r="D275" i="13" s="1"/>
  <c r="A276" i="13" a="1"/>
  <c r="A276" i="13" s="1"/>
  <c r="D276" i="13" s="1"/>
  <c r="A277" i="13" a="1"/>
  <c r="A277" i="13" s="1"/>
  <c r="C277" i="13" s="1"/>
  <c r="A278" i="13" a="1"/>
  <c r="A278" i="13" s="1"/>
  <c r="A279" i="13" a="1"/>
  <c r="A279" i="13" s="1"/>
  <c r="D279" i="13" s="1"/>
  <c r="A280" i="13" a="1"/>
  <c r="A280" i="13" s="1"/>
  <c r="A281" i="13" a="1"/>
  <c r="A281" i="13" s="1"/>
  <c r="D281" i="13" s="1"/>
  <c r="A282" i="13" a="1"/>
  <c r="A282" i="13" s="1"/>
  <c r="C282" i="13" s="1"/>
  <c r="A283" i="13" a="1"/>
  <c r="A283" i="13" s="1"/>
  <c r="A284" i="13" a="1"/>
  <c r="A284" i="13" s="1"/>
  <c r="D284" i="13" s="1"/>
  <c r="A285" i="13" a="1"/>
  <c r="A285" i="13" s="1"/>
  <c r="B285" i="13" s="1"/>
  <c r="A286" i="13" a="1"/>
  <c r="A286" i="13" s="1"/>
  <c r="A287" i="13" a="1"/>
  <c r="A287" i="13" s="1"/>
  <c r="D287" i="13" s="1"/>
  <c r="A288" i="13" a="1"/>
  <c r="A288" i="13" s="1"/>
  <c r="C288" i="13" s="1"/>
  <c r="A289" i="13" a="1"/>
  <c r="A289" i="13" s="1"/>
  <c r="D289" i="13" s="1"/>
  <c r="A290" i="13" a="1"/>
  <c r="A290" i="13" s="1"/>
  <c r="C290" i="13" s="1"/>
  <c r="A291" i="13" a="1"/>
  <c r="A291" i="13" s="1"/>
  <c r="C291" i="13" s="1"/>
  <c r="A292" i="13" a="1"/>
  <c r="A292" i="13" s="1"/>
  <c r="A293" i="13" a="1"/>
  <c r="A293" i="13" s="1"/>
  <c r="A294" i="13" a="1"/>
  <c r="A294" i="13" s="1"/>
  <c r="A295" i="13" a="1"/>
  <c r="A295" i="13" s="1"/>
  <c r="D295" i="13" s="1"/>
  <c r="A296" i="13" a="1"/>
  <c r="A296" i="13" s="1"/>
  <c r="D296" i="13" s="1"/>
  <c r="A297" i="13" a="1"/>
  <c r="A297" i="13" s="1"/>
  <c r="D297" i="13" s="1"/>
  <c r="A298" i="13" a="1"/>
  <c r="A298" i="13" s="1"/>
  <c r="D298" i="13" s="1"/>
  <c r="A299" i="13" a="1"/>
  <c r="A299" i="13" s="1"/>
  <c r="C299" i="13" s="1"/>
  <c r="A300" i="13" a="1"/>
  <c r="A300" i="13" s="1"/>
  <c r="D300" i="13" s="1"/>
  <c r="A301" i="13" a="1"/>
  <c r="A301" i="13" s="1"/>
  <c r="B301" i="13" s="1"/>
  <c r="A302" i="13" a="1"/>
  <c r="A302" i="13" s="1"/>
  <c r="D302" i="13" s="1"/>
  <c r="A303" i="13" a="1"/>
  <c r="A303" i="13" s="1"/>
  <c r="D303" i="13" s="1"/>
  <c r="A304" i="13" a="1"/>
  <c r="A304" i="13" s="1"/>
  <c r="A305" i="13" a="1"/>
  <c r="A305" i="13" s="1"/>
  <c r="C305" i="13" s="1"/>
  <c r="A306" i="13" a="1"/>
  <c r="A306" i="13" s="1"/>
  <c r="A307" i="13" a="1"/>
  <c r="A307" i="13" s="1"/>
  <c r="B307" i="13" s="1"/>
  <c r="A308" i="13" a="1"/>
  <c r="A308" i="13" s="1"/>
  <c r="C308" i="13" s="1"/>
  <c r="A309" i="13" a="1"/>
  <c r="A309" i="13" s="1"/>
  <c r="D309" i="13" s="1"/>
  <c r="A310" i="13" a="1"/>
  <c r="A310" i="13" s="1"/>
  <c r="C310" i="13" s="1"/>
  <c r="A311" i="13" a="1"/>
  <c r="A311" i="13" s="1"/>
  <c r="D311" i="13" s="1"/>
  <c r="A312" i="13" a="1"/>
  <c r="A312" i="13" s="1"/>
  <c r="D312" i="13" s="1"/>
  <c r="A313" i="13" a="1"/>
  <c r="A313" i="13" s="1"/>
  <c r="B313" i="13" s="1"/>
  <c r="A314" i="13" a="1"/>
  <c r="A314" i="13" s="1"/>
  <c r="B314" i="13" s="1"/>
  <c r="A315" i="13" a="1"/>
  <c r="A315" i="13" s="1"/>
  <c r="C315" i="13" s="1"/>
  <c r="A316" i="13" a="1"/>
  <c r="A316" i="13" s="1"/>
  <c r="C316" i="13" s="1"/>
  <c r="A317" i="13" a="1"/>
  <c r="A317" i="13" s="1"/>
  <c r="C317" i="13" s="1"/>
  <c r="A318" i="13" a="1"/>
  <c r="A318" i="13" s="1"/>
  <c r="D318" i="13" s="1"/>
  <c r="A319" i="13" a="1"/>
  <c r="A319" i="13" s="1"/>
  <c r="A320" i="13" a="1"/>
  <c r="A320" i="13" s="1"/>
  <c r="D320" i="13" s="1"/>
  <c r="A321" i="13" a="1"/>
  <c r="A321" i="13" s="1"/>
  <c r="A322" i="13" a="1"/>
  <c r="A322" i="13" s="1"/>
  <c r="B322" i="13" s="1"/>
  <c r="A323" i="13" a="1"/>
  <c r="A323" i="13" s="1"/>
  <c r="C323" i="13" s="1"/>
  <c r="A324" i="13" a="1"/>
  <c r="A324" i="13" s="1"/>
  <c r="A325" i="13" a="1"/>
  <c r="A325" i="13" s="1"/>
  <c r="D325" i="13" s="1"/>
  <c r="A326" i="13" a="1"/>
  <c r="A326" i="13" s="1"/>
  <c r="C326" i="13" s="1"/>
  <c r="A327" i="13" a="1"/>
  <c r="A327" i="13" s="1"/>
  <c r="C327" i="13" s="1"/>
  <c r="A328" i="13" a="1"/>
  <c r="A328" i="13" s="1"/>
  <c r="D328" i="13" s="1"/>
  <c r="A329" i="13" a="1"/>
  <c r="A329" i="13" s="1"/>
  <c r="D329" i="13" s="1"/>
  <c r="A330" i="13" a="1"/>
  <c r="A330" i="13" s="1"/>
  <c r="D330" i="13" s="1"/>
  <c r="A331" i="13" a="1"/>
  <c r="A331" i="13" s="1"/>
  <c r="C331" i="13" s="1"/>
  <c r="A332" i="13" a="1"/>
  <c r="A332" i="13" s="1"/>
  <c r="B332" i="13" s="1"/>
  <c r="A333" i="13" a="1"/>
  <c r="A333" i="13" s="1"/>
  <c r="D333" i="13" s="1"/>
  <c r="A334" i="13" a="1"/>
  <c r="A334" i="13" s="1"/>
  <c r="B334" i="13" s="1"/>
  <c r="A335" i="13" a="1"/>
  <c r="A335" i="13" s="1"/>
  <c r="D335" i="13" s="1"/>
  <c r="A336" i="13" a="1"/>
  <c r="A336" i="13" s="1"/>
  <c r="C336" i="13" s="1"/>
  <c r="A337" i="13" a="1"/>
  <c r="A337" i="13" s="1"/>
  <c r="B337" i="13" s="1"/>
  <c r="A338" i="13" a="1"/>
  <c r="A338" i="13" s="1"/>
  <c r="B338" i="13" s="1"/>
  <c r="A339" i="13" a="1"/>
  <c r="A339" i="13" s="1"/>
  <c r="D339" i="13" s="1"/>
  <c r="A340" i="13" a="1"/>
  <c r="A340" i="13" s="1"/>
  <c r="B340" i="13" s="1"/>
  <c r="A341" i="13" a="1"/>
  <c r="A341" i="13" s="1"/>
  <c r="B341" i="13" s="1"/>
  <c r="A342" i="13" a="1"/>
  <c r="A342" i="13" s="1"/>
  <c r="A343" i="13" a="1"/>
  <c r="A343" i="13" s="1"/>
  <c r="C343" i="13" s="1"/>
  <c r="A344" i="13" a="1"/>
  <c r="A344" i="13" s="1"/>
  <c r="C344" i="13" s="1"/>
  <c r="A345" i="13" a="1"/>
  <c r="A345" i="13" s="1"/>
  <c r="C345" i="13" s="1"/>
  <c r="A346" i="13" a="1"/>
  <c r="A346" i="13" s="1"/>
  <c r="D346" i="13" s="1"/>
  <c r="A347" i="13" a="1"/>
  <c r="A347" i="13" s="1"/>
  <c r="C347" i="13" s="1"/>
  <c r="A348" i="13" a="1"/>
  <c r="A348" i="13" s="1"/>
  <c r="B348" i="13" s="1"/>
  <c r="A349" i="13" a="1"/>
  <c r="A349" i="13" s="1"/>
  <c r="D349" i="13" s="1"/>
  <c r="A350" i="13" a="1"/>
  <c r="A350" i="13" s="1"/>
  <c r="C350" i="13" s="1"/>
  <c r="A351" i="13" a="1"/>
  <c r="A351" i="13" s="1"/>
  <c r="B351" i="13" s="1"/>
  <c r="A352" i="13" a="1"/>
  <c r="A352" i="13" s="1"/>
  <c r="C352" i="13" s="1"/>
  <c r="A353" i="13" a="1"/>
  <c r="A353" i="13" s="1"/>
  <c r="C353" i="13" s="1"/>
  <c r="A354" i="13" a="1"/>
  <c r="A354" i="13" s="1"/>
  <c r="A355" i="13" a="1"/>
  <c r="A355" i="13" s="1"/>
  <c r="C355" i="13" s="1"/>
  <c r="A356" i="13" a="1"/>
  <c r="A356" i="13" s="1"/>
  <c r="A357" i="13" a="1"/>
  <c r="A357" i="13" s="1"/>
  <c r="A358" i="13" a="1"/>
  <c r="A358" i="13" s="1"/>
  <c r="D358" i="13" s="1"/>
  <c r="A359" i="13" a="1"/>
  <c r="A359" i="13" s="1"/>
  <c r="B359" i="13" s="1"/>
  <c r="A360" i="13" a="1"/>
  <c r="A360" i="13" s="1"/>
  <c r="B360" i="13" s="1"/>
  <c r="A361" i="13" a="1"/>
  <c r="A361" i="13" s="1"/>
  <c r="C361" i="13" s="1"/>
  <c r="A362" i="13" a="1"/>
  <c r="A362" i="13" s="1"/>
  <c r="C362" i="13" s="1"/>
  <c r="A363" i="13" a="1"/>
  <c r="A363" i="13" s="1"/>
  <c r="A364" i="13" a="1"/>
  <c r="A364" i="13" s="1"/>
  <c r="B364" i="13" s="1"/>
  <c r="A365" i="13" a="1"/>
  <c r="A365" i="13" s="1"/>
  <c r="C365" i="13" s="1"/>
  <c r="A366" i="13" a="1"/>
  <c r="A366" i="13" s="1"/>
  <c r="C366" i="13" s="1"/>
  <c r="A367" i="13" a="1"/>
  <c r="A367" i="13" s="1"/>
  <c r="C367" i="13" s="1"/>
  <c r="A368" i="13" a="1"/>
  <c r="A368" i="13" s="1"/>
  <c r="D368" i="13" s="1"/>
  <c r="A369" i="13" a="1"/>
  <c r="A369" i="13" s="1"/>
  <c r="D369" i="13" s="1"/>
  <c r="A370" i="13" a="1"/>
  <c r="A370" i="13" s="1"/>
  <c r="D370" i="13" s="1"/>
  <c r="A371" i="13" a="1"/>
  <c r="A371" i="13" s="1"/>
  <c r="D371" i="13" s="1"/>
  <c r="A372" i="13" a="1"/>
  <c r="A372" i="13" s="1"/>
  <c r="A373" i="13" a="1"/>
  <c r="A373" i="13" s="1"/>
  <c r="D373" i="13" s="1"/>
  <c r="A374" i="13" a="1"/>
  <c r="A374" i="13" s="1"/>
  <c r="A375" i="13" a="1"/>
  <c r="A375" i="13" s="1"/>
  <c r="D375" i="13" s="1"/>
  <c r="A376" i="13" a="1"/>
  <c r="A376" i="13" s="1"/>
  <c r="C376" i="13" s="1"/>
  <c r="A377" i="13" a="1"/>
  <c r="A377" i="13" s="1"/>
  <c r="B377" i="13" s="1"/>
  <c r="A378" i="13" a="1"/>
  <c r="A378" i="13" s="1"/>
  <c r="A379" i="13" a="1"/>
  <c r="A379" i="13" s="1"/>
  <c r="A380" i="13" a="1"/>
  <c r="A380" i="13" s="1"/>
  <c r="D380" i="13" s="1"/>
  <c r="A381" i="13" a="1"/>
  <c r="A381" i="13" s="1"/>
  <c r="A382" i="13" a="1"/>
  <c r="A382" i="13" s="1"/>
  <c r="B382" i="13" s="1"/>
  <c r="A383" i="13" a="1"/>
  <c r="A383" i="13" s="1"/>
  <c r="A384" i="13" a="1"/>
  <c r="A384" i="13" s="1"/>
  <c r="B384" i="13" s="1"/>
  <c r="A385" i="13" a="1"/>
  <c r="A385" i="13" s="1"/>
  <c r="A386" i="13" a="1"/>
  <c r="A386" i="13" s="1"/>
  <c r="A387" i="13" a="1"/>
  <c r="A387" i="13" s="1"/>
  <c r="D387" i="13" s="1"/>
  <c r="A388" i="13" a="1"/>
  <c r="A388" i="13" s="1"/>
  <c r="C388" i="13" s="1"/>
  <c r="A389" i="13" a="1"/>
  <c r="A389" i="13" s="1"/>
  <c r="A390" i="13" a="1"/>
  <c r="A390" i="13" s="1"/>
  <c r="C390" i="13" s="1"/>
  <c r="A391" i="13" a="1"/>
  <c r="A391" i="13" s="1"/>
  <c r="D391" i="13" s="1"/>
  <c r="A392" i="13" a="1"/>
  <c r="A392" i="13" s="1"/>
  <c r="B392" i="13" s="1"/>
  <c r="A393" i="13" a="1"/>
  <c r="A393" i="13" s="1"/>
  <c r="B393" i="13" s="1"/>
  <c r="A394" i="13" a="1"/>
  <c r="A394" i="13" s="1"/>
  <c r="B394" i="13" s="1"/>
  <c r="A395" i="13" a="1"/>
  <c r="A395" i="13" s="1"/>
  <c r="B395" i="13" s="1"/>
  <c r="A396" i="13" a="1"/>
  <c r="A396" i="13" s="1"/>
  <c r="C396" i="13" s="1"/>
  <c r="A397" i="13" a="1"/>
  <c r="A397" i="13" s="1"/>
  <c r="B397" i="13" s="1"/>
  <c r="A398" i="13" a="1"/>
  <c r="A398" i="13" s="1"/>
  <c r="D398" i="13" s="1"/>
  <c r="A399" i="13" a="1"/>
  <c r="A399" i="13" s="1"/>
  <c r="A400" i="13" a="1"/>
  <c r="A400" i="13" s="1"/>
  <c r="C400" i="13" s="1"/>
  <c r="A401" i="13" a="1"/>
  <c r="A401" i="13" s="1"/>
  <c r="A402" i="13" a="1"/>
  <c r="A402" i="13" s="1"/>
  <c r="A403" i="13" a="1"/>
  <c r="A403" i="13" s="1"/>
  <c r="A404" i="13" a="1"/>
  <c r="A404" i="13" s="1"/>
  <c r="B404" i="13" s="1"/>
  <c r="A405" i="13" a="1"/>
  <c r="A405" i="13" s="1"/>
  <c r="A406" i="13" a="1"/>
  <c r="A406" i="13" s="1"/>
  <c r="D406" i="13" s="1"/>
  <c r="A407" i="13" a="1"/>
  <c r="A407" i="13" s="1"/>
  <c r="B407" i="13" s="1"/>
  <c r="A408" i="13" a="1"/>
  <c r="A408" i="13" s="1"/>
  <c r="B408" i="13" s="1"/>
  <c r="A409" i="13" a="1"/>
  <c r="A409" i="13" s="1"/>
  <c r="B409" i="13" s="1"/>
  <c r="A410" i="13" a="1"/>
  <c r="A410" i="13" s="1"/>
  <c r="A411" i="13" a="1"/>
  <c r="A411" i="13" s="1"/>
  <c r="B411" i="13" s="1"/>
  <c r="A412" i="13" a="1"/>
  <c r="A412" i="13" s="1"/>
  <c r="A413" i="13" a="1"/>
  <c r="A413" i="13" s="1"/>
  <c r="B413" i="13" s="1"/>
  <c r="A414" i="13" a="1"/>
  <c r="A414" i="13" s="1"/>
  <c r="D414" i="13" s="1"/>
  <c r="A415" i="13" a="1"/>
  <c r="A415" i="13" s="1"/>
  <c r="D415" i="13" s="1"/>
  <c r="A416" i="13" a="1"/>
  <c r="A416" i="13" s="1"/>
  <c r="C416" i="13" s="1"/>
  <c r="A417" i="13" a="1"/>
  <c r="A417" i="13" s="1"/>
  <c r="A418" i="13" a="1"/>
  <c r="A418" i="13" s="1"/>
  <c r="A419" i="13" a="1"/>
  <c r="A419" i="13" s="1"/>
  <c r="C419" i="13" s="1"/>
  <c r="A420" i="13" a="1"/>
  <c r="A420" i="13" s="1"/>
  <c r="D420" i="13" s="1"/>
  <c r="A421" i="13" a="1"/>
  <c r="A421" i="13" s="1"/>
  <c r="B421" i="13" s="1"/>
  <c r="A422" i="13" a="1"/>
  <c r="A422" i="13" s="1"/>
  <c r="A423" i="13" a="1"/>
  <c r="A423" i="13" s="1"/>
  <c r="D423" i="13" s="1"/>
  <c r="A424" i="13" a="1"/>
  <c r="A424" i="13" s="1"/>
  <c r="B424" i="13" s="1"/>
  <c r="A425" i="13" a="1"/>
  <c r="A425" i="13" s="1"/>
  <c r="C425" i="13" s="1"/>
  <c r="A426" i="13" a="1"/>
  <c r="A426" i="13" s="1"/>
  <c r="B426" i="13" s="1"/>
  <c r="A427" i="13" a="1"/>
  <c r="A427" i="13" s="1"/>
  <c r="C427" i="13" s="1"/>
  <c r="A428" i="13" a="1"/>
  <c r="A428" i="13" s="1"/>
  <c r="B428" i="13" s="1"/>
  <c r="A429" i="13" a="1"/>
  <c r="A429" i="13" s="1"/>
  <c r="C429" i="13" s="1"/>
  <c r="A430" i="13" a="1"/>
  <c r="A430" i="13" s="1"/>
  <c r="D430" i="13" s="1"/>
  <c r="A431" i="13" a="1"/>
  <c r="A431" i="13" s="1"/>
  <c r="B431" i="13" s="1"/>
  <c r="A432" i="13" a="1"/>
  <c r="A432" i="13" s="1"/>
  <c r="A433" i="13" a="1"/>
  <c r="A433" i="13" s="1"/>
  <c r="A434" i="13" a="1"/>
  <c r="A434" i="13" s="1"/>
  <c r="B434" i="13" s="1"/>
  <c r="A435" i="13" a="1"/>
  <c r="A435" i="13" s="1"/>
  <c r="D435" i="13" s="1"/>
  <c r="A436" i="13" a="1"/>
  <c r="A436" i="13" s="1"/>
  <c r="B436" i="13" s="1"/>
  <c r="A437" i="13" a="1"/>
  <c r="A437" i="13" s="1"/>
  <c r="C437" i="13" s="1"/>
  <c r="A438" i="13" a="1"/>
  <c r="A438" i="13" s="1"/>
  <c r="B438" i="13" s="1"/>
  <c r="A439" i="13" a="1"/>
  <c r="A439" i="13" s="1"/>
  <c r="C439" i="13" s="1"/>
  <c r="A440" i="13" a="1"/>
  <c r="A440" i="13" s="1"/>
  <c r="B440" i="13" s="1"/>
  <c r="A441" i="13" a="1"/>
  <c r="A441" i="13" s="1"/>
  <c r="B441" i="13" s="1"/>
  <c r="A442" i="13" a="1"/>
  <c r="A442" i="13" s="1"/>
  <c r="B442" i="13" s="1"/>
  <c r="A443" i="13" a="1"/>
  <c r="A443" i="13" s="1"/>
  <c r="D443" i="13" s="1"/>
  <c r="A444" i="13" a="1"/>
  <c r="A444" i="13" s="1"/>
  <c r="D444" i="13" s="1"/>
  <c r="A445" i="13" a="1"/>
  <c r="A445" i="13" s="1"/>
  <c r="B445" i="13" s="1"/>
  <c r="A446" i="13" a="1"/>
  <c r="A446" i="13" s="1"/>
  <c r="A447" i="13" a="1"/>
  <c r="A447" i="13" s="1"/>
  <c r="B447" i="13" s="1"/>
  <c r="A448" i="13" a="1"/>
  <c r="A448" i="13" s="1"/>
  <c r="A449" i="13" a="1"/>
  <c r="A449" i="13" s="1"/>
  <c r="C449" i="13" s="1"/>
  <c r="A450" i="13" a="1"/>
  <c r="A450" i="13" s="1"/>
  <c r="B450" i="13" s="1"/>
  <c r="A451" i="13" a="1"/>
  <c r="A451" i="13" s="1"/>
  <c r="C451" i="13" s="1"/>
  <c r="A452" i="13" a="1"/>
  <c r="A452" i="13" s="1"/>
  <c r="A453" i="13" a="1"/>
  <c r="A453" i="13" s="1"/>
  <c r="C453" i="13" s="1"/>
  <c r="A454" i="13" a="1"/>
  <c r="A454" i="13" s="1"/>
  <c r="D454" i="13" s="1"/>
  <c r="A455" i="13" a="1"/>
  <c r="A455" i="13" s="1"/>
  <c r="C455" i="13" s="1"/>
  <c r="A456" i="13" a="1"/>
  <c r="A456" i="13" s="1"/>
  <c r="B456" i="13" s="1"/>
  <c r="A457" i="13" a="1"/>
  <c r="A457" i="13" s="1"/>
  <c r="C457" i="13" s="1"/>
  <c r="A458" i="13" a="1"/>
  <c r="A458" i="13" s="1"/>
  <c r="D458" i="13" s="1"/>
  <c r="A459" i="13" a="1"/>
  <c r="A459" i="13" s="1"/>
  <c r="A460" i="13" a="1"/>
  <c r="A460" i="13" s="1"/>
  <c r="D460" i="13" s="1"/>
  <c r="A461" i="13" a="1"/>
  <c r="A461" i="13" s="1"/>
  <c r="B461" i="13" s="1"/>
  <c r="A462" i="13" a="1"/>
  <c r="A462" i="13" s="1"/>
  <c r="D462" i="13" s="1"/>
  <c r="A463" i="13" a="1"/>
  <c r="A463" i="13" s="1"/>
  <c r="B463" i="13" s="1"/>
  <c r="A464" i="13" a="1"/>
  <c r="A464" i="13" s="1"/>
  <c r="B464" i="13" s="1"/>
  <c r="A465" i="13" a="1"/>
  <c r="A465" i="13" s="1"/>
  <c r="A466" i="13" a="1"/>
  <c r="A466" i="13" s="1"/>
  <c r="D466" i="13" s="1"/>
  <c r="A467" i="13" a="1"/>
  <c r="A467" i="13" s="1"/>
  <c r="D467" i="13" s="1"/>
  <c r="A468" i="13" a="1"/>
  <c r="A468" i="13" s="1"/>
  <c r="C468" i="13" s="1"/>
  <c r="A469" i="13" a="1"/>
  <c r="A469" i="13" s="1"/>
  <c r="D469" i="13" s="1"/>
  <c r="A470" i="13" a="1"/>
  <c r="A470" i="13" s="1"/>
  <c r="D470" i="13" s="1"/>
  <c r="A471" i="13" a="1"/>
  <c r="A471" i="13" s="1"/>
  <c r="D471" i="13" s="1"/>
  <c r="A472" i="13" a="1"/>
  <c r="A472" i="13" s="1"/>
  <c r="D472" i="13" s="1"/>
  <c r="A473" i="13" a="1"/>
  <c r="A473" i="13" s="1"/>
  <c r="B473" i="13" s="1"/>
  <c r="A474" i="13" a="1"/>
  <c r="A474" i="13" s="1"/>
  <c r="B474" i="13" s="1"/>
  <c r="A475" i="13" a="1"/>
  <c r="A475" i="13" s="1"/>
  <c r="B475" i="13" s="1"/>
  <c r="A476" i="13" a="1"/>
  <c r="A476" i="13" s="1"/>
  <c r="D476" i="13" s="1"/>
  <c r="A477" i="13" a="1"/>
  <c r="A477" i="13" s="1"/>
  <c r="C477" i="13" s="1"/>
  <c r="A478" i="13" a="1"/>
  <c r="A478" i="13" s="1"/>
  <c r="D478" i="13" s="1"/>
  <c r="A479" i="13" a="1"/>
  <c r="A479" i="13" s="1"/>
  <c r="C479" i="13" s="1"/>
  <c r="A480" i="13" a="1"/>
  <c r="A480" i="13" s="1"/>
  <c r="D480" i="13" s="1"/>
  <c r="A481" i="13" a="1"/>
  <c r="A481" i="13" s="1"/>
  <c r="B481" i="13" s="1"/>
  <c r="A482" i="13" a="1"/>
  <c r="A482" i="13" s="1"/>
  <c r="B482" i="13" s="1"/>
  <c r="A483" i="13" a="1"/>
  <c r="A483" i="13" s="1"/>
  <c r="C483" i="13" s="1"/>
  <c r="A484" i="13" a="1"/>
  <c r="A484" i="13" s="1"/>
  <c r="D484" i="13" s="1"/>
  <c r="A485" i="13" a="1"/>
  <c r="A485" i="13" s="1"/>
  <c r="B485" i="13" s="1"/>
  <c r="A486" i="13" a="1"/>
  <c r="A486" i="13" s="1"/>
  <c r="A487" i="13" a="1"/>
  <c r="A487" i="13" s="1"/>
  <c r="A488" i="13" a="1"/>
  <c r="A488" i="13" s="1"/>
  <c r="B488" i="13" s="1"/>
  <c r="A489" i="13" a="1"/>
  <c r="A489" i="13" s="1"/>
  <c r="B489" i="13" s="1"/>
  <c r="A490" i="13" a="1"/>
  <c r="A490" i="13" s="1"/>
  <c r="D490" i="13" s="1"/>
  <c r="A491" i="13" a="1"/>
  <c r="A491" i="13" s="1"/>
  <c r="D491" i="13" s="1"/>
  <c r="A492" i="13" a="1"/>
  <c r="A492" i="13" s="1"/>
  <c r="B492" i="13" s="1"/>
  <c r="A493" i="13" a="1"/>
  <c r="A493" i="13" s="1"/>
  <c r="C493" i="13" s="1"/>
  <c r="A494" i="13" a="1"/>
  <c r="A494" i="13" s="1"/>
  <c r="B494" i="13" s="1"/>
  <c r="A495" i="13" a="1"/>
  <c r="A495" i="13" s="1"/>
  <c r="A496" i="13" a="1"/>
  <c r="A496" i="13" s="1"/>
  <c r="A497" i="13" a="1"/>
  <c r="A497" i="13" s="1"/>
  <c r="D497" i="13" s="1"/>
  <c r="A498" i="13" a="1"/>
  <c r="A498" i="13" s="1"/>
  <c r="B498" i="13" s="1"/>
  <c r="A499" i="13" a="1"/>
  <c r="A499" i="13" s="1"/>
  <c r="D499" i="13" s="1"/>
  <c r="A500" i="13" a="1"/>
  <c r="A500" i="13" s="1"/>
  <c r="D500" i="13" s="1"/>
  <c r="A501" i="13" a="1"/>
  <c r="A501" i="13" s="1"/>
  <c r="A502" i="13" a="1"/>
  <c r="A502" i="13" s="1"/>
  <c r="D502" i="13" s="1"/>
  <c r="A503" i="13" a="1"/>
  <c r="A503" i="13" s="1"/>
  <c r="B503" i="13" s="1"/>
  <c r="A504" i="13" a="1"/>
  <c r="A504" i="13" s="1"/>
  <c r="B504" i="13" s="1"/>
  <c r="A505" i="13" a="1"/>
  <c r="A505" i="13" s="1"/>
  <c r="C505" i="13" s="1"/>
  <c r="A506" i="13" a="1"/>
  <c r="A506" i="13" s="1"/>
  <c r="D506" i="13" s="1"/>
  <c r="A507" i="13" a="1"/>
  <c r="A507" i="13" s="1"/>
  <c r="D507" i="13" s="1"/>
  <c r="A508" i="13" a="1"/>
  <c r="A508" i="13" s="1"/>
  <c r="C508" i="13" s="1"/>
  <c r="A509" i="13" a="1"/>
  <c r="A509" i="13" s="1"/>
  <c r="B509" i="13" s="1"/>
  <c r="A510" i="13" a="1"/>
  <c r="A510" i="13" s="1"/>
  <c r="A511" i="13" a="1"/>
  <c r="A511" i="13" s="1"/>
  <c r="B511" i="13" s="1"/>
  <c r="A512" i="13" a="1"/>
  <c r="A512" i="13" s="1"/>
  <c r="A513" i="13" a="1"/>
  <c r="A513" i="13" s="1"/>
  <c r="D513" i="13" s="1"/>
  <c r="A514" i="13" a="1"/>
  <c r="A514" i="13" s="1"/>
  <c r="B514" i="13" s="1"/>
  <c r="A515" i="13" a="1"/>
  <c r="A515" i="13" s="1"/>
  <c r="B515" i="13" s="1"/>
  <c r="A516" i="13" a="1"/>
  <c r="A516" i="13" s="1"/>
  <c r="D516" i="13" s="1"/>
  <c r="A517" i="13" a="1"/>
  <c r="A517" i="13" s="1"/>
  <c r="D517" i="13" s="1"/>
  <c r="A518" i="13" a="1"/>
  <c r="A518" i="13" s="1"/>
  <c r="C518" i="13" s="1"/>
  <c r="A519" i="13" a="1"/>
  <c r="A519" i="13" s="1"/>
  <c r="D519" i="13" s="1"/>
  <c r="A520" i="13" a="1"/>
  <c r="A520" i="13" s="1"/>
  <c r="D520" i="13" s="1"/>
  <c r="A521" i="13" a="1"/>
  <c r="A521" i="13" s="1"/>
  <c r="B521" i="13" s="1"/>
  <c r="A522" i="13" a="1"/>
  <c r="A522" i="13" s="1"/>
  <c r="A523" i="13" a="1"/>
  <c r="A523" i="13" s="1"/>
  <c r="D523" i="13" s="1"/>
  <c r="A524" i="13" a="1"/>
  <c r="A524" i="13" s="1"/>
  <c r="D524" i="13" s="1"/>
  <c r="A525" i="13" a="1"/>
  <c r="A525" i="13" s="1"/>
  <c r="C525" i="13" s="1"/>
  <c r="A526" i="13" a="1"/>
  <c r="A526" i="13" s="1"/>
  <c r="C526" i="13" s="1"/>
  <c r="A527" i="13" a="1"/>
  <c r="A527" i="13" s="1"/>
  <c r="A528" i="13" a="1"/>
  <c r="A528" i="13" s="1"/>
  <c r="D528" i="13" s="1"/>
  <c r="A529" i="13" a="1"/>
  <c r="A529" i="13" s="1"/>
  <c r="C529" i="13" s="1"/>
  <c r="A530" i="13" a="1"/>
  <c r="A530" i="13" s="1"/>
  <c r="A531" i="13" a="1"/>
  <c r="A531" i="13" s="1"/>
  <c r="B531" i="13" s="1"/>
  <c r="A532" i="13" a="1"/>
  <c r="A532" i="13" s="1"/>
  <c r="C532" i="13" s="1"/>
  <c r="A533" i="13" a="1"/>
  <c r="A533" i="13" s="1"/>
  <c r="C533" i="13" s="1"/>
  <c r="A534" i="13" a="1"/>
  <c r="A534" i="13" s="1"/>
  <c r="B534" i="13" s="1"/>
  <c r="A535" i="13" a="1"/>
  <c r="A535" i="13" s="1"/>
  <c r="C535" i="13" s="1"/>
  <c r="A536" i="13" a="1"/>
  <c r="A536" i="13" s="1"/>
  <c r="C536" i="13" s="1"/>
  <c r="A537" i="13" a="1"/>
  <c r="A537" i="13" s="1"/>
  <c r="C537" i="13" s="1"/>
  <c r="A538" i="13" a="1"/>
  <c r="A538" i="13" s="1"/>
  <c r="D538" i="13" s="1"/>
  <c r="A539" i="13" a="1"/>
  <c r="A539" i="13" s="1"/>
  <c r="B539" i="13" s="1"/>
  <c r="A540" i="13" a="1"/>
  <c r="A540" i="13" s="1"/>
  <c r="B540" i="13" s="1"/>
  <c r="A541" i="13" a="1"/>
  <c r="A541" i="13" s="1"/>
  <c r="A542" i="13" a="1"/>
  <c r="A542" i="13" s="1"/>
  <c r="A543" i="13" a="1"/>
  <c r="A543" i="13" s="1"/>
  <c r="D543" i="13" s="1"/>
  <c r="A544" i="13" a="1"/>
  <c r="A544" i="13" s="1"/>
  <c r="D544" i="13" s="1"/>
  <c r="A545" i="13" a="1"/>
  <c r="A545" i="13" s="1"/>
  <c r="A546" i="13" a="1"/>
  <c r="A546" i="13" s="1"/>
  <c r="D546" i="13" s="1"/>
  <c r="A547" i="13" a="1"/>
  <c r="A547" i="13" s="1"/>
  <c r="A548" i="13" a="1"/>
  <c r="A548" i="13" s="1"/>
  <c r="B548" i="13" s="1"/>
  <c r="A549" i="13" a="1"/>
  <c r="A549" i="13" s="1"/>
  <c r="C549" i="13" s="1"/>
  <c r="A550" i="13" a="1"/>
  <c r="A550" i="13" s="1"/>
  <c r="A551" i="13" a="1"/>
  <c r="A551" i="13" s="1"/>
  <c r="C551" i="13" s="1"/>
  <c r="A552" i="13" a="1"/>
  <c r="A552" i="13" s="1"/>
  <c r="C552" i="13" s="1"/>
  <c r="A553" i="13" a="1"/>
  <c r="A553" i="13" s="1"/>
  <c r="B553" i="13" s="1"/>
  <c r="A554" i="13" a="1"/>
  <c r="A554" i="13" s="1"/>
  <c r="B554" i="13" s="1"/>
  <c r="A555" i="13" a="1"/>
  <c r="A555" i="13" s="1"/>
  <c r="B555" i="13" s="1"/>
  <c r="A556" i="13" a="1"/>
  <c r="A556" i="13" s="1"/>
  <c r="B556" i="13" s="1"/>
  <c r="A557" i="13" a="1"/>
  <c r="A557" i="13" s="1"/>
  <c r="D557" i="13" s="1"/>
  <c r="A558" i="13" a="1"/>
  <c r="A558" i="13" s="1"/>
  <c r="C558" i="13" s="1"/>
  <c r="A559" i="13" a="1"/>
  <c r="A559" i="13" s="1"/>
  <c r="A560" i="13" a="1"/>
  <c r="A560" i="13" s="1"/>
  <c r="D560" i="13" s="1"/>
  <c r="A561" i="13" a="1"/>
  <c r="A561" i="13" s="1"/>
  <c r="C561" i="13" s="1"/>
  <c r="A562" i="13" a="1"/>
  <c r="A562" i="13" s="1"/>
  <c r="D562" i="13" s="1"/>
  <c r="A563" i="13" a="1"/>
  <c r="A563" i="13" s="1"/>
  <c r="C563" i="13" s="1"/>
  <c r="A564" i="13" a="1"/>
  <c r="A564" i="13" s="1"/>
  <c r="D564" i="13" s="1"/>
  <c r="A565" i="13" a="1"/>
  <c r="A565" i="13" s="1"/>
  <c r="A566" i="13" a="1"/>
  <c r="A566" i="13" s="1"/>
  <c r="B566" i="13" s="1"/>
  <c r="A567" i="13" a="1"/>
  <c r="A567" i="13" s="1"/>
  <c r="C567" i="13" s="1"/>
  <c r="A568" i="13" a="1"/>
  <c r="A568" i="13" s="1"/>
  <c r="C568" i="13" s="1"/>
  <c r="A569" i="13" a="1"/>
  <c r="A569" i="13" s="1"/>
  <c r="A570" i="13" a="1"/>
  <c r="A570" i="13" s="1"/>
  <c r="D570" i="13" s="1"/>
  <c r="A571" i="13" a="1"/>
  <c r="A571" i="13" s="1"/>
  <c r="A572" i="13" a="1"/>
  <c r="A572" i="13" s="1"/>
  <c r="A573" i="13" a="1"/>
  <c r="A573" i="13" s="1"/>
  <c r="D573" i="13" s="1"/>
  <c r="A574" i="13" a="1"/>
  <c r="A574" i="13" s="1"/>
  <c r="A575" i="13" a="1"/>
  <c r="A575" i="13" s="1"/>
  <c r="B575" i="13" s="1"/>
  <c r="A576" i="13" a="1"/>
  <c r="A576" i="13" s="1"/>
  <c r="D576" i="13" s="1"/>
  <c r="A577" i="13" a="1"/>
  <c r="A577" i="13" s="1"/>
  <c r="B577" i="13" s="1"/>
  <c r="A578" i="13" a="1"/>
  <c r="A578" i="13" s="1"/>
  <c r="B578" i="13" s="1"/>
  <c r="A579" i="13" a="1"/>
  <c r="A579" i="13" s="1"/>
  <c r="D579" i="13" s="1"/>
  <c r="A580" i="13" a="1"/>
  <c r="A580" i="13" s="1"/>
  <c r="B580" i="13" s="1"/>
  <c r="A581" i="13" a="1"/>
  <c r="A581" i="13" s="1"/>
  <c r="A582" i="13" a="1"/>
  <c r="A582" i="13" s="1"/>
  <c r="B582" i="13" s="1"/>
  <c r="A583" i="13" a="1"/>
  <c r="A583" i="13" s="1"/>
  <c r="D583" i="13" s="1"/>
  <c r="A584" i="13" a="1"/>
  <c r="A584" i="13" s="1"/>
  <c r="B584" i="13" s="1"/>
  <c r="A585" i="13" a="1"/>
  <c r="A585" i="13" s="1"/>
  <c r="C585" i="13" s="1"/>
  <c r="A586" i="13" a="1"/>
  <c r="A586" i="13" s="1"/>
  <c r="D586" i="13" s="1"/>
  <c r="A587" i="13" a="1"/>
  <c r="A587" i="13" s="1"/>
  <c r="A588" i="13" a="1"/>
  <c r="A588" i="13" s="1"/>
  <c r="C588" i="13" s="1"/>
  <c r="A589" i="13" a="1"/>
  <c r="A589" i="13" s="1"/>
  <c r="A590" i="13" a="1"/>
  <c r="A590" i="13" s="1"/>
  <c r="B590" i="13" s="1"/>
  <c r="A591" i="13" a="1"/>
  <c r="A591" i="13" s="1"/>
  <c r="B591" i="13" s="1"/>
  <c r="A592" i="13" a="1"/>
  <c r="A592" i="13" s="1"/>
  <c r="C592" i="13" s="1"/>
  <c r="A593" i="13" a="1"/>
  <c r="A593" i="13" s="1"/>
  <c r="C593" i="13" s="1"/>
  <c r="A594" i="13" a="1"/>
  <c r="A594" i="13" s="1"/>
  <c r="D594" i="13" s="1"/>
  <c r="A595" i="13" a="1"/>
  <c r="A595" i="13" s="1"/>
  <c r="A596" i="13" a="1"/>
  <c r="A596" i="13" s="1"/>
  <c r="C596" i="13" s="1"/>
  <c r="A597" i="13" a="1"/>
  <c r="A597" i="13" s="1"/>
  <c r="B597" i="13" s="1"/>
  <c r="A598" i="13" a="1"/>
  <c r="A598" i="13" s="1"/>
  <c r="D598" i="13" s="1"/>
  <c r="A599" i="13" a="1"/>
  <c r="A599" i="13" s="1"/>
  <c r="D599" i="13" s="1"/>
  <c r="A600" i="13" a="1"/>
  <c r="A600" i="13" s="1"/>
  <c r="C600" i="13" s="1"/>
  <c r="A601" i="13" a="1"/>
  <c r="A601" i="13" s="1"/>
  <c r="B601" i="13" s="1"/>
  <c r="A602" i="13" a="1"/>
  <c r="A602" i="13" s="1"/>
  <c r="D602" i="13" s="1"/>
  <c r="A603" i="13" a="1"/>
  <c r="A603" i="13" s="1"/>
  <c r="A604" i="13" a="1"/>
  <c r="A604" i="13" s="1"/>
  <c r="C604" i="13" s="1"/>
  <c r="A605" i="13" a="1"/>
  <c r="A605" i="13" s="1"/>
  <c r="D605" i="13" s="1"/>
  <c r="A606" i="13" a="1"/>
  <c r="A606" i="13" s="1"/>
  <c r="B606" i="13" s="1"/>
  <c r="A607" i="13" a="1"/>
  <c r="A607" i="13" s="1"/>
  <c r="A608" i="13" a="1"/>
  <c r="A608" i="13" s="1"/>
  <c r="A609" i="13" a="1"/>
  <c r="A609" i="13" s="1"/>
  <c r="D609" i="13" s="1"/>
  <c r="A610" i="13" a="1"/>
  <c r="A610" i="13" s="1"/>
  <c r="A611" i="13" a="1"/>
  <c r="A611" i="13" s="1"/>
  <c r="A612" i="13" a="1"/>
  <c r="A612" i="13" s="1"/>
  <c r="C612" i="13" s="1"/>
  <c r="A613" i="13" a="1"/>
  <c r="A613" i="13" s="1"/>
  <c r="B613" i="13" s="1"/>
  <c r="A614" i="13" a="1"/>
  <c r="A614" i="13" s="1"/>
  <c r="A615" i="13" a="1"/>
  <c r="A615" i="13" s="1"/>
  <c r="A616" i="13" a="1"/>
  <c r="A616" i="13" s="1"/>
  <c r="B616" i="13" s="1"/>
  <c r="A617" i="13" a="1"/>
  <c r="A617" i="13" s="1"/>
  <c r="A618" i="13" a="1"/>
  <c r="A618" i="13" s="1"/>
  <c r="B618" i="13" s="1"/>
  <c r="A619" i="13" a="1"/>
  <c r="A619" i="13" s="1"/>
  <c r="D619" i="13" s="1"/>
  <c r="A620" i="13" a="1"/>
  <c r="A620" i="13" s="1"/>
  <c r="D620" i="13" s="1"/>
  <c r="A621" i="13" a="1"/>
  <c r="A621" i="13" s="1"/>
  <c r="C621" i="13" s="1"/>
  <c r="A622" i="13" a="1"/>
  <c r="A622" i="13" s="1"/>
  <c r="A623" i="13" a="1"/>
  <c r="A623" i="13" s="1"/>
  <c r="B623" i="13" s="1"/>
  <c r="A624" i="13" a="1"/>
  <c r="A624" i="13" s="1"/>
  <c r="C624" i="13" s="1"/>
  <c r="A625" i="13" a="1"/>
  <c r="A625" i="13" s="1"/>
  <c r="D625" i="13" s="1"/>
  <c r="A626" i="13" a="1"/>
  <c r="A626" i="13" s="1"/>
  <c r="A627" i="13" a="1"/>
  <c r="A627" i="13" s="1"/>
  <c r="D627" i="13" s="1"/>
  <c r="A628" i="13" a="1"/>
  <c r="A628" i="13" s="1"/>
  <c r="D628" i="13" s="1"/>
  <c r="A629" i="13" a="1"/>
  <c r="A629" i="13" s="1"/>
  <c r="A630" i="13" a="1"/>
  <c r="A630" i="13" s="1"/>
  <c r="D630" i="13" s="1"/>
  <c r="A631" i="13" a="1"/>
  <c r="A631" i="13" s="1"/>
  <c r="B631" i="13" s="1"/>
  <c r="A632" i="13" a="1"/>
  <c r="A632" i="13" s="1"/>
  <c r="A633" i="13" a="1"/>
  <c r="A633" i="13" s="1"/>
  <c r="A634" i="13" a="1"/>
  <c r="A634" i="13" s="1"/>
  <c r="D634" i="13" s="1"/>
  <c r="A635" i="13" a="1"/>
  <c r="A635" i="13" s="1"/>
  <c r="D635" i="13" s="1"/>
  <c r="A636" i="13" a="1"/>
  <c r="A636" i="13" s="1"/>
  <c r="C636" i="13" s="1"/>
  <c r="A637" i="13" a="1"/>
  <c r="A637" i="13" s="1"/>
  <c r="D637" i="13" s="1"/>
  <c r="A638" i="13" a="1"/>
  <c r="A638" i="13" s="1"/>
  <c r="D638" i="13" s="1"/>
  <c r="A639" i="13" a="1"/>
  <c r="A639" i="13" s="1"/>
  <c r="A640" i="13" a="1"/>
  <c r="A640" i="13" s="1"/>
  <c r="C640" i="13" s="1"/>
  <c r="A641" i="13" a="1"/>
  <c r="A641" i="13" s="1"/>
  <c r="D641" i="13" s="1"/>
  <c r="A642" i="13" a="1"/>
  <c r="A642" i="13" s="1"/>
  <c r="D642" i="13" s="1"/>
  <c r="A643" i="13" a="1"/>
  <c r="A643" i="13" s="1"/>
  <c r="A644" i="13" a="1"/>
  <c r="A644" i="13" s="1"/>
  <c r="C644" i="13" s="1"/>
  <c r="A645" i="13" a="1"/>
  <c r="A645" i="13" s="1"/>
  <c r="B645" i="13" s="1"/>
  <c r="A646" i="13" a="1"/>
  <c r="A646" i="13" s="1"/>
  <c r="D646" i="13" s="1"/>
  <c r="A647" i="13" a="1"/>
  <c r="A647" i="13" s="1"/>
  <c r="A648" i="13" a="1"/>
  <c r="A648" i="13" s="1"/>
  <c r="A649" i="13" a="1"/>
  <c r="A649" i="13" s="1"/>
  <c r="B649" i="13" s="1"/>
  <c r="A650" i="13" a="1"/>
  <c r="A650" i="13" s="1"/>
  <c r="C650" i="13" s="1"/>
  <c r="A651" i="13" a="1"/>
  <c r="A651" i="13" s="1"/>
  <c r="C651" i="13" s="1"/>
  <c r="A652" i="13" a="1"/>
  <c r="A652" i="13" s="1"/>
  <c r="C652" i="13" s="1"/>
  <c r="A653" i="13" a="1"/>
  <c r="A653" i="13" s="1"/>
  <c r="D653" i="13" s="1"/>
  <c r="A654" i="13" a="1"/>
  <c r="A654" i="13" s="1"/>
  <c r="C654" i="13" s="1"/>
  <c r="A655" i="13" a="1"/>
  <c r="A655" i="13" s="1"/>
  <c r="C655" i="13" s="1"/>
  <c r="A656" i="13" a="1"/>
  <c r="A656" i="13" s="1"/>
  <c r="A657" i="13" a="1"/>
  <c r="A657" i="13" s="1"/>
  <c r="A658" i="13" a="1"/>
  <c r="A658" i="13" s="1"/>
  <c r="C658" i="13" s="1"/>
  <c r="A659" i="13" a="1"/>
  <c r="A659" i="13" s="1"/>
  <c r="A660" i="13" a="1"/>
  <c r="A660" i="13" s="1"/>
  <c r="B660" i="13" s="1"/>
  <c r="A661" i="13" a="1"/>
  <c r="A661" i="13" s="1"/>
  <c r="B661" i="13" s="1"/>
  <c r="A662" i="13" a="1"/>
  <c r="A662" i="13" s="1"/>
  <c r="C662" i="13" s="1"/>
  <c r="A663" i="13" a="1"/>
  <c r="A663" i="13" s="1"/>
  <c r="A664" i="13" a="1"/>
  <c r="A664" i="13" s="1"/>
  <c r="A665" i="13" a="1"/>
  <c r="A665" i="13" s="1"/>
  <c r="A666" i="13" a="1"/>
  <c r="A666" i="13" s="1"/>
  <c r="B666" i="13" s="1"/>
  <c r="A667" i="13" a="1"/>
  <c r="A667" i="13" s="1"/>
  <c r="D667" i="13" s="1"/>
  <c r="A668" i="13" a="1"/>
  <c r="A668" i="13" s="1"/>
  <c r="A669" i="13" a="1"/>
  <c r="A669" i="13" s="1"/>
  <c r="A670" i="13" a="1"/>
  <c r="A670" i="13" s="1"/>
  <c r="A671" i="13" a="1"/>
  <c r="A671" i="13" s="1"/>
  <c r="A672" i="13" a="1"/>
  <c r="A672" i="13" s="1"/>
  <c r="A673" i="13" a="1"/>
  <c r="A673" i="13" s="1"/>
  <c r="C673" i="13" s="1"/>
  <c r="A674" i="13" a="1"/>
  <c r="A674" i="13" s="1"/>
  <c r="B674" i="13" s="1"/>
  <c r="A675" i="13" a="1"/>
  <c r="A675" i="13" s="1"/>
  <c r="B675" i="13" s="1"/>
  <c r="A676" i="13" a="1"/>
  <c r="A676" i="13" s="1"/>
  <c r="A677" i="13" a="1"/>
  <c r="A677" i="13" s="1"/>
  <c r="A678" i="13" a="1"/>
  <c r="A678" i="13" s="1"/>
  <c r="A679" i="13" a="1"/>
  <c r="A679" i="13" s="1"/>
  <c r="D679" i="13" s="1"/>
  <c r="A680" i="13" a="1"/>
  <c r="A680" i="13" s="1"/>
  <c r="B680" i="13" s="1"/>
  <c r="A681" i="13" a="1"/>
  <c r="A681" i="13" s="1"/>
  <c r="C681" i="13" s="1"/>
  <c r="A682" i="13" a="1"/>
  <c r="A682" i="13" s="1"/>
  <c r="B682" i="13" s="1"/>
  <c r="A683" i="13" a="1"/>
  <c r="A683" i="13" s="1"/>
  <c r="C683" i="13" s="1"/>
  <c r="A684" i="13" a="1"/>
  <c r="A684" i="13" s="1"/>
  <c r="A685" i="13" a="1"/>
  <c r="A685" i="13" s="1"/>
  <c r="A686" i="13" a="1"/>
  <c r="A686" i="13" s="1"/>
  <c r="D686" i="13" s="1"/>
  <c r="A687" i="13" a="1"/>
  <c r="A687" i="13" s="1"/>
  <c r="B687" i="13" s="1"/>
  <c r="A688" i="13" a="1"/>
  <c r="A688" i="13" s="1"/>
  <c r="D688" i="13" s="1"/>
  <c r="A689" i="13" a="1"/>
  <c r="A689" i="13" s="1"/>
  <c r="B689" i="13" s="1"/>
  <c r="A690" i="13" a="1"/>
  <c r="A690" i="13" s="1"/>
  <c r="A691" i="13" a="1"/>
  <c r="A691" i="13" s="1"/>
  <c r="A692" i="13" a="1"/>
  <c r="A692" i="13" s="1"/>
  <c r="A693" i="13" a="1"/>
  <c r="A693" i="13" s="1"/>
  <c r="A694" i="13" a="1"/>
  <c r="A694" i="13" s="1"/>
  <c r="C694" i="13" s="1"/>
  <c r="A695" i="13" a="1"/>
  <c r="A695" i="13" s="1"/>
  <c r="B695" i="13" s="1"/>
  <c r="A696" i="13" a="1"/>
  <c r="A696" i="13" s="1"/>
  <c r="C696" i="13" s="1"/>
  <c r="A697" i="13" a="1"/>
  <c r="A697" i="13" s="1"/>
  <c r="B697" i="13" s="1"/>
  <c r="A698" i="13" a="1"/>
  <c r="A698" i="13" s="1"/>
  <c r="D698" i="13" s="1"/>
  <c r="A699" i="13" a="1"/>
  <c r="A699" i="13" s="1"/>
  <c r="C699" i="13" s="1"/>
  <c r="A700" i="13" a="1"/>
  <c r="A700" i="13" s="1"/>
  <c r="D700" i="13" s="1"/>
  <c r="A701" i="13" a="1"/>
  <c r="A701" i="13" s="1"/>
  <c r="B701" i="13" s="1"/>
  <c r="A702" i="13" a="1"/>
  <c r="A702" i="13" s="1"/>
  <c r="D702" i="13" s="1"/>
  <c r="A703" i="13" a="1"/>
  <c r="A703" i="13" s="1"/>
  <c r="C703" i="13" s="1"/>
  <c r="A704" i="13" a="1"/>
  <c r="A704" i="13" s="1"/>
  <c r="C704" i="13" s="1"/>
  <c r="A705" i="13" a="1"/>
  <c r="A705" i="13" s="1"/>
  <c r="A706" i="13" a="1"/>
  <c r="A706" i="13" s="1"/>
  <c r="A707" i="13" a="1"/>
  <c r="A707" i="13" s="1"/>
  <c r="A708" i="13" a="1"/>
  <c r="A708" i="13" s="1"/>
  <c r="C708" i="13" s="1"/>
  <c r="A709" i="13" a="1"/>
  <c r="A709" i="13" s="1"/>
  <c r="C709" i="13" s="1"/>
  <c r="A710" i="13" a="1"/>
  <c r="A710" i="13" s="1"/>
  <c r="D710" i="13" s="1"/>
  <c r="A711" i="13" a="1"/>
  <c r="A711" i="13" s="1"/>
  <c r="D711" i="13" s="1"/>
  <c r="A712" i="13" a="1"/>
  <c r="A712" i="13" s="1"/>
  <c r="A713" i="13" a="1"/>
  <c r="A713" i="13" s="1"/>
  <c r="B713" i="13" s="1"/>
  <c r="A714" i="13" a="1"/>
  <c r="A714" i="13" s="1"/>
  <c r="D714" i="13" s="1"/>
  <c r="A715" i="13" a="1"/>
  <c r="A715" i="13" s="1"/>
  <c r="D715" i="13" s="1"/>
  <c r="A716" i="13" a="1"/>
  <c r="A716" i="13" s="1"/>
  <c r="C716" i="13" s="1"/>
  <c r="A717" i="13" a="1"/>
  <c r="A717" i="13" s="1"/>
  <c r="C717" i="13" s="1"/>
  <c r="A718" i="13" a="1"/>
  <c r="A718" i="13" s="1"/>
  <c r="B718" i="13" s="1"/>
  <c r="A719" i="13" a="1"/>
  <c r="A719" i="13" s="1"/>
  <c r="A720" i="13" a="1"/>
  <c r="A720" i="13" s="1"/>
  <c r="A721" i="13" a="1"/>
  <c r="A721" i="13" s="1"/>
  <c r="D721" i="13" s="1"/>
  <c r="A722" i="13" a="1"/>
  <c r="A722" i="13" s="1"/>
  <c r="C722" i="13" s="1"/>
  <c r="A723" i="13" a="1"/>
  <c r="A723" i="13" s="1"/>
  <c r="D723" i="13" s="1"/>
  <c r="A724" i="13" a="1"/>
  <c r="A724" i="13" s="1"/>
  <c r="D724" i="13" s="1"/>
  <c r="A725" i="13" a="1"/>
  <c r="A725" i="13" s="1"/>
  <c r="D725" i="13" s="1"/>
  <c r="A726" i="13" a="1"/>
  <c r="A726" i="13" s="1"/>
  <c r="C726" i="13" s="1"/>
  <c r="A727" i="13" a="1"/>
  <c r="A727" i="13" s="1"/>
  <c r="B727" i="13" s="1"/>
  <c r="A728" i="13" a="1"/>
  <c r="A728" i="13" s="1"/>
  <c r="B728" i="13" s="1"/>
  <c r="A729" i="13" a="1"/>
  <c r="A729" i="13" s="1"/>
  <c r="C729" i="13" s="1"/>
  <c r="A730" i="13" a="1"/>
  <c r="A730" i="13" s="1"/>
  <c r="B730" i="13" s="1"/>
  <c r="A731" i="13" a="1"/>
  <c r="A731" i="13" s="1"/>
  <c r="B731" i="13" s="1"/>
  <c r="A732" i="13" a="1"/>
  <c r="A732" i="13" s="1"/>
  <c r="A733" i="13" a="1"/>
  <c r="A733" i="13" s="1"/>
  <c r="D733" i="13" s="1"/>
  <c r="A734" i="13" a="1"/>
  <c r="A734" i="13" s="1"/>
  <c r="D734" i="13" s="1"/>
  <c r="A735" i="13" a="1"/>
  <c r="A735" i="13" s="1"/>
  <c r="A736" i="13" a="1"/>
  <c r="A736" i="13" s="1"/>
  <c r="D736" i="13" s="1"/>
  <c r="A737" i="13" a="1"/>
  <c r="A737" i="13" s="1"/>
  <c r="A738" i="13" a="1"/>
  <c r="A738" i="13" s="1"/>
  <c r="C738" i="13" s="1"/>
  <c r="A739" i="13" a="1"/>
  <c r="A739" i="13" s="1"/>
  <c r="B739" i="13" s="1"/>
  <c r="A740" i="13" a="1"/>
  <c r="A740" i="13" s="1"/>
  <c r="B740" i="13" s="1"/>
  <c r="A741" i="13" a="1"/>
  <c r="A741" i="13" s="1"/>
  <c r="D741" i="13" s="1"/>
  <c r="A742" i="13" a="1"/>
  <c r="A742" i="13" s="1"/>
  <c r="A743" i="13" a="1"/>
  <c r="A743" i="13" s="1"/>
  <c r="A744" i="13" a="1"/>
  <c r="A744" i="13" s="1"/>
  <c r="A745" i="13" a="1"/>
  <c r="A745" i="13" s="1"/>
  <c r="B745" i="13" s="1"/>
  <c r="A746" i="13" a="1"/>
  <c r="A746" i="13" s="1"/>
  <c r="D746" i="13" s="1"/>
  <c r="A747" i="13" a="1"/>
  <c r="A747" i="13" s="1"/>
  <c r="A748" i="13" a="1"/>
  <c r="A748" i="13" s="1"/>
  <c r="B748" i="13" s="1"/>
  <c r="A749" i="13" a="1"/>
  <c r="A749" i="13" s="1"/>
  <c r="C749" i="13" s="1"/>
  <c r="A750" i="13" a="1"/>
  <c r="A750" i="13" s="1"/>
  <c r="C750" i="13" s="1"/>
  <c r="A751" i="13" a="1"/>
  <c r="A751" i="13" s="1"/>
  <c r="B751" i="13" s="1"/>
  <c r="A752" i="13" a="1"/>
  <c r="A752" i="13" s="1"/>
  <c r="A753" i="13" a="1"/>
  <c r="A753" i="13" s="1"/>
  <c r="B753" i="13" s="1"/>
  <c r="A754" i="13" a="1"/>
  <c r="A754" i="13" s="1"/>
  <c r="B754" i="13" s="1"/>
  <c r="A755" i="13" a="1"/>
  <c r="A755" i="13" s="1"/>
  <c r="A756" i="13" a="1"/>
  <c r="A756" i="13" s="1"/>
  <c r="B756" i="13" s="1"/>
  <c r="A757" i="13" a="1"/>
  <c r="A757" i="13" s="1"/>
  <c r="A758" i="13" a="1"/>
  <c r="A758" i="13" s="1"/>
  <c r="A759" i="13" a="1"/>
  <c r="A759" i="13" s="1"/>
  <c r="B759" i="13" s="1"/>
  <c r="A760" i="13" a="1"/>
  <c r="A760" i="13" s="1"/>
  <c r="D760" i="13" s="1"/>
  <c r="A761" i="13" a="1"/>
  <c r="A761" i="13" s="1"/>
  <c r="B761" i="13" s="1"/>
  <c r="A762" i="13" a="1"/>
  <c r="A762" i="13" s="1"/>
  <c r="B762" i="13" s="1"/>
  <c r="A763" i="13" a="1"/>
  <c r="A763" i="13" s="1"/>
  <c r="B763" i="13" s="1"/>
  <c r="A764" i="13" a="1"/>
  <c r="A764" i="13" s="1"/>
  <c r="C764" i="13" s="1"/>
  <c r="A765" i="13" a="1"/>
  <c r="A765" i="13" s="1"/>
  <c r="D765" i="13" s="1"/>
  <c r="A766" i="13" a="1"/>
  <c r="A766" i="13" s="1"/>
  <c r="B766" i="13" s="1"/>
  <c r="A767" i="13" a="1"/>
  <c r="A767" i="13" s="1"/>
  <c r="D767" i="13" s="1"/>
  <c r="A768" i="13" a="1"/>
  <c r="A768" i="13" s="1"/>
  <c r="C768" i="13" s="1"/>
  <c r="A769" i="13" a="1"/>
  <c r="A769" i="13" s="1"/>
  <c r="B769" i="13" s="1"/>
  <c r="A770" i="13" a="1"/>
  <c r="A770" i="13" s="1"/>
  <c r="A771" i="13" a="1"/>
  <c r="A771" i="13" s="1"/>
  <c r="D771" i="13" s="1"/>
  <c r="A772" i="13" a="1"/>
  <c r="A772" i="13" s="1"/>
  <c r="C772" i="13" s="1"/>
  <c r="A773" i="13" a="1"/>
  <c r="A773" i="13" s="1"/>
  <c r="C773" i="13" s="1"/>
  <c r="A774" i="13" a="1"/>
  <c r="A774" i="13" s="1"/>
  <c r="C774" i="13" s="1"/>
  <c r="A775" i="13" a="1"/>
  <c r="A775" i="13" s="1"/>
  <c r="D775" i="13" s="1"/>
  <c r="A776" i="13" a="1"/>
  <c r="A776" i="13" s="1"/>
  <c r="D776" i="13" s="1"/>
  <c r="A777" i="13" a="1"/>
  <c r="A777" i="13" s="1"/>
  <c r="D777" i="13" s="1"/>
  <c r="A778" i="13" a="1"/>
  <c r="A778" i="13" s="1"/>
  <c r="D778" i="13" s="1"/>
  <c r="A779" i="13" a="1"/>
  <c r="A779" i="13" s="1"/>
  <c r="B779" i="13" s="1"/>
  <c r="A780" i="13" a="1"/>
  <c r="A780" i="13" s="1"/>
  <c r="C780" i="13" s="1"/>
  <c r="A781" i="13" a="1"/>
  <c r="A781" i="13" s="1"/>
  <c r="D781" i="13" s="1"/>
  <c r="A782" i="13" a="1"/>
  <c r="A782" i="13" s="1"/>
  <c r="C782" i="13" s="1"/>
  <c r="A783" i="13" a="1"/>
  <c r="A783" i="13" s="1"/>
  <c r="A784" i="13" a="1"/>
  <c r="A784" i="13" s="1"/>
  <c r="D784" i="13" s="1"/>
  <c r="A785" i="13" a="1"/>
  <c r="A785" i="13" s="1"/>
  <c r="A786" i="13" a="1"/>
  <c r="A786" i="13" s="1"/>
  <c r="C786" i="13" s="1"/>
  <c r="A787" i="13" a="1"/>
  <c r="A787" i="13" s="1"/>
  <c r="C787" i="13" s="1"/>
  <c r="A788" i="13" a="1"/>
  <c r="A788" i="13" s="1"/>
  <c r="A789" i="13" a="1"/>
  <c r="A789" i="13" s="1"/>
  <c r="B789" i="13" s="1"/>
  <c r="A790" i="13" a="1"/>
  <c r="A790" i="13" s="1"/>
  <c r="A791" i="13" a="1"/>
  <c r="A791" i="13" s="1"/>
  <c r="C791" i="13" s="1"/>
  <c r="A792" i="13" a="1"/>
  <c r="A792" i="13" s="1"/>
  <c r="A793" i="13" a="1"/>
  <c r="A793" i="13" s="1"/>
  <c r="D793" i="13" s="1"/>
  <c r="A794" i="13" a="1"/>
  <c r="A794" i="13" s="1"/>
  <c r="C794" i="13" s="1"/>
  <c r="A795" i="13" a="1"/>
  <c r="A795" i="13" s="1"/>
  <c r="B795" i="13" s="1"/>
  <c r="A796" i="13" a="1"/>
  <c r="A796" i="13" s="1"/>
  <c r="A797" i="13" a="1"/>
  <c r="A797" i="13" s="1"/>
  <c r="C797" i="13" s="1"/>
  <c r="A798" i="13" a="1"/>
  <c r="A798" i="13" s="1"/>
  <c r="D798" i="13" s="1"/>
  <c r="A799" i="13" a="1"/>
  <c r="A799" i="13" s="1"/>
  <c r="A800" i="13" a="1"/>
  <c r="A800" i="13" s="1"/>
  <c r="C800" i="13" s="1"/>
  <c r="A801" i="13" a="1"/>
  <c r="A801" i="13" s="1"/>
  <c r="D801" i="13" s="1"/>
  <c r="A802" i="13" a="1"/>
  <c r="A802" i="13" s="1"/>
  <c r="C802" i="13" s="1"/>
  <c r="A803" i="13" a="1"/>
  <c r="A803" i="13" s="1"/>
  <c r="D803" i="13" s="1"/>
  <c r="A804" i="13" a="1"/>
  <c r="A804" i="13" s="1"/>
  <c r="C804" i="13" s="1"/>
  <c r="A805" i="13" a="1"/>
  <c r="A805" i="13" s="1"/>
  <c r="A806" i="13" a="1"/>
  <c r="A806" i="13" s="1"/>
  <c r="C806" i="13" s="1"/>
  <c r="A807" i="13" a="1"/>
  <c r="A807" i="13" s="1"/>
  <c r="A808" i="13" a="1"/>
  <c r="A808" i="13" s="1"/>
  <c r="A809" i="13" a="1"/>
  <c r="A809" i="13" s="1"/>
  <c r="C809" i="13" s="1"/>
  <c r="A810" i="13" a="1"/>
  <c r="A810" i="13" s="1"/>
  <c r="C810" i="13" s="1"/>
  <c r="A811" i="13" a="1"/>
  <c r="A811" i="13" s="1"/>
  <c r="B811" i="13" s="1"/>
  <c r="A812" i="13" a="1"/>
  <c r="A812" i="13" s="1"/>
  <c r="B812" i="13" s="1"/>
  <c r="A813" i="13" a="1"/>
  <c r="A813" i="13" s="1"/>
  <c r="C813" i="13" s="1"/>
  <c r="A814" i="13" a="1"/>
  <c r="A814" i="13" s="1"/>
  <c r="C814" i="13" s="1"/>
  <c r="A815" i="13" a="1"/>
  <c r="A815" i="13" s="1"/>
  <c r="D815" i="13" s="1"/>
  <c r="A816" i="13" a="1"/>
  <c r="A816" i="13" s="1"/>
  <c r="D816" i="13" s="1"/>
  <c r="A817" i="13" a="1"/>
  <c r="A817" i="13" s="1"/>
  <c r="A818" i="13" a="1"/>
  <c r="A818" i="13" s="1"/>
  <c r="A819" i="13" a="1"/>
  <c r="A819" i="13" s="1"/>
  <c r="A820" i="13" a="1"/>
  <c r="A820" i="13" s="1"/>
  <c r="B820" i="13" s="1"/>
  <c r="A821" i="13" a="1"/>
  <c r="A821" i="13" s="1"/>
  <c r="D821" i="13" s="1"/>
  <c r="A822" i="13" a="1"/>
  <c r="A822" i="13" s="1"/>
  <c r="C822" i="13" s="1"/>
  <c r="A823" i="13" a="1"/>
  <c r="A823" i="13" s="1"/>
  <c r="D823" i="13" s="1"/>
  <c r="A824" i="13" a="1"/>
  <c r="A824" i="13" s="1"/>
  <c r="C824" i="13" s="1"/>
  <c r="A825" i="13" a="1"/>
  <c r="A825" i="13" s="1"/>
  <c r="C825" i="13" s="1"/>
  <c r="A826" i="13" a="1"/>
  <c r="A826" i="13" s="1"/>
  <c r="D826" i="13" s="1"/>
  <c r="A827" i="13" a="1"/>
  <c r="A827" i="13" s="1"/>
  <c r="D827" i="13" s="1"/>
  <c r="A828" i="13" a="1"/>
  <c r="A828" i="13" s="1"/>
  <c r="A829" i="13" a="1"/>
  <c r="A829" i="13" s="1"/>
  <c r="A830" i="13" a="1"/>
  <c r="A830" i="13" s="1"/>
  <c r="B830" i="13" s="1"/>
  <c r="A831" i="13" a="1"/>
  <c r="A831" i="13" s="1"/>
  <c r="D831" i="13" s="1"/>
  <c r="A832" i="13" a="1"/>
  <c r="A832" i="13" s="1"/>
  <c r="A833" i="13" a="1"/>
  <c r="A833" i="13" s="1"/>
  <c r="B833" i="13" s="1"/>
  <c r="A834" i="13" a="1"/>
  <c r="A834" i="13" s="1"/>
  <c r="C834" i="13" s="1"/>
  <c r="A835" i="13" a="1"/>
  <c r="A835" i="13" s="1"/>
  <c r="C835" i="13" s="1"/>
  <c r="A836" i="13" a="1"/>
  <c r="A836" i="13" s="1"/>
  <c r="D836" i="13" s="1"/>
  <c r="A837" i="13" a="1"/>
  <c r="A837" i="13" s="1"/>
  <c r="D837" i="13" s="1"/>
  <c r="A838" i="13" a="1"/>
  <c r="A838" i="13" s="1"/>
  <c r="C838" i="13" s="1"/>
  <c r="A839" i="13" a="1"/>
  <c r="A839" i="13" s="1"/>
  <c r="B839" i="13" s="1"/>
  <c r="A840" i="13" a="1"/>
  <c r="A840" i="13" s="1"/>
  <c r="A841" i="13" a="1"/>
  <c r="A841" i="13" s="1"/>
  <c r="D841" i="13" s="1"/>
  <c r="A842" i="13" a="1"/>
  <c r="A842" i="13" s="1"/>
  <c r="B842" i="13" s="1"/>
  <c r="A843" i="13" a="1"/>
  <c r="A843" i="13" s="1"/>
  <c r="A844" i="13" a="1"/>
  <c r="A844" i="13" s="1"/>
  <c r="B844" i="13" s="1"/>
  <c r="A845" i="13" a="1"/>
  <c r="A845" i="13" s="1"/>
  <c r="A846" i="13" a="1"/>
  <c r="A846" i="13" s="1"/>
  <c r="B846" i="13" s="1"/>
  <c r="A847" i="13" a="1"/>
  <c r="A847" i="13" s="1"/>
  <c r="A848" i="13" a="1"/>
  <c r="A848" i="13" s="1"/>
  <c r="D848" i="13" s="1"/>
  <c r="A849" i="13" a="1"/>
  <c r="A849" i="13" s="1"/>
  <c r="D849" i="13" s="1"/>
  <c r="A850" i="13" a="1"/>
  <c r="A850" i="13" s="1"/>
  <c r="A851" i="13" a="1"/>
  <c r="A851" i="13" s="1"/>
  <c r="A852" i="13" a="1"/>
  <c r="A852" i="13" s="1"/>
  <c r="C852" i="13" s="1"/>
  <c r="A853" i="13" a="1"/>
  <c r="A853" i="13" s="1"/>
  <c r="B853" i="13" s="1"/>
  <c r="A854" i="13" a="1"/>
  <c r="A854" i="13" s="1"/>
  <c r="A855" i="13" a="1"/>
  <c r="A855" i="13" s="1"/>
  <c r="A856" i="13" a="1"/>
  <c r="A856" i="13" s="1"/>
  <c r="B856" i="13" s="1"/>
  <c r="A857" i="13" a="1"/>
  <c r="A857" i="13" s="1"/>
  <c r="C857" i="13" s="1"/>
  <c r="A858" i="13" a="1"/>
  <c r="A858" i="13" s="1"/>
  <c r="A859" i="13" a="1"/>
  <c r="A859" i="13" s="1"/>
  <c r="A860" i="13" a="1"/>
  <c r="A860" i="13" s="1"/>
  <c r="C860" i="13" s="1"/>
  <c r="A861" i="13" a="1"/>
  <c r="A861" i="13" s="1"/>
  <c r="B861" i="13" s="1"/>
  <c r="A862" i="13" a="1"/>
  <c r="A862" i="13" s="1"/>
  <c r="A863" i="13" a="1"/>
  <c r="A863" i="13" s="1"/>
  <c r="A864" i="13" a="1"/>
  <c r="A864" i="13" s="1"/>
  <c r="A865" i="13" a="1"/>
  <c r="A865" i="13" s="1"/>
  <c r="B865" i="13" s="1"/>
  <c r="A866" i="13" a="1"/>
  <c r="A866" i="13" s="1"/>
  <c r="C866" i="13" s="1"/>
  <c r="A867" i="13" a="1"/>
  <c r="A867" i="13" s="1"/>
  <c r="B867" i="13" s="1"/>
  <c r="A868" i="13" a="1"/>
  <c r="A868" i="13" s="1"/>
  <c r="B868" i="13" s="1"/>
  <c r="A869" i="13" a="1"/>
  <c r="A869" i="13" s="1"/>
  <c r="C869" i="13" s="1"/>
  <c r="A870" i="13" a="1"/>
  <c r="A870" i="13" s="1"/>
  <c r="D870" i="13" s="1"/>
  <c r="A871" i="13" a="1"/>
  <c r="A871" i="13" s="1"/>
  <c r="A872" i="13" a="1"/>
  <c r="A872" i="13" s="1"/>
  <c r="D872" i="13" s="1"/>
  <c r="A873" i="13" a="1"/>
  <c r="A873" i="13" s="1"/>
  <c r="A874" i="13" a="1"/>
  <c r="A874" i="13" s="1"/>
  <c r="C874" i="13" s="1"/>
  <c r="A875" i="13" a="1"/>
  <c r="A875" i="13" s="1"/>
  <c r="D875" i="13" s="1"/>
  <c r="A876" i="13" a="1"/>
  <c r="A876" i="13" s="1"/>
  <c r="C876" i="13" s="1"/>
  <c r="A877" i="13" a="1"/>
  <c r="A877" i="13" s="1"/>
  <c r="A878" i="13" a="1"/>
  <c r="A878" i="13" s="1"/>
  <c r="C878" i="13" s="1"/>
  <c r="A879" i="13" a="1"/>
  <c r="A879" i="13" s="1"/>
  <c r="A880" i="13" a="1"/>
  <c r="A880" i="13" s="1"/>
  <c r="C880" i="13" s="1"/>
  <c r="A881" i="13" a="1"/>
  <c r="A881" i="13" s="1"/>
  <c r="D881" i="13" s="1"/>
  <c r="A882" i="13" a="1"/>
  <c r="A882" i="13" s="1"/>
  <c r="A883" i="13" a="1"/>
  <c r="A883" i="13" s="1"/>
  <c r="B883" i="13" s="1"/>
  <c r="A884" i="13" a="1"/>
  <c r="A884" i="13" s="1"/>
  <c r="A885" i="13" a="1"/>
  <c r="A885" i="13" s="1"/>
  <c r="A886" i="13" a="1"/>
  <c r="A886" i="13" s="1"/>
  <c r="B886" i="13" s="1"/>
  <c r="A887" i="13" a="1"/>
  <c r="A887" i="13" s="1"/>
  <c r="D887" i="13" s="1"/>
  <c r="A888" i="13" a="1"/>
  <c r="A888" i="13" s="1"/>
  <c r="A889" i="13" a="1"/>
  <c r="A889" i="13" s="1"/>
  <c r="D889" i="13" s="1"/>
  <c r="A890" i="13" a="1"/>
  <c r="A890" i="13" s="1"/>
  <c r="A891" i="13" a="1"/>
  <c r="A891" i="13" s="1"/>
  <c r="A892" i="13" a="1"/>
  <c r="A892" i="13" s="1"/>
  <c r="A893" i="13" a="1"/>
  <c r="A893" i="13" s="1"/>
  <c r="C893" i="13" s="1"/>
  <c r="A894" i="13" a="1"/>
  <c r="A894" i="13" s="1"/>
  <c r="B894" i="13" s="1"/>
  <c r="A895" i="13" a="1"/>
  <c r="A895" i="13" s="1"/>
  <c r="B895" i="13" s="1"/>
  <c r="A896" i="13" a="1"/>
  <c r="A896" i="13" s="1"/>
  <c r="A897" i="13" a="1"/>
  <c r="A897" i="13" s="1"/>
  <c r="D897" i="13" s="1"/>
  <c r="A898" i="13" a="1"/>
  <c r="A898" i="13" s="1"/>
  <c r="B898" i="13" s="1"/>
  <c r="A899" i="13" a="1"/>
  <c r="A899" i="13" s="1"/>
  <c r="C899" i="13" s="1"/>
  <c r="A900" i="13" a="1"/>
  <c r="A900" i="13" s="1"/>
  <c r="B900" i="13" s="1"/>
  <c r="A901" i="13" a="1"/>
  <c r="A901" i="13" s="1"/>
  <c r="C901" i="13" s="1"/>
  <c r="A902" i="13" a="1"/>
  <c r="A902" i="13" s="1"/>
  <c r="A903" i="13" a="1"/>
  <c r="A903" i="13" s="1"/>
  <c r="C903" i="13" s="1"/>
  <c r="A904" i="13" a="1"/>
  <c r="A904" i="13" s="1"/>
  <c r="D904" i="13" s="1"/>
  <c r="A905" i="13" a="1"/>
  <c r="A905" i="13" s="1"/>
  <c r="A906" i="13" a="1"/>
  <c r="A906" i="13" s="1"/>
  <c r="C906" i="13" s="1"/>
  <c r="A907" i="13" a="1"/>
  <c r="A907" i="13" s="1"/>
  <c r="A908" i="13" a="1"/>
  <c r="A908" i="13" s="1"/>
  <c r="C908" i="13" s="1"/>
  <c r="A909" i="13" a="1"/>
  <c r="A909" i="13" s="1"/>
  <c r="B909" i="13" s="1"/>
  <c r="A910" i="13" a="1"/>
  <c r="A910" i="13" s="1"/>
  <c r="A911" i="13" a="1"/>
  <c r="A911" i="13" s="1"/>
  <c r="D911" i="13" s="1"/>
  <c r="A912" i="13" a="1"/>
  <c r="A912" i="13" s="1"/>
  <c r="D912" i="13" s="1"/>
  <c r="A913" i="13" a="1"/>
  <c r="A913" i="13" s="1"/>
  <c r="A914" i="13" a="1"/>
  <c r="A914" i="13" s="1"/>
  <c r="A915" i="13" a="1"/>
  <c r="A915" i="13" s="1"/>
  <c r="A916" i="13" a="1"/>
  <c r="A916" i="13" s="1"/>
  <c r="C916" i="13" s="1"/>
  <c r="A917" i="13" a="1"/>
  <c r="A917" i="13" s="1"/>
  <c r="C917" i="13" s="1"/>
  <c r="A918" i="13" a="1"/>
  <c r="A918" i="13" s="1"/>
  <c r="A919" i="13" a="1"/>
  <c r="A919" i="13" s="1"/>
  <c r="B919" i="13" s="1"/>
  <c r="A920" i="13" a="1"/>
  <c r="A920" i="13" s="1"/>
  <c r="A921" i="13" a="1"/>
  <c r="A921" i="13" s="1"/>
  <c r="A922" i="13" a="1"/>
  <c r="A922" i="13" s="1"/>
  <c r="A923" i="13" a="1"/>
  <c r="A923" i="13" s="1"/>
  <c r="A924" i="13" a="1"/>
  <c r="A924" i="13" s="1"/>
  <c r="B924" i="13" s="1"/>
  <c r="A925" i="13" a="1"/>
  <c r="A925" i="13" s="1"/>
  <c r="B925" i="13" s="1"/>
  <c r="A926" i="13" a="1"/>
  <c r="A926" i="13" s="1"/>
  <c r="C926" i="13" s="1"/>
  <c r="A927" i="13" a="1"/>
  <c r="A927" i="13" s="1"/>
  <c r="B927" i="13" s="1"/>
  <c r="A928" i="13" a="1"/>
  <c r="A928" i="13" s="1"/>
  <c r="D928" i="13" s="1"/>
  <c r="A929" i="13" a="1"/>
  <c r="A929" i="13" s="1"/>
  <c r="B929" i="13" s="1"/>
  <c r="A930" i="13" a="1"/>
  <c r="A930" i="13" s="1"/>
  <c r="B930" i="13" s="1"/>
  <c r="A931" i="13" a="1"/>
  <c r="A931" i="13" s="1"/>
  <c r="C931" i="13" s="1"/>
  <c r="A932" i="13" a="1"/>
  <c r="A932" i="13" s="1"/>
  <c r="C932" i="13" s="1"/>
  <c r="A933" i="13" a="1"/>
  <c r="A933" i="13" s="1"/>
  <c r="B933" i="13" s="1"/>
  <c r="A934" i="13" a="1"/>
  <c r="A934" i="13" s="1"/>
  <c r="A935" i="13" a="1"/>
  <c r="A935" i="13" s="1"/>
  <c r="A936" i="13" a="1"/>
  <c r="A936" i="13" s="1"/>
  <c r="D936" i="13" s="1"/>
  <c r="A937" i="13" a="1"/>
  <c r="A937" i="13" s="1"/>
  <c r="B937" i="13" s="1"/>
  <c r="A938" i="13" a="1"/>
  <c r="A938" i="13" s="1"/>
  <c r="D938" i="13" s="1"/>
  <c r="A939" i="13" a="1"/>
  <c r="A939" i="13" s="1"/>
  <c r="C939" i="13" s="1"/>
  <c r="A940" i="13" a="1"/>
  <c r="A940" i="13" s="1"/>
  <c r="A941" i="13" a="1"/>
  <c r="A941" i="13" s="1"/>
  <c r="B941" i="13" s="1"/>
  <c r="A942" i="13" a="1"/>
  <c r="A942" i="13" s="1"/>
  <c r="A943" i="13" a="1"/>
  <c r="A943" i="13" s="1"/>
  <c r="C943" i="13" s="1"/>
  <c r="A944" i="13" a="1"/>
  <c r="A944" i="13" s="1"/>
  <c r="D944" i="13" s="1"/>
  <c r="A945" i="13" a="1"/>
  <c r="A945" i="13" s="1"/>
  <c r="A946" i="13" a="1"/>
  <c r="A946" i="13" s="1"/>
  <c r="D946" i="13" s="1"/>
  <c r="A947" i="13" a="1"/>
  <c r="A947" i="13" s="1"/>
  <c r="D947" i="13" s="1"/>
  <c r="A948" i="13" a="1"/>
  <c r="A948" i="13" s="1"/>
  <c r="A949" i="13" a="1"/>
  <c r="A949" i="13" s="1"/>
  <c r="A950" i="13" a="1"/>
  <c r="A950" i="13" s="1"/>
  <c r="B950" i="13" s="1"/>
  <c r="A951" i="13" a="1"/>
  <c r="A951" i="13" s="1"/>
  <c r="A952" i="13" a="1"/>
  <c r="A952" i="13" s="1"/>
  <c r="A953" i="13" a="1"/>
  <c r="A953" i="13" s="1"/>
  <c r="C953" i="13" s="1"/>
  <c r="A954" i="13" a="1"/>
  <c r="A954" i="13" s="1"/>
  <c r="A955" i="13" a="1"/>
  <c r="A955" i="13" s="1"/>
  <c r="B955" i="13" s="1"/>
  <c r="A956" i="13" a="1"/>
  <c r="A956" i="13" s="1"/>
  <c r="D956" i="13" s="1"/>
  <c r="A957" i="13" a="1"/>
  <c r="A957" i="13" s="1"/>
  <c r="D957" i="13" s="1"/>
  <c r="A958" i="13" a="1"/>
  <c r="A958" i="13" s="1"/>
  <c r="D958" i="13" s="1"/>
  <c r="A959" i="13" a="1"/>
  <c r="A959" i="13" s="1"/>
  <c r="B959" i="13" s="1"/>
  <c r="A960" i="13" a="1"/>
  <c r="A960" i="13" s="1"/>
  <c r="B960" i="13" s="1"/>
  <c r="A961" i="13" a="1"/>
  <c r="A961" i="13" s="1"/>
  <c r="B961" i="13" s="1"/>
  <c r="A962" i="13" a="1"/>
  <c r="A962" i="13" s="1"/>
  <c r="A963" i="13" a="1"/>
  <c r="A963" i="13" s="1"/>
  <c r="D963" i="13" s="1"/>
  <c r="A964" i="13" a="1"/>
  <c r="A964" i="13" s="1"/>
  <c r="D964" i="13" s="1"/>
  <c r="A965" i="13" a="1"/>
  <c r="A965" i="13" s="1"/>
  <c r="A966" i="13" a="1"/>
  <c r="A966" i="13" s="1"/>
  <c r="A967" i="13" a="1"/>
  <c r="A967" i="13" s="1"/>
  <c r="A968" i="13" a="1"/>
  <c r="A968" i="13" s="1"/>
  <c r="A969" i="13" a="1"/>
  <c r="A969" i="13" s="1"/>
  <c r="C969" i="13" s="1"/>
  <c r="A970" i="13" a="1"/>
  <c r="A970" i="13" s="1"/>
  <c r="B970" i="13" s="1"/>
  <c r="A971" i="13" a="1"/>
  <c r="A971" i="13" s="1"/>
  <c r="B971" i="13" s="1"/>
  <c r="A972" i="13" a="1"/>
  <c r="A972" i="13" s="1"/>
  <c r="C972" i="13" s="1"/>
  <c r="A973" i="13" a="1"/>
  <c r="A973" i="13" s="1"/>
  <c r="D973" i="13" s="1"/>
  <c r="A974" i="13" a="1"/>
  <c r="A974" i="13" s="1"/>
  <c r="B974" i="13" s="1"/>
  <c r="A975" i="13" a="1"/>
  <c r="A975" i="13" s="1"/>
  <c r="B975" i="13" s="1"/>
  <c r="A976" i="13" a="1"/>
  <c r="A976" i="13" s="1"/>
  <c r="D976" i="13" s="1"/>
  <c r="A977" i="13" a="1"/>
  <c r="A977" i="13" s="1"/>
  <c r="D977" i="13" s="1"/>
  <c r="A978" i="13" a="1"/>
  <c r="A978" i="13" s="1"/>
  <c r="A979" i="13" a="1"/>
  <c r="A979" i="13" s="1"/>
  <c r="A980" i="13" a="1"/>
  <c r="A980" i="13" s="1"/>
  <c r="A981" i="13" a="1"/>
  <c r="A981" i="13" s="1"/>
  <c r="B981" i="13" s="1"/>
  <c r="A982" i="13" a="1"/>
  <c r="A982" i="13" s="1"/>
  <c r="C982" i="13" s="1"/>
  <c r="A983" i="13" a="1"/>
  <c r="A983" i="13" s="1"/>
  <c r="A984" i="13" a="1"/>
  <c r="A984" i="13" s="1"/>
  <c r="A985" i="13" a="1"/>
  <c r="A985" i="13" s="1"/>
  <c r="A986" i="13" a="1"/>
  <c r="A986" i="13" s="1"/>
  <c r="A987" i="13" a="1"/>
  <c r="A987" i="13" s="1"/>
  <c r="A988" i="13" a="1"/>
  <c r="A988" i="13" s="1"/>
  <c r="B988" i="13" s="1"/>
  <c r="A989" i="13" a="1"/>
  <c r="A989" i="13" s="1"/>
  <c r="C989" i="13" s="1"/>
  <c r="A990" i="13" a="1"/>
  <c r="A990" i="13" s="1"/>
  <c r="A991" i="13" a="1"/>
  <c r="A991" i="13" s="1"/>
  <c r="A992" i="13" a="1"/>
  <c r="A992" i="13" s="1"/>
  <c r="B992" i="13" s="1"/>
  <c r="A993" i="13" a="1"/>
  <c r="A993" i="13" s="1"/>
  <c r="A994" i="13" a="1"/>
  <c r="A994" i="13" s="1"/>
  <c r="C994" i="13" s="1"/>
  <c r="A995" i="13" a="1"/>
  <c r="A995" i="13" s="1"/>
  <c r="D995" i="13" s="1"/>
  <c r="A996" i="13" a="1"/>
  <c r="A996" i="13" s="1"/>
  <c r="D996" i="13" s="1"/>
  <c r="A997" i="13" a="1"/>
  <c r="A997" i="13" s="1"/>
  <c r="B997" i="13" s="1"/>
  <c r="A998" i="13" a="1"/>
  <c r="A998" i="13" s="1"/>
  <c r="A999" i="13" a="1"/>
  <c r="A999" i="13" s="1"/>
  <c r="D999" i="13" s="1"/>
  <c r="A1000" i="13" a="1"/>
  <c r="A1000" i="13" s="1"/>
  <c r="B1000" i="13" s="1"/>
  <c r="A1001" i="13" a="1"/>
  <c r="A1001" i="13" s="1"/>
  <c r="B1001" i="13" s="1"/>
  <c r="A1002" i="13" a="1"/>
  <c r="A1002" i="13" s="1"/>
  <c r="A1003" i="13" a="1"/>
  <c r="A1003" i="13" s="1"/>
  <c r="D1003" i="13" s="1"/>
  <c r="A1004" i="13" a="1"/>
  <c r="A1004" i="13" s="1"/>
  <c r="C1004" i="13" s="1"/>
  <c r="A1005" i="13" a="1"/>
  <c r="A1005" i="13" s="1"/>
  <c r="B1005" i="13" s="1"/>
  <c r="A1006" i="13" a="1"/>
  <c r="A1006" i="13" s="1"/>
  <c r="A1007" i="13" a="1"/>
  <c r="A1007" i="13" s="1"/>
  <c r="C1007" i="13" s="1"/>
  <c r="A1008" i="13" a="1"/>
  <c r="A1008" i="13" s="1"/>
  <c r="D1008" i="13" s="1"/>
  <c r="A1009" i="13" a="1"/>
  <c r="A1009" i="13" s="1"/>
  <c r="B1009" i="13" s="1"/>
  <c r="A1010" i="13" a="1"/>
  <c r="A1010" i="13" s="1"/>
  <c r="A1011" i="13" a="1"/>
  <c r="A1011" i="13" s="1"/>
  <c r="A1012" i="13" a="1"/>
  <c r="A1012" i="13" s="1"/>
  <c r="B1012" i="13" s="1"/>
  <c r="A1013" i="13" a="1"/>
  <c r="A1013" i="13" s="1"/>
  <c r="C1013" i="13" s="1"/>
  <c r="A1014" i="13" a="1"/>
  <c r="A1014" i="13" s="1"/>
  <c r="A1015" i="13" a="1"/>
  <c r="A1015" i="13" s="1"/>
  <c r="B1015" i="13" s="1"/>
  <c r="A1016" i="13" a="1"/>
  <c r="A1016" i="13" s="1"/>
  <c r="A1017" i="13" a="1"/>
  <c r="A1017" i="13" s="1"/>
  <c r="D1017" i="13" s="1"/>
  <c r="A1018" i="13" a="1"/>
  <c r="A1018" i="13" s="1"/>
  <c r="A1019" i="13" a="1"/>
  <c r="A1019" i="13" s="1"/>
  <c r="A1020" i="13" a="1"/>
  <c r="A1020" i="13" s="1"/>
  <c r="B1020" i="13" s="1"/>
  <c r="A1021" i="13" a="1"/>
  <c r="A1021" i="13" s="1"/>
  <c r="A1022" i="13" a="1"/>
  <c r="A1022" i="13" s="1"/>
  <c r="B1022" i="13" s="1"/>
  <c r="A1023" i="13" a="1"/>
  <c r="A1023" i="13" s="1"/>
  <c r="C1023" i="13" s="1"/>
  <c r="A1024" i="13" a="1"/>
  <c r="A1024" i="13" s="1"/>
  <c r="B1024" i="13" s="1"/>
  <c r="A1025" i="13" a="1"/>
  <c r="A1025" i="13" s="1"/>
  <c r="B1025" i="13" s="1"/>
  <c r="A1026" i="13" a="1"/>
  <c r="A1026" i="13" s="1"/>
  <c r="C1026" i="13" s="1"/>
  <c r="A1027" i="13" a="1"/>
  <c r="A1027" i="13" s="1"/>
  <c r="A1028" i="13" a="1"/>
  <c r="A1028" i="13" s="1"/>
  <c r="B1028" i="13" s="1"/>
  <c r="A1029" i="13" a="1"/>
  <c r="A1029" i="13" s="1"/>
  <c r="A1030" i="13" a="1"/>
  <c r="A1030" i="13" s="1"/>
  <c r="B1030" i="13" s="1"/>
  <c r="A1031" i="13" a="1"/>
  <c r="A1031" i="13" s="1"/>
  <c r="D1031" i="13" s="1"/>
  <c r="A1032" i="13" a="1"/>
  <c r="A1032" i="13" s="1"/>
  <c r="C1032" i="13" s="1"/>
  <c r="A1033" i="13" a="1"/>
  <c r="A1033" i="13" s="1"/>
  <c r="A1034" i="13" a="1"/>
  <c r="A1034" i="13" s="1"/>
  <c r="C1034" i="13" s="1"/>
  <c r="A1035" i="13" a="1"/>
  <c r="A1035" i="13" s="1"/>
  <c r="A1036" i="13" a="1"/>
  <c r="A1036" i="13" s="1"/>
  <c r="D1036" i="13" s="1"/>
  <c r="A1037" i="13" a="1"/>
  <c r="A1037" i="13" s="1"/>
  <c r="D1037" i="13" s="1"/>
  <c r="A1038" i="13" a="1"/>
  <c r="A1038" i="13" s="1"/>
  <c r="A1039" i="13" a="1"/>
  <c r="A1039" i="13" s="1"/>
  <c r="C1039" i="13" s="1"/>
  <c r="A1040" i="13" a="1"/>
  <c r="A1040" i="13" s="1"/>
  <c r="C1040" i="13" s="1"/>
  <c r="A1041" i="13" a="1"/>
  <c r="A1041" i="13" s="1"/>
  <c r="D1041" i="13" s="1"/>
  <c r="A1042" i="13" a="1"/>
  <c r="A1042" i="13" s="1"/>
  <c r="D1042" i="13" s="1"/>
  <c r="A1043" i="13" a="1"/>
  <c r="A1043" i="13" s="1"/>
  <c r="A1044" i="13" a="1"/>
  <c r="A1044" i="13" s="1"/>
  <c r="D1044" i="13" s="1"/>
  <c r="A1045" i="13" a="1"/>
  <c r="A1045" i="13" s="1"/>
  <c r="A1046" i="13" a="1"/>
  <c r="A1046" i="13" s="1"/>
  <c r="A1047" i="13" a="1"/>
  <c r="A1047" i="13" s="1"/>
  <c r="A1048" i="13" a="1"/>
  <c r="A1048" i="13" s="1"/>
  <c r="B1048" i="13" s="1"/>
  <c r="A1049" i="13" a="1"/>
  <c r="A1049" i="13" s="1"/>
  <c r="D1049" i="13" s="1"/>
  <c r="A1050" i="13" a="1"/>
  <c r="A1050" i="13" s="1"/>
  <c r="D1050" i="13" s="1"/>
  <c r="A1051" i="13" a="1"/>
  <c r="A1051" i="13" s="1"/>
  <c r="C1051" i="13" s="1"/>
  <c r="A1052" i="13" a="1"/>
  <c r="A1052" i="13" s="1"/>
  <c r="C1052" i="13" s="1"/>
  <c r="A1053" i="13" a="1"/>
  <c r="A1053" i="13" s="1"/>
  <c r="A1054" i="13" a="1"/>
  <c r="A1054" i="13" s="1"/>
  <c r="A1055" i="13" a="1"/>
  <c r="A1055" i="13" s="1"/>
  <c r="A1056" i="13" a="1"/>
  <c r="A1056" i="13" s="1"/>
  <c r="B1056" i="13" s="1"/>
  <c r="A1057" i="13" a="1"/>
  <c r="A1057" i="13" s="1"/>
  <c r="A1058" i="13" a="1"/>
  <c r="A1058" i="13" s="1"/>
  <c r="D1058" i="13" s="1"/>
  <c r="A1059" i="13" a="1"/>
  <c r="A1059" i="13" s="1"/>
  <c r="A1060" i="13" a="1"/>
  <c r="A1060" i="13" s="1"/>
  <c r="A1061" i="13" a="1"/>
  <c r="A1061" i="13" s="1"/>
  <c r="D1061" i="13" s="1"/>
  <c r="A1062" i="13" a="1"/>
  <c r="A1062" i="13" s="1"/>
  <c r="D1062" i="13" s="1"/>
  <c r="A1063" i="13" a="1"/>
  <c r="A1063" i="13" s="1"/>
  <c r="C1063" i="13" s="1"/>
  <c r="A1064" i="13" a="1"/>
  <c r="A1064" i="13" s="1"/>
  <c r="A1065" i="13" a="1"/>
  <c r="A1065" i="13" s="1"/>
  <c r="D1065" i="13" s="1"/>
  <c r="A1066" i="13" a="1"/>
  <c r="A1066" i="13" s="1"/>
  <c r="D1066" i="13" s="1"/>
  <c r="A1067" i="13" a="1"/>
  <c r="A1067" i="13" s="1"/>
  <c r="C1067" i="13" s="1"/>
  <c r="A1068" i="13" a="1"/>
  <c r="A1068" i="13" s="1"/>
  <c r="B1068" i="13" s="1"/>
  <c r="A1069" i="13" a="1"/>
  <c r="A1069" i="13" s="1"/>
  <c r="C1069" i="13" s="1"/>
  <c r="A1070" i="13" a="1"/>
  <c r="A1070" i="13" s="1"/>
  <c r="A1071" i="13" a="1"/>
  <c r="A1071" i="13" s="1"/>
  <c r="A1072" i="13" a="1"/>
  <c r="A1072" i="13" s="1"/>
  <c r="A1073" i="13" a="1"/>
  <c r="A1073" i="13" s="1"/>
  <c r="D1073" i="13" s="1"/>
  <c r="A1074" i="13" a="1"/>
  <c r="A1074" i="13" s="1"/>
  <c r="A1075" i="13" a="1"/>
  <c r="A1075" i="13" s="1"/>
  <c r="A1076" i="13" a="1"/>
  <c r="A1076" i="13" s="1"/>
  <c r="C1076" i="13" s="1"/>
  <c r="A1077" i="13" a="1"/>
  <c r="A1077" i="13" s="1"/>
  <c r="A1078" i="13" a="1"/>
  <c r="A1078" i="13" s="1"/>
  <c r="C1078" i="13" s="1"/>
  <c r="A1079" i="13" a="1"/>
  <c r="A1079" i="13" s="1"/>
  <c r="A1080" i="13" a="1"/>
  <c r="A1080" i="13" s="1"/>
  <c r="B1080" i="13" s="1"/>
  <c r="A1081" i="13" a="1"/>
  <c r="A1081" i="13" s="1"/>
  <c r="D1081" i="13" s="1"/>
  <c r="A1082" i="13" a="1"/>
  <c r="A1082" i="13" s="1"/>
  <c r="D1082" i="13" s="1"/>
  <c r="A1083" i="13" a="1"/>
  <c r="A1083" i="13" s="1"/>
  <c r="A1084" i="13" a="1"/>
  <c r="A1084" i="13" s="1"/>
  <c r="A1085" i="13" a="1"/>
  <c r="A1085" i="13" s="1"/>
  <c r="D1085" i="13" s="1"/>
  <c r="A1086" i="13" a="1"/>
  <c r="A1086" i="13" s="1"/>
  <c r="B1086" i="13" s="1"/>
  <c r="A1087" i="13" a="1"/>
  <c r="A1087" i="13" s="1"/>
  <c r="B1087" i="13" s="1"/>
  <c r="A1088" i="13" a="1"/>
  <c r="A1088" i="13" s="1"/>
  <c r="B1088" i="13" s="1"/>
  <c r="A1089" i="13" a="1"/>
  <c r="A1089" i="13" s="1"/>
  <c r="B1089" i="13" s="1"/>
  <c r="A1090" i="13" a="1"/>
  <c r="A1090" i="13" s="1"/>
  <c r="A1091" i="13" a="1"/>
  <c r="A1091" i="13" s="1"/>
  <c r="C1091" i="13" s="1"/>
  <c r="A1092" i="13" a="1"/>
  <c r="A1092" i="13" s="1"/>
  <c r="A1093" i="13" a="1"/>
  <c r="A1093" i="13" s="1"/>
  <c r="A1094" i="13" a="1"/>
  <c r="A1094" i="13" s="1"/>
  <c r="D1094" i="13" s="1"/>
  <c r="A1095" i="13" a="1"/>
  <c r="A1095" i="13" s="1"/>
  <c r="B1095" i="13" s="1"/>
  <c r="A1096" i="13" a="1"/>
  <c r="A1096" i="13" s="1"/>
  <c r="B1096" i="13" s="1"/>
  <c r="A1097" i="13" a="1"/>
  <c r="A1097" i="13" s="1"/>
  <c r="D1097" i="13" s="1"/>
  <c r="A1098" i="13" a="1"/>
  <c r="A1098" i="13" s="1"/>
  <c r="A1099" i="13" a="1"/>
  <c r="A1099" i="13" s="1"/>
  <c r="C1099" i="13" s="1"/>
  <c r="A1100" i="13" a="1"/>
  <c r="A1100" i="13" s="1"/>
  <c r="B1100" i="13" s="1"/>
  <c r="A1101" i="13" a="1"/>
  <c r="A1101" i="13" s="1"/>
  <c r="A1102" i="13" a="1"/>
  <c r="A1102" i="13" s="1"/>
  <c r="D1102" i="13" s="1"/>
  <c r="A1103" i="13" a="1"/>
  <c r="A1103" i="13" s="1"/>
  <c r="B1103" i="13" s="1"/>
  <c r="A1104" i="13" a="1"/>
  <c r="A1104" i="13" s="1"/>
  <c r="A1105" i="13" a="1"/>
  <c r="A1105" i="13" s="1"/>
  <c r="B1105" i="13" s="1"/>
  <c r="A1106" i="13" a="1"/>
  <c r="A1106" i="13" s="1"/>
  <c r="D1106" i="13" s="1"/>
  <c r="A1107" i="13" a="1"/>
  <c r="A1107" i="13" s="1"/>
  <c r="C1107" i="13" s="1"/>
  <c r="A1108" i="13" a="1"/>
  <c r="A1108" i="13" s="1"/>
  <c r="D1108" i="13" s="1"/>
  <c r="A1109" i="13" a="1"/>
  <c r="A1109" i="13" s="1"/>
  <c r="B1109" i="13" s="1"/>
  <c r="A1110" i="13" a="1"/>
  <c r="A1110" i="13" s="1"/>
  <c r="B1110" i="13" s="1"/>
  <c r="A1111" i="13" a="1"/>
  <c r="A1111" i="13" s="1"/>
  <c r="B1111" i="13" s="1"/>
  <c r="A1112" i="13" a="1"/>
  <c r="A1112" i="13" s="1"/>
  <c r="A1113" i="13" a="1"/>
  <c r="A1113" i="13" s="1"/>
  <c r="A1114" i="13" a="1"/>
  <c r="A1114" i="13" s="1"/>
  <c r="A1115" i="13" a="1"/>
  <c r="A1115" i="13" s="1"/>
  <c r="C1115" i="13" s="1"/>
  <c r="A1116" i="13" a="1"/>
  <c r="A1116" i="13" s="1"/>
  <c r="C1116" i="13" s="1"/>
  <c r="A1117" i="13" a="1"/>
  <c r="A1117" i="13" s="1"/>
  <c r="C1117" i="13" s="1"/>
  <c r="A1118" i="13" a="1"/>
  <c r="A1118" i="13" s="1"/>
  <c r="C1118" i="13" s="1"/>
  <c r="A1119" i="13" a="1"/>
  <c r="A1119" i="13" s="1"/>
  <c r="C1119" i="13" s="1"/>
  <c r="A1120" i="13" a="1"/>
  <c r="A1120" i="13" s="1"/>
  <c r="A1121" i="13" a="1"/>
  <c r="A1121" i="13" s="1"/>
  <c r="A1122" i="13" a="1"/>
  <c r="A1122" i="13" s="1"/>
  <c r="A1123" i="13" a="1"/>
  <c r="A1123" i="13" s="1"/>
  <c r="D1123" i="13" s="1"/>
  <c r="A1124" i="13" a="1"/>
  <c r="A1124" i="13" s="1"/>
  <c r="A1125" i="13" a="1"/>
  <c r="A1125" i="13" s="1"/>
  <c r="C1125" i="13" s="1"/>
  <c r="A1126" i="13" a="1"/>
  <c r="A1126" i="13" s="1"/>
  <c r="D1126" i="13" s="1"/>
  <c r="A1127" i="13" a="1"/>
  <c r="A1127" i="13" s="1"/>
  <c r="A1128" i="13" a="1"/>
  <c r="A1128" i="13" s="1"/>
  <c r="A1129" i="13" a="1"/>
  <c r="A1129" i="13" s="1"/>
  <c r="A1130" i="13" a="1"/>
  <c r="A1130" i="13" s="1"/>
  <c r="A1131" i="13" a="1"/>
  <c r="A1131" i="13" s="1"/>
  <c r="A1132" i="13" a="1"/>
  <c r="A1132" i="13" s="1"/>
  <c r="B1132" i="13" s="1"/>
  <c r="A1133" i="13" a="1"/>
  <c r="A1133" i="13" s="1"/>
  <c r="A1134" i="13" a="1"/>
  <c r="A1134" i="13" s="1"/>
  <c r="B1134" i="13" s="1"/>
  <c r="A1135" i="13" a="1"/>
  <c r="A1135" i="13" s="1"/>
  <c r="A1136" i="13" a="1"/>
  <c r="A1136" i="13" s="1"/>
  <c r="A1137" i="13" a="1"/>
  <c r="A1137" i="13" s="1"/>
  <c r="A1138" i="13" a="1"/>
  <c r="A1138" i="13" s="1"/>
  <c r="B1138" i="13" s="1"/>
  <c r="A1139" i="13" a="1"/>
  <c r="A1139" i="13" s="1"/>
  <c r="B1139" i="13" s="1"/>
  <c r="A1140" i="13" a="1"/>
  <c r="A1140" i="13" s="1"/>
  <c r="B1140" i="13" s="1"/>
  <c r="A1141" i="13" a="1"/>
  <c r="A1141" i="13" s="1"/>
  <c r="C1141" i="13" s="1"/>
  <c r="A1142" i="13" a="1"/>
  <c r="A1142" i="13" s="1"/>
  <c r="B1142" i="13" s="1"/>
  <c r="A1143" i="13" a="1"/>
  <c r="A1143" i="13" s="1"/>
  <c r="C1143" i="13" s="1"/>
  <c r="A1144" i="13" a="1"/>
  <c r="A1144" i="13" s="1"/>
  <c r="B1144" i="13" s="1"/>
  <c r="A1145" i="13" a="1"/>
  <c r="A1145" i="13" s="1"/>
  <c r="C1145" i="13" s="1"/>
  <c r="A1146" i="13" a="1"/>
  <c r="A1146" i="13" s="1"/>
  <c r="B1146" i="13" s="1"/>
  <c r="A1147" i="13" a="1"/>
  <c r="A1147" i="13" s="1"/>
  <c r="D1147" i="13" s="1"/>
  <c r="A1148" i="13" a="1"/>
  <c r="A1148" i="13" s="1"/>
  <c r="C1148" i="13" s="1"/>
  <c r="A1149" i="13" a="1"/>
  <c r="A1149" i="13" s="1"/>
  <c r="C1149" i="13" s="1"/>
  <c r="A1150" i="13" a="1"/>
  <c r="A1150" i="13" s="1"/>
  <c r="A1151" i="13" a="1"/>
  <c r="A1151" i="13" s="1"/>
  <c r="C1151" i="13" s="1"/>
  <c r="A1152" i="13" a="1"/>
  <c r="A1152" i="13" s="1"/>
  <c r="D1152" i="13" s="1"/>
  <c r="A1153" i="13" a="1"/>
  <c r="A1153" i="13" s="1"/>
  <c r="D1153" i="13" s="1"/>
  <c r="A1154" i="13" a="1"/>
  <c r="A1154" i="13" s="1"/>
  <c r="A1155" i="13" a="1"/>
  <c r="A1155" i="13" s="1"/>
  <c r="A1156" i="13" a="1"/>
  <c r="A1156" i="13" s="1"/>
  <c r="A1157" i="13" a="1"/>
  <c r="A1157" i="13" s="1"/>
  <c r="C1157" i="13" s="1"/>
  <c r="A1158" i="13" a="1"/>
  <c r="A1158" i="13" s="1"/>
  <c r="A1159" i="13" a="1"/>
  <c r="A1159" i="13" s="1"/>
  <c r="D1159" i="13" s="1"/>
  <c r="A1160" i="13" a="1"/>
  <c r="A1160" i="13" s="1"/>
  <c r="C1160" i="13" s="1"/>
  <c r="A1161" i="13" a="1"/>
  <c r="A1161" i="13" s="1"/>
  <c r="B1161" i="13" s="1"/>
  <c r="A1162" i="13" a="1"/>
  <c r="A1162" i="13" s="1"/>
  <c r="C1162" i="13" s="1"/>
  <c r="A1163" i="13" a="1"/>
  <c r="A1163" i="13" s="1"/>
  <c r="D1163" i="13" s="1"/>
  <c r="A1164" i="13" a="1"/>
  <c r="A1164" i="13" s="1"/>
  <c r="A1165" i="13" a="1"/>
  <c r="A1165" i="13" s="1"/>
  <c r="B1165" i="13" s="1"/>
  <c r="A1166" i="13" a="1"/>
  <c r="A1166" i="13" s="1"/>
  <c r="C1166" i="13" s="1"/>
  <c r="A1167" i="13" a="1"/>
  <c r="A1167" i="13" s="1"/>
  <c r="B1167" i="13" s="1"/>
  <c r="A1168" i="13" a="1"/>
  <c r="A1168" i="13" s="1"/>
  <c r="C1168" i="13" s="1"/>
  <c r="A1169" i="13" a="1"/>
  <c r="A1169" i="13" s="1"/>
  <c r="B1169" i="13" s="1"/>
  <c r="A1170" i="13" a="1"/>
  <c r="A1170" i="13" s="1"/>
  <c r="D1170" i="13" s="1"/>
  <c r="A1171" i="13" a="1"/>
  <c r="A1171" i="13" s="1"/>
  <c r="D1171" i="13" s="1"/>
  <c r="A1172" i="13" a="1"/>
  <c r="A1172" i="13" s="1"/>
  <c r="A1173" i="13" a="1"/>
  <c r="A1173" i="13" s="1"/>
  <c r="A1174" i="13" a="1"/>
  <c r="A1174" i="13" s="1"/>
  <c r="A1175" i="13" a="1"/>
  <c r="A1175" i="13" s="1"/>
  <c r="C1175" i="13" s="1"/>
  <c r="A1176" i="13" a="1"/>
  <c r="A1176" i="13" s="1"/>
  <c r="A1177" i="13" a="1"/>
  <c r="A1177" i="13" s="1"/>
  <c r="D1177" i="13" s="1"/>
  <c r="A1178" i="13" a="1"/>
  <c r="A1178" i="13" s="1"/>
  <c r="B1178" i="13" s="1"/>
  <c r="A1179" i="13" a="1"/>
  <c r="A1179" i="13" s="1"/>
  <c r="A1180" i="13" a="1"/>
  <c r="A1180" i="13" s="1"/>
  <c r="A1181" i="13" a="1"/>
  <c r="A1181" i="13" s="1"/>
  <c r="B1181" i="13" s="1"/>
  <c r="A1182" i="13" a="1"/>
  <c r="A1182" i="13" s="1"/>
  <c r="A1183" i="13" a="1"/>
  <c r="A1183" i="13" s="1"/>
  <c r="C1183" i="13" s="1"/>
  <c r="A1184" i="13" a="1"/>
  <c r="A1184" i="13" s="1"/>
  <c r="B1184" i="13" s="1"/>
  <c r="A1185" i="13" a="1"/>
  <c r="A1185" i="13" s="1"/>
  <c r="D1185" i="13" s="1"/>
  <c r="A1186" i="13" a="1"/>
  <c r="A1186" i="13" s="1"/>
  <c r="B1186" i="13" s="1"/>
  <c r="A1187" i="13" a="1"/>
  <c r="A1187" i="13" s="1"/>
  <c r="C1187" i="13" s="1"/>
  <c r="A1188" i="13" a="1"/>
  <c r="A1188" i="13" s="1"/>
  <c r="B1188" i="13" s="1"/>
  <c r="A1189" i="13" a="1"/>
  <c r="A1189" i="13" s="1"/>
  <c r="A1190" i="13" a="1"/>
  <c r="A1190" i="13" s="1"/>
  <c r="B1190" i="13" s="1"/>
  <c r="A1191" i="13" a="1"/>
  <c r="A1191" i="13" s="1"/>
  <c r="B1191" i="13" s="1"/>
  <c r="A1192" i="13" a="1"/>
  <c r="A1192" i="13" s="1"/>
  <c r="A1193" i="13" a="1"/>
  <c r="A1193" i="13" s="1"/>
  <c r="C1193" i="13" s="1"/>
  <c r="A1194" i="13" a="1"/>
  <c r="A1194" i="13" s="1"/>
  <c r="C1194" i="13" s="1"/>
  <c r="A1195" i="13" a="1"/>
  <c r="A1195" i="13" s="1"/>
  <c r="B1195" i="13" s="1"/>
  <c r="A1196" i="13" a="1"/>
  <c r="A1196" i="13" s="1"/>
  <c r="A1197" i="13" a="1"/>
  <c r="A1197" i="13" s="1"/>
  <c r="A1198" i="13" a="1"/>
  <c r="A1198" i="13" s="1"/>
  <c r="A1199" i="13" a="1"/>
  <c r="A1199" i="13" s="1"/>
  <c r="B1199" i="13" s="1"/>
  <c r="A1200" i="13" a="1"/>
  <c r="A1200" i="13" s="1"/>
  <c r="B1200" i="13" s="1"/>
  <c r="A1201" i="13" a="1"/>
  <c r="A1201" i="13" s="1"/>
  <c r="B1201" i="13" s="1"/>
  <c r="A1202" i="13" a="1"/>
  <c r="A1202" i="13" s="1"/>
  <c r="B1202" i="13" s="1"/>
  <c r="A1203" i="13" a="1"/>
  <c r="A1203" i="13" s="1"/>
  <c r="A1204" i="13" a="1"/>
  <c r="A1204" i="13" s="1"/>
  <c r="B1204" i="13" s="1"/>
  <c r="A1205" i="13" a="1"/>
  <c r="A1205" i="13" s="1"/>
  <c r="C1205" i="13" s="1"/>
  <c r="A1206" i="13" a="1"/>
  <c r="A1206" i="13" s="1"/>
  <c r="B1206" i="13" s="1"/>
  <c r="A1207" i="13" a="1"/>
  <c r="A1207" i="13" s="1"/>
  <c r="A1208" i="13" a="1"/>
  <c r="A1208" i="13" s="1"/>
  <c r="A1209" i="13" a="1"/>
  <c r="A1209" i="13" s="1"/>
  <c r="B1209" i="13" s="1"/>
  <c r="A1210" i="13" a="1"/>
  <c r="A1210" i="13" s="1"/>
  <c r="B1210" i="13" s="1"/>
  <c r="A1211" i="13" a="1"/>
  <c r="A1211" i="13" s="1"/>
  <c r="D1211" i="13" s="1"/>
  <c r="A1212" i="13" a="1"/>
  <c r="A1212" i="13" s="1"/>
  <c r="D1212" i="13" s="1"/>
  <c r="A1213" i="13" a="1"/>
  <c r="A1213" i="13" s="1"/>
  <c r="B1213" i="13" s="1"/>
  <c r="A1214" i="13" a="1"/>
  <c r="A1214" i="13" s="1"/>
  <c r="A1215" i="13" a="1"/>
  <c r="A1215" i="13" s="1"/>
  <c r="D1215" i="13" s="1"/>
  <c r="A1216" i="13" a="1"/>
  <c r="A1216" i="13" s="1"/>
  <c r="D1216" i="13" s="1"/>
  <c r="A1217" i="13" a="1"/>
  <c r="A1217" i="13" s="1"/>
  <c r="A1218" i="13" a="1"/>
  <c r="A1218" i="13" s="1"/>
  <c r="D1218" i="13" s="1"/>
  <c r="A1219" i="13" a="1"/>
  <c r="A1219" i="13" s="1"/>
  <c r="A1220" i="13" a="1"/>
  <c r="A1220" i="13" s="1"/>
  <c r="D1220" i="13" s="1"/>
  <c r="A1221" i="13" a="1"/>
  <c r="A1221" i="13" s="1"/>
  <c r="B1221" i="13" s="1"/>
  <c r="A1222" i="13" a="1"/>
  <c r="A1222" i="13" s="1"/>
  <c r="B1222" i="13" s="1"/>
  <c r="A1223" i="13" a="1"/>
  <c r="A1223" i="13" s="1"/>
  <c r="A1224" i="13" a="1"/>
  <c r="A1224" i="13" s="1"/>
  <c r="C1224" i="13" s="1"/>
  <c r="A1225" i="13" a="1"/>
  <c r="A1225" i="13" s="1"/>
  <c r="D1225" i="13" s="1"/>
  <c r="A1226" i="13" a="1"/>
  <c r="A1226" i="13" s="1"/>
  <c r="A1227" i="13" a="1"/>
  <c r="A1227" i="13" s="1"/>
  <c r="C1227" i="13" s="1"/>
  <c r="A1228" i="13" a="1"/>
  <c r="A1228" i="13" s="1"/>
  <c r="D1228" i="13" s="1"/>
  <c r="A1229" i="13" a="1"/>
  <c r="A1229" i="13" s="1"/>
  <c r="D1229" i="13" s="1"/>
  <c r="A1230" i="13" a="1"/>
  <c r="A1230" i="13" s="1"/>
  <c r="A1231" i="13" a="1"/>
  <c r="A1231" i="13" s="1"/>
  <c r="A1232" i="13" a="1"/>
  <c r="A1232" i="13" s="1"/>
  <c r="C1232" i="13" s="1"/>
  <c r="A1233" i="13" a="1"/>
  <c r="A1233" i="13" s="1"/>
  <c r="A1234" i="13" a="1"/>
  <c r="A1234" i="13" s="1"/>
  <c r="A1235" i="13" a="1"/>
  <c r="A1235" i="13" s="1"/>
  <c r="A1236" i="13" a="1"/>
  <c r="A1236" i="13" s="1"/>
  <c r="A1237" i="13" a="1"/>
  <c r="A1237" i="13" s="1"/>
  <c r="B1237" i="13" s="1"/>
  <c r="A1238" i="13" a="1"/>
  <c r="A1238" i="13" s="1"/>
  <c r="B1238" i="13" s="1"/>
  <c r="A1239" i="13" a="1"/>
  <c r="A1239" i="13" s="1"/>
  <c r="A1240" i="13" a="1"/>
  <c r="A1240" i="13" s="1"/>
  <c r="B1240" i="13" s="1"/>
  <c r="A1241" i="13" a="1"/>
  <c r="A1241" i="13" s="1"/>
  <c r="A1242" i="13" a="1"/>
  <c r="A1242" i="13" s="1"/>
  <c r="A1243" i="13" a="1"/>
  <c r="A1243" i="13" s="1"/>
  <c r="C1243" i="13" s="1"/>
  <c r="A1244" i="13" a="1"/>
  <c r="A1244" i="13" s="1"/>
  <c r="A1245" i="13" a="1"/>
  <c r="A1245" i="13" s="1"/>
  <c r="A1246" i="13" a="1"/>
  <c r="A1246" i="13" s="1"/>
  <c r="B1246" i="13" s="1"/>
  <c r="A1247" i="13" a="1"/>
  <c r="A1247" i="13" s="1"/>
  <c r="A1248" i="13" a="1"/>
  <c r="A1248" i="13" s="1"/>
  <c r="B1248" i="13" s="1"/>
  <c r="A1249" i="13" a="1"/>
  <c r="A1249" i="13" s="1"/>
  <c r="C1249" i="13" s="1"/>
  <c r="A1250" i="13" a="1"/>
  <c r="A1250" i="13" s="1"/>
  <c r="A1251" i="13" a="1"/>
  <c r="A1251" i="13" s="1"/>
  <c r="B1251" i="13" s="1"/>
  <c r="A1252" i="13" a="1"/>
  <c r="A1252" i="13" s="1"/>
  <c r="A1253" i="13" a="1"/>
  <c r="A1253" i="13" s="1"/>
  <c r="B1253" i="13" s="1"/>
  <c r="A1254" i="13" a="1"/>
  <c r="A1254" i="13" s="1"/>
  <c r="B1254" i="13" s="1"/>
  <c r="A1255" i="13" a="1"/>
  <c r="A1255" i="13" s="1"/>
  <c r="D1255" i="13" s="1"/>
  <c r="A1256" i="13" a="1"/>
  <c r="A1256" i="13" s="1"/>
  <c r="C1256" i="13" s="1"/>
  <c r="A1257" i="13" a="1"/>
  <c r="A1257" i="13" s="1"/>
  <c r="D1257" i="13" s="1"/>
  <c r="A1258" i="13" a="1"/>
  <c r="A1258" i="13" s="1"/>
  <c r="A1259" i="13" a="1"/>
  <c r="A1259" i="13" s="1"/>
  <c r="A1260" i="13" a="1"/>
  <c r="A1260" i="13" s="1"/>
  <c r="A1261" i="13" a="1"/>
  <c r="A1261" i="13" s="1"/>
  <c r="A1262" i="13" a="1"/>
  <c r="A1262" i="13" s="1"/>
  <c r="A1263" i="13" a="1"/>
  <c r="A1263" i="13" s="1"/>
  <c r="C1263" i="13" s="1"/>
  <c r="A1264" i="13" a="1"/>
  <c r="A1264" i="13" s="1"/>
  <c r="D1264" i="13" s="1"/>
  <c r="A1265" i="13" a="1"/>
  <c r="A1265" i="13" s="1"/>
  <c r="A1266" i="13" a="1"/>
  <c r="A1266" i="13" s="1"/>
  <c r="B1266" i="13" s="1"/>
  <c r="A1267" i="13" a="1"/>
  <c r="A1267" i="13" s="1"/>
  <c r="A1268" i="13" a="1"/>
  <c r="A1268" i="13" s="1"/>
  <c r="A1269" i="13" a="1"/>
  <c r="A1269" i="13" s="1"/>
  <c r="C1269" i="13" s="1"/>
  <c r="A1270" i="13" a="1"/>
  <c r="A1270" i="13" s="1"/>
  <c r="A1271" i="13" a="1"/>
  <c r="A1271" i="13" s="1"/>
  <c r="A1272" i="13" a="1"/>
  <c r="A1272" i="13" s="1"/>
  <c r="A1273" i="13" a="1"/>
  <c r="A1273" i="13" s="1"/>
  <c r="C1273" i="13" s="1"/>
  <c r="A1274" i="13" a="1"/>
  <c r="A1274" i="13" s="1"/>
  <c r="A1275" i="13" a="1"/>
  <c r="A1275" i="13" s="1"/>
  <c r="A1276" i="13" a="1"/>
  <c r="A1276" i="13" s="1"/>
  <c r="B1276" i="13" s="1"/>
  <c r="A1277" i="13" a="1"/>
  <c r="A1277" i="13" s="1"/>
  <c r="B1277" i="13" s="1"/>
  <c r="A1278" i="13" a="1"/>
  <c r="A1278" i="13" s="1"/>
  <c r="A1279" i="13" a="1"/>
  <c r="A1279" i="13" s="1"/>
  <c r="A1280" i="13" a="1"/>
  <c r="A1280" i="13" s="1"/>
  <c r="D1280" i="13" s="1"/>
  <c r="A1281" i="13" a="1"/>
  <c r="A1281" i="13" s="1"/>
  <c r="B1281" i="13" s="1"/>
  <c r="A1282" i="13" a="1"/>
  <c r="A1282" i="13" s="1"/>
  <c r="C1282" i="13" s="1"/>
  <c r="A1283" i="13" a="1"/>
  <c r="A1283" i="13" s="1"/>
  <c r="C1283" i="13" s="1"/>
  <c r="A1284" i="13" a="1"/>
  <c r="A1284" i="13" s="1"/>
  <c r="B1284" i="13" s="1"/>
  <c r="A1285" i="13" a="1"/>
  <c r="A1285" i="13" s="1"/>
  <c r="D1285" i="13" s="1"/>
  <c r="A1286" i="13" a="1"/>
  <c r="A1286" i="13" s="1"/>
  <c r="C1286" i="13" s="1"/>
  <c r="A1287" i="13" a="1"/>
  <c r="A1287" i="13" s="1"/>
  <c r="A1288" i="13" a="1"/>
  <c r="A1288" i="13" s="1"/>
  <c r="A1289" i="13" a="1"/>
  <c r="A1289" i="13" s="1"/>
  <c r="A1290" i="13" a="1"/>
  <c r="A1290" i="13" s="1"/>
  <c r="A1291" i="13" a="1"/>
  <c r="A1291" i="13" s="1"/>
  <c r="D1291" i="13" s="1"/>
  <c r="A1292" i="13" a="1"/>
  <c r="A1292" i="13" s="1"/>
  <c r="D1292" i="13" s="1"/>
  <c r="A1293" i="13" a="1"/>
  <c r="A1293" i="13" s="1"/>
  <c r="C1293" i="13" s="1"/>
  <c r="A1294" i="13" a="1"/>
  <c r="A1294" i="13" s="1"/>
  <c r="A1295" i="13" a="1"/>
  <c r="A1295" i="13" s="1"/>
  <c r="B1295" i="13" s="1"/>
  <c r="A1296" i="13" a="1"/>
  <c r="A1296" i="13" s="1"/>
  <c r="B1296" i="13" s="1"/>
  <c r="A1297" i="13" a="1"/>
  <c r="A1297" i="13" s="1"/>
  <c r="D1297" i="13" s="1"/>
  <c r="A1298" i="13" a="1"/>
  <c r="A1298" i="13" s="1"/>
  <c r="B1298" i="13" s="1"/>
  <c r="A1299" i="13" a="1"/>
  <c r="A1299" i="13" s="1"/>
  <c r="D1299" i="13" s="1"/>
  <c r="A1300" i="13" a="1"/>
  <c r="A1300" i="13" s="1"/>
  <c r="D1300" i="13" s="1"/>
  <c r="A1301" i="13" a="1"/>
  <c r="A1301" i="13" s="1"/>
  <c r="D1301" i="13" s="1"/>
  <c r="A1302" i="13" a="1"/>
  <c r="A1302" i="13" s="1"/>
  <c r="A1303" i="13" a="1"/>
  <c r="A1303" i="13" s="1"/>
  <c r="D1303" i="13" s="1"/>
  <c r="A1304" i="13" a="1"/>
  <c r="A1304" i="13" s="1"/>
  <c r="A1305" i="13" a="1"/>
  <c r="A1305" i="13" s="1"/>
  <c r="A1306" i="13" a="1"/>
  <c r="A1306" i="13" s="1"/>
  <c r="A1307" i="13" a="1"/>
  <c r="A1307" i="13" s="1"/>
  <c r="B1307" i="13" s="1"/>
  <c r="A1308" i="13" a="1"/>
  <c r="A1308" i="13" s="1"/>
  <c r="A1309" i="13" a="1"/>
  <c r="A1309" i="13" s="1"/>
  <c r="A1310" i="13" a="1"/>
  <c r="A1310" i="13" s="1"/>
  <c r="D1310" i="13" s="1"/>
  <c r="A1311" i="13" a="1"/>
  <c r="A1311" i="13" s="1"/>
  <c r="A1312" i="13" a="1"/>
  <c r="A1312" i="13" s="1"/>
  <c r="B1312" i="13" s="1"/>
  <c r="A1313" i="13" a="1"/>
  <c r="A1313" i="13" s="1"/>
  <c r="A1314" i="13" a="1"/>
  <c r="A1314" i="13" s="1"/>
  <c r="A1315" i="13" a="1"/>
  <c r="A1315" i="13" s="1"/>
  <c r="A1316" i="13" a="1"/>
  <c r="A1316" i="13" s="1"/>
  <c r="D1316" i="13" s="1"/>
  <c r="A1317" i="13" a="1"/>
  <c r="A1317" i="13" s="1"/>
  <c r="B1317" i="13" s="1"/>
  <c r="A1318" i="13" a="1"/>
  <c r="A1318" i="13" s="1"/>
  <c r="A1319" i="13" a="1"/>
  <c r="A1319" i="13" s="1"/>
  <c r="D1319" i="13" s="1"/>
  <c r="A1320" i="13" a="1"/>
  <c r="A1320" i="13" s="1"/>
  <c r="B1320" i="13" s="1"/>
  <c r="A1321" i="13" a="1"/>
  <c r="A1321" i="13" s="1"/>
  <c r="A1322" i="13" a="1"/>
  <c r="A1322" i="13" s="1"/>
  <c r="A1323" i="13" a="1"/>
  <c r="A1323" i="13" s="1"/>
  <c r="B1323" i="13" s="1"/>
  <c r="A1324" i="13" a="1"/>
  <c r="A1324" i="13" s="1"/>
  <c r="A1325" i="13" a="1"/>
  <c r="A1325" i="13" s="1"/>
  <c r="B1325" i="13" s="1"/>
  <c r="A1326" i="13" a="1"/>
  <c r="A1326" i="13" s="1"/>
  <c r="B1326" i="13" s="1"/>
  <c r="A1327" i="13" a="1"/>
  <c r="A1327" i="13" s="1"/>
  <c r="B1327" i="13" s="1"/>
  <c r="A1328" i="13" a="1"/>
  <c r="A1328" i="13" s="1"/>
  <c r="B1328" i="13" s="1"/>
  <c r="A1329" i="13" a="1"/>
  <c r="A1329" i="13" s="1"/>
  <c r="C1329" i="13" s="1"/>
  <c r="A1330" i="13" a="1"/>
  <c r="A1330" i="13" s="1"/>
  <c r="D1330" i="13" s="1"/>
  <c r="A1331" i="13" a="1"/>
  <c r="A1331" i="13" s="1"/>
  <c r="A1332" i="13" a="1"/>
  <c r="A1332" i="13" s="1"/>
  <c r="A1333" i="13" a="1"/>
  <c r="A1333" i="13" s="1"/>
  <c r="B1333" i="13" s="1"/>
  <c r="A1334" i="13" a="1"/>
  <c r="A1334" i="13" s="1"/>
  <c r="A1335" i="13" a="1"/>
  <c r="A1335" i="13" s="1"/>
  <c r="A1336" i="13" a="1"/>
  <c r="A1336" i="13" s="1"/>
  <c r="D1336" i="13" s="1"/>
  <c r="A1337" i="13" a="1"/>
  <c r="A1337" i="13" s="1"/>
  <c r="A1338" i="13" a="1"/>
  <c r="A1338" i="13" s="1"/>
  <c r="A1339" i="13" a="1"/>
  <c r="A1339" i="13" s="1"/>
  <c r="A1340" i="13" a="1"/>
  <c r="A1340" i="13" s="1"/>
  <c r="A1341" i="13" a="1"/>
  <c r="A1341" i="13" s="1"/>
  <c r="A1342" i="13" a="1"/>
  <c r="A1342" i="13" s="1"/>
  <c r="A1343" i="13" a="1"/>
  <c r="A1343" i="13" s="1"/>
  <c r="C1343" i="13" s="1"/>
  <c r="A1344" i="13" a="1"/>
  <c r="A1344" i="13" s="1"/>
  <c r="B1344" i="13" s="1"/>
  <c r="A1345" i="13" a="1"/>
  <c r="A1345" i="13" s="1"/>
  <c r="C1345" i="13" s="1"/>
  <c r="A1346" i="13" a="1"/>
  <c r="A1346" i="13" s="1"/>
  <c r="D1346" i="13" s="1"/>
  <c r="A1347" i="13" a="1"/>
  <c r="A1347" i="13" s="1"/>
  <c r="D1347" i="13" s="1"/>
  <c r="A1348" i="13" a="1"/>
  <c r="A1348" i="13" s="1"/>
  <c r="A1349" i="13" a="1"/>
  <c r="A1349" i="13" s="1"/>
  <c r="B1349" i="13" s="1"/>
  <c r="A1350" i="13" a="1"/>
  <c r="A1350" i="13" s="1"/>
  <c r="A1351" i="13" a="1"/>
  <c r="A1351" i="13" s="1"/>
  <c r="D1351" i="13" s="1"/>
  <c r="A1352" i="13" a="1"/>
  <c r="A1352" i="13" s="1"/>
  <c r="A1353" i="13" a="1"/>
  <c r="A1353" i="13" s="1"/>
  <c r="A1354" i="13" a="1"/>
  <c r="A1354" i="13" s="1"/>
  <c r="B1354" i="13" s="1"/>
  <c r="A1355" i="13" a="1"/>
  <c r="A1355" i="13" s="1"/>
  <c r="D1355" i="13" s="1"/>
  <c r="A1356" i="13" a="1"/>
  <c r="A1356" i="13" s="1"/>
  <c r="A1357" i="13" a="1"/>
  <c r="A1357" i="13" s="1"/>
  <c r="A1358" i="13" a="1"/>
  <c r="A1358" i="13" s="1"/>
  <c r="D1358" i="13" s="1"/>
  <c r="A1359" i="13" a="1"/>
  <c r="A1359" i="13" s="1"/>
  <c r="B1359" i="13" s="1"/>
  <c r="A1360" i="13" a="1"/>
  <c r="A1360" i="13" s="1"/>
  <c r="A3" i="13" a="1"/>
  <c r="A3" i="13" s="1"/>
  <c r="D3" i="13" s="1"/>
  <c r="B3" i="10"/>
  <c r="B4" i="10"/>
  <c r="B5" i="10"/>
  <c r="B13" i="10"/>
  <c r="B15" i="10"/>
  <c r="B19" i="10"/>
  <c r="B21" i="10"/>
  <c r="B23" i="10"/>
  <c r="B24" i="10"/>
  <c r="B26" i="10"/>
  <c r="B28" i="10"/>
  <c r="B33" i="10"/>
  <c r="B34" i="10"/>
  <c r="B35" i="10"/>
  <c r="B37" i="10"/>
  <c r="B39" i="10"/>
  <c r="B40" i="10"/>
  <c r="B44" i="10"/>
  <c r="B45" i="10"/>
  <c r="B52" i="10"/>
  <c r="B56" i="10"/>
  <c r="B60" i="10"/>
  <c r="B63" i="10"/>
  <c r="B67" i="10"/>
  <c r="B68" i="10"/>
  <c r="B72" i="10"/>
  <c r="B74" i="10"/>
  <c r="B76" i="10"/>
  <c r="B77" i="10"/>
  <c r="B84" i="10"/>
  <c r="B87" i="10"/>
  <c r="B88" i="10"/>
  <c r="B92" i="10"/>
  <c r="B93" i="10"/>
  <c r="B97" i="10"/>
  <c r="B99" i="10"/>
  <c r="B100" i="10"/>
  <c r="B103" i="10"/>
  <c r="B111" i="10"/>
  <c r="B112" i="10"/>
  <c r="B114" i="10"/>
  <c r="B119" i="10"/>
  <c r="B122" i="10"/>
  <c r="B124" i="10"/>
  <c r="B125" i="10"/>
  <c r="B127" i="10"/>
  <c r="B129" i="10"/>
  <c r="B130" i="10"/>
  <c r="B132" i="10"/>
  <c r="B139" i="10"/>
  <c r="B140" i="10"/>
  <c r="B141" i="10"/>
  <c r="B143" i="10"/>
  <c r="B146" i="10"/>
  <c r="B149" i="10"/>
  <c r="B151" i="10"/>
  <c r="B154" i="10"/>
  <c r="B155" i="10"/>
  <c r="B157" i="10"/>
  <c r="B160" i="10"/>
  <c r="B163" i="10"/>
  <c r="B165" i="10"/>
  <c r="B168" i="10"/>
  <c r="B170" i="10"/>
  <c r="B173" i="10"/>
  <c r="B177" i="10"/>
  <c r="B178" i="10"/>
  <c r="B180" i="10"/>
  <c r="B183" i="10"/>
  <c r="B194" i="10"/>
  <c r="B196" i="10"/>
  <c r="B199" i="10"/>
  <c r="B200" i="10"/>
  <c r="B204" i="10"/>
  <c r="B205" i="10"/>
  <c r="B212" i="10"/>
  <c r="B215" i="10"/>
  <c r="B218" i="10"/>
  <c r="B219" i="10"/>
  <c r="B221" i="10"/>
  <c r="B223" i="10"/>
  <c r="B226" i="10"/>
  <c r="B231" i="10"/>
  <c r="B232" i="10"/>
  <c r="B235" i="10"/>
  <c r="B236" i="10"/>
  <c r="B241" i="10"/>
  <c r="B243" i="10"/>
  <c r="B244" i="10"/>
  <c r="B245" i="10"/>
  <c r="B247" i="10"/>
  <c r="B257" i="10"/>
  <c r="B260" i="10"/>
  <c r="B261" i="10"/>
  <c r="B262" i="10"/>
  <c r="B268" i="10"/>
  <c r="B269" i="10"/>
  <c r="B273" i="10"/>
  <c r="B280" i="10"/>
  <c r="B291" i="10"/>
  <c r="B301" i="10"/>
  <c r="B305" i="10"/>
  <c r="B306" i="10"/>
  <c r="B307" i="10"/>
  <c r="B308" i="10"/>
  <c r="B311" i="10"/>
  <c r="B314" i="10"/>
  <c r="B317" i="10"/>
  <c r="B322" i="10"/>
  <c r="B324" i="10"/>
  <c r="B325" i="10"/>
  <c r="B327" i="10"/>
  <c r="B328" i="10"/>
  <c r="B330" i="10"/>
  <c r="B332" i="10"/>
  <c r="B334" i="10"/>
  <c r="B341" i="10"/>
  <c r="B344" i="10"/>
  <c r="B345" i="10"/>
  <c r="B349" i="10"/>
  <c r="B355" i="10"/>
  <c r="B356" i="10"/>
  <c r="B357" i="10"/>
  <c r="B367" i="10"/>
  <c r="B368" i="10"/>
  <c r="B369" i="10"/>
  <c r="B370" i="10"/>
  <c r="B375" i="10"/>
  <c r="B376" i="10"/>
  <c r="B378" i="10"/>
  <c r="B381" i="10"/>
  <c r="B387" i="10"/>
  <c r="B389" i="10"/>
  <c r="B392" i="10"/>
  <c r="B395" i="10"/>
  <c r="B396" i="10"/>
  <c r="B397" i="10"/>
  <c r="B400" i="10"/>
  <c r="B401" i="10"/>
  <c r="B402" i="10"/>
  <c r="B403" i="10"/>
  <c r="B404" i="10"/>
  <c r="B405" i="10"/>
  <c r="B407" i="10"/>
  <c r="B412" i="10"/>
  <c r="B413" i="10"/>
  <c r="B418" i="10"/>
  <c r="B419" i="10"/>
  <c r="B421" i="10"/>
  <c r="B423" i="10"/>
  <c r="B424" i="10"/>
  <c r="B427" i="10"/>
  <c r="B428" i="10"/>
  <c r="B429" i="10"/>
  <c r="B430" i="10"/>
  <c r="B432" i="10"/>
  <c r="B433" i="10"/>
  <c r="B437" i="10"/>
  <c r="B439" i="10"/>
  <c r="B440" i="10"/>
  <c r="B443" i="10"/>
  <c r="B450" i="10"/>
  <c r="B451" i="10"/>
  <c r="B453" i="10"/>
  <c r="B456" i="10"/>
  <c r="B466" i="10"/>
  <c r="B468" i="10"/>
  <c r="B469" i="10"/>
  <c r="B472" i="10"/>
  <c r="B477" i="10"/>
  <c r="B487" i="10"/>
  <c r="B489" i="10"/>
  <c r="B490" i="10"/>
  <c r="B491" i="10"/>
  <c r="B492" i="10"/>
  <c r="B497" i="10"/>
  <c r="B498" i="10"/>
  <c r="B504" i="10"/>
  <c r="B507" i="10"/>
  <c r="B508" i="10"/>
  <c r="B509" i="10"/>
  <c r="B514" i="10"/>
  <c r="B515" i="10"/>
  <c r="B516" i="10"/>
  <c r="B517" i="10"/>
  <c r="B519" i="10"/>
  <c r="B520" i="10"/>
  <c r="B524" i="10"/>
  <c r="B525" i="10"/>
  <c r="B531" i="10"/>
  <c r="B532" i="10"/>
  <c r="B535" i="10"/>
  <c r="B537" i="10"/>
  <c r="B538" i="10"/>
  <c r="B540" i="10"/>
  <c r="B547" i="10"/>
  <c r="B548" i="10"/>
  <c r="B550" i="10"/>
  <c r="B554" i="10"/>
  <c r="B561" i="10"/>
  <c r="B562" i="10"/>
  <c r="B563" i="10"/>
  <c r="B564" i="10"/>
  <c r="B565" i="10"/>
  <c r="B566" i="10"/>
  <c r="B2" i="10"/>
  <c r="E2" i="10"/>
  <c r="B12" i="10"/>
  <c r="B488" i="10"/>
  <c r="B229" i="10"/>
  <c r="B539" i="10"/>
  <c r="B463" i="10"/>
  <c r="B202" i="10"/>
  <c r="B513" i="10"/>
  <c r="B465" i="10"/>
  <c r="B388" i="10"/>
  <c r="B436" i="10"/>
  <c r="B338" i="10"/>
  <c r="B557" i="10"/>
  <c r="B460" i="10"/>
  <c r="B408" i="10"/>
  <c r="B309" i="10"/>
  <c r="B167" i="10"/>
  <c r="B365" i="10"/>
  <c r="B559" i="10"/>
  <c r="B461" i="10"/>
  <c r="B284" i="10"/>
  <c r="B484" i="10"/>
  <c r="B386" i="10"/>
  <c r="B282" i="10"/>
  <c r="B91" i="10"/>
  <c r="B434" i="10"/>
  <c r="B533" i="10"/>
  <c r="B253" i="10"/>
  <c r="B290" i="10"/>
  <c r="B8" i="10"/>
  <c r="B364" i="10"/>
  <c r="B259" i="10"/>
  <c r="B536" i="10"/>
  <c r="B483" i="10"/>
  <c r="B360" i="10"/>
  <c r="B197" i="10"/>
  <c r="B555" i="10"/>
  <c r="B482" i="10"/>
  <c r="B380" i="10"/>
  <c r="B55" i="10"/>
  <c r="B278" i="10"/>
  <c r="B66" i="10"/>
  <c r="B312" i="10"/>
  <c r="B435" i="10"/>
  <c r="B363" i="10"/>
  <c r="B258" i="10"/>
  <c r="B228" i="10"/>
  <c r="B120" i="10"/>
  <c r="B61" i="10"/>
  <c r="B556" i="10"/>
  <c r="B459" i="10"/>
  <c r="B385" i="10"/>
  <c r="B333" i="10"/>
  <c r="B90" i="10"/>
  <c r="B29" i="10"/>
  <c r="B458" i="10"/>
  <c r="B279" i="10"/>
  <c r="B116" i="10"/>
  <c r="B480" i="10"/>
  <c r="B248" i="10"/>
  <c r="B164" i="10"/>
  <c r="B552" i="10"/>
  <c r="B501" i="10"/>
  <c r="B329" i="10"/>
  <c r="B277" i="10"/>
  <c r="B220" i="10"/>
  <c r="B193" i="10"/>
  <c r="B138" i="10"/>
  <c r="B113" i="10"/>
  <c r="B85" i="10"/>
  <c r="B53" i="10"/>
  <c r="B530" i="10"/>
  <c r="B500" i="10"/>
  <c r="B476" i="10"/>
  <c r="B452" i="10"/>
  <c r="B354" i="10"/>
  <c r="B276" i="10"/>
  <c r="B189" i="10"/>
  <c r="B162" i="10"/>
  <c r="B136" i="10"/>
  <c r="B285" i="10"/>
  <c r="B475" i="10"/>
  <c r="B188" i="10"/>
  <c r="B133" i="10"/>
  <c r="B82" i="10"/>
  <c r="B50" i="10"/>
  <c r="B316" i="10"/>
  <c r="B274" i="10"/>
  <c r="B186" i="10"/>
  <c r="B109" i="10"/>
  <c r="B20" i="10"/>
  <c r="B148" i="10"/>
  <c r="B549" i="10"/>
  <c r="B373" i="10"/>
  <c r="B300" i="10"/>
  <c r="B216" i="10"/>
  <c r="B49" i="10"/>
  <c r="B449" i="10"/>
  <c r="B347" i="10"/>
  <c r="B131" i="10"/>
  <c r="B108" i="10"/>
  <c r="B36" i="10"/>
  <c r="B417" i="10"/>
  <c r="B123" i="10"/>
  <c r="B499" i="10"/>
  <c r="B340" i="10"/>
  <c r="B546" i="10"/>
  <c r="B493" i="10"/>
  <c r="B445" i="10"/>
  <c r="B371" i="10"/>
  <c r="B323" i="10"/>
  <c r="B296" i="10"/>
  <c r="B213" i="10"/>
  <c r="B156" i="10"/>
  <c r="B104" i="10"/>
  <c r="B18" i="10"/>
  <c r="B545" i="10"/>
  <c r="B444" i="10"/>
  <c r="B293" i="10"/>
  <c r="B237" i="10"/>
  <c r="B17" i="10"/>
  <c r="B339" i="10"/>
  <c r="B529" i="10"/>
  <c r="B275" i="10"/>
  <c r="B348" i="10"/>
  <c r="B159" i="10"/>
  <c r="B471" i="10"/>
  <c r="B372" i="10"/>
  <c r="B298" i="10"/>
  <c r="B242" i="10"/>
  <c r="B184" i="10"/>
  <c r="B541" i="10"/>
  <c r="B467" i="10"/>
  <c r="B420" i="10"/>
  <c r="B342" i="10"/>
  <c r="B320" i="10"/>
  <c r="B292" i="10"/>
  <c r="B266" i="10"/>
  <c r="B210" i="10"/>
  <c r="B179" i="10"/>
  <c r="B69" i="10"/>
  <c r="B264" i="10"/>
  <c r="B152" i="10"/>
  <c r="B503" i="10"/>
  <c r="B359" i="10"/>
  <c r="B551" i="10"/>
  <c r="B455" i="10"/>
  <c r="B391" i="10"/>
  <c r="B343" i="10"/>
  <c r="B295" i="10"/>
  <c r="B263" i="10"/>
  <c r="B135" i="10"/>
  <c r="B7" i="10"/>
  <c r="B534" i="10"/>
  <c r="B518" i="10"/>
  <c r="B502" i="10"/>
  <c r="B486" i="10"/>
  <c r="B470" i="10"/>
  <c r="B454" i="10"/>
  <c r="B438" i="10"/>
  <c r="B422" i="10"/>
  <c r="B406" i="10"/>
  <c r="B390" i="10"/>
  <c r="B374" i="10"/>
  <c r="B358" i="10"/>
  <c r="B326" i="10"/>
  <c r="B310" i="10"/>
  <c r="B294" i="10"/>
  <c r="B246" i="10"/>
  <c r="B230" i="10"/>
  <c r="B214" i="10"/>
  <c r="B198" i="10"/>
  <c r="B182" i="10"/>
  <c r="B166" i="10"/>
  <c r="B150" i="10"/>
  <c r="B134" i="10"/>
  <c r="B118" i="10"/>
  <c r="B102" i="10"/>
  <c r="B86" i="10"/>
  <c r="B70" i="10"/>
  <c r="B54" i="10"/>
  <c r="B38" i="10"/>
  <c r="B22" i="10"/>
  <c r="B6" i="10"/>
  <c r="B485" i="10"/>
  <c r="B181" i="10"/>
  <c r="B117" i="10"/>
  <c r="B101" i="10"/>
  <c r="B227" i="10"/>
  <c r="B211" i="10"/>
  <c r="B195" i="10"/>
  <c r="B147" i="10"/>
  <c r="B115" i="10"/>
  <c r="B83" i="10"/>
  <c r="B51" i="10"/>
  <c r="B145" i="10"/>
  <c r="B481" i="10"/>
  <c r="B337" i="10"/>
  <c r="B289" i="10"/>
  <c r="B81" i="10"/>
  <c r="B560" i="10"/>
  <c r="B544" i="10"/>
  <c r="B528" i="10"/>
  <c r="B512" i="10"/>
  <c r="B496" i="10"/>
  <c r="B464" i="10"/>
  <c r="B448" i="10"/>
  <c r="B416" i="10"/>
  <c r="B384" i="10"/>
  <c r="B352" i="10"/>
  <c r="B336" i="10"/>
  <c r="B304" i="10"/>
  <c r="B288" i="10"/>
  <c r="B272" i="10"/>
  <c r="B256" i="10"/>
  <c r="B240" i="10"/>
  <c r="B224" i="10"/>
  <c r="B208" i="10"/>
  <c r="B192" i="10"/>
  <c r="B176" i="10"/>
  <c r="B144" i="10"/>
  <c r="B128" i="10"/>
  <c r="B96" i="10"/>
  <c r="B80" i="10"/>
  <c r="B64" i="10"/>
  <c r="B48" i="10"/>
  <c r="B16" i="10"/>
  <c r="B321" i="10"/>
  <c r="B225" i="10"/>
  <c r="B65" i="10"/>
  <c r="B511" i="10"/>
  <c r="B479" i="10"/>
  <c r="B415" i="10"/>
  <c r="B383" i="10"/>
  <c r="B335" i="10"/>
  <c r="B303" i="10"/>
  <c r="B271" i="10"/>
  <c r="B239" i="10"/>
  <c r="B191" i="10"/>
  <c r="B47" i="10"/>
  <c r="B98" i="10"/>
  <c r="B353" i="10"/>
  <c r="B209" i="10"/>
  <c r="B161" i="10"/>
  <c r="B543" i="10"/>
  <c r="B527" i="10"/>
  <c r="B495" i="10"/>
  <c r="B447" i="10"/>
  <c r="B431" i="10"/>
  <c r="B399" i="10"/>
  <c r="B351" i="10"/>
  <c r="B319" i="10"/>
  <c r="B287" i="10"/>
  <c r="B255" i="10"/>
  <c r="B207" i="10"/>
  <c r="B175" i="10"/>
  <c r="B95" i="10"/>
  <c r="B31" i="10"/>
  <c r="B558" i="10"/>
  <c r="B542" i="10"/>
  <c r="B526" i="10"/>
  <c r="B510" i="10"/>
  <c r="B494" i="10"/>
  <c r="B478" i="10"/>
  <c r="B462" i="10"/>
  <c r="B446" i="10"/>
  <c r="B414" i="10"/>
  <c r="B398" i="10"/>
  <c r="B382" i="10"/>
  <c r="B366" i="10"/>
  <c r="B350" i="10"/>
  <c r="B318" i="10"/>
  <c r="B302" i="10"/>
  <c r="B286" i="10"/>
  <c r="B270" i="10"/>
  <c r="B254" i="10"/>
  <c r="B238" i="10"/>
  <c r="B222" i="10"/>
  <c r="B206" i="10"/>
  <c r="B190" i="10"/>
  <c r="B174" i="10"/>
  <c r="B158" i="10"/>
  <c r="B142" i="10"/>
  <c r="B126" i="10"/>
  <c r="B94" i="10"/>
  <c r="B62" i="10"/>
  <c r="B46" i="10"/>
  <c r="B30" i="10"/>
  <c r="B14" i="10"/>
  <c r="B172" i="10"/>
  <c r="B252" i="10"/>
  <c r="B315" i="10"/>
  <c r="B267" i="10"/>
  <c r="B187" i="10"/>
  <c r="B171" i="10"/>
  <c r="B107" i="10"/>
  <c r="B75" i="10"/>
  <c r="B59" i="10"/>
  <c r="B43" i="10"/>
  <c r="B27" i="10"/>
  <c r="B11" i="10"/>
  <c r="B411" i="10"/>
  <c r="B379" i="10"/>
  <c r="B331" i="10"/>
  <c r="B283" i="10"/>
  <c r="B506" i="10"/>
  <c r="B426" i="10"/>
  <c r="B394" i="10"/>
  <c r="B362" i="10"/>
  <c r="B346" i="10"/>
  <c r="B250" i="10"/>
  <c r="B106" i="10"/>
  <c r="B523" i="10"/>
  <c r="B299" i="10"/>
  <c r="B251" i="10"/>
  <c r="B203" i="10"/>
  <c r="B522" i="10"/>
  <c r="B474" i="10"/>
  <c r="B442" i="10"/>
  <c r="B410" i="10"/>
  <c r="B234" i="10"/>
  <c r="B58" i="10"/>
  <c r="B42" i="10"/>
  <c r="B10" i="10"/>
  <c r="B553" i="10"/>
  <c r="B521" i="10"/>
  <c r="B505" i="10"/>
  <c r="B473" i="10"/>
  <c r="B457" i="10"/>
  <c r="B441" i="10"/>
  <c r="B425" i="10"/>
  <c r="B377" i="10"/>
  <c r="B361" i="10"/>
  <c r="B297" i="10"/>
  <c r="B281" i="10"/>
  <c r="B265" i="10"/>
  <c r="B233" i="10"/>
  <c r="B217" i="10"/>
  <c r="B201" i="10"/>
  <c r="B185" i="10"/>
  <c r="B169" i="10"/>
  <c r="B153" i="10"/>
  <c r="B137" i="10"/>
  <c r="B89" i="10"/>
  <c r="B57" i="10"/>
  <c r="B41" i="10"/>
  <c r="I7" i="10"/>
  <c r="H7" i="10"/>
  <c r="I6" i="10"/>
  <c r="H6" i="10"/>
  <c r="I5" i="10"/>
  <c r="H5" i="10"/>
  <c r="E5" i="10"/>
  <c r="I4" i="10"/>
  <c r="H4" i="10"/>
  <c r="I3" i="10"/>
  <c r="H3" i="10"/>
  <c r="I2" i="10"/>
  <c r="H2" i="10"/>
  <c r="B243" i="13" l="1"/>
  <c r="C497" i="13"/>
  <c r="B335" i="13"/>
  <c r="D351" i="13"/>
  <c r="D219" i="13"/>
  <c r="B219" i="13"/>
  <c r="D237" i="13"/>
  <c r="D154" i="13"/>
  <c r="B13" i="13"/>
  <c r="B76" i="13"/>
  <c r="D45" i="13"/>
  <c r="B237" i="13"/>
  <c r="B93" i="13"/>
  <c r="D29" i="13"/>
  <c r="B125" i="13"/>
  <c r="B45" i="13"/>
  <c r="C93" i="13"/>
  <c r="D301" i="13"/>
  <c r="B29" i="13"/>
  <c r="D205" i="13"/>
  <c r="C205" i="13"/>
  <c r="C394" i="13"/>
  <c r="D125" i="13"/>
  <c r="D13" i="13"/>
  <c r="D157" i="13"/>
  <c r="C346" i="13"/>
  <c r="D394" i="13"/>
  <c r="C284" i="13"/>
  <c r="C268" i="13"/>
  <c r="C188" i="13"/>
  <c r="B252" i="13"/>
  <c r="B300" i="13"/>
  <c r="D235" i="13"/>
  <c r="B362" i="13"/>
  <c r="C442" i="13"/>
  <c r="D204" i="13"/>
  <c r="D442" i="13"/>
  <c r="B330" i="13"/>
  <c r="D268" i="13"/>
  <c r="C300" i="13"/>
  <c r="C124" i="13"/>
  <c r="D124" i="13"/>
  <c r="C298" i="13"/>
  <c r="C204" i="13"/>
  <c r="C59" i="13"/>
  <c r="C42" i="13"/>
  <c r="C330" i="13"/>
  <c r="B284" i="13"/>
  <c r="B316" i="13"/>
  <c r="C92" i="13"/>
  <c r="D108" i="13"/>
  <c r="D42" i="13"/>
  <c r="D316" i="13"/>
  <c r="D76" i="13"/>
  <c r="B298" i="13"/>
  <c r="D188" i="13"/>
  <c r="C364" i="13"/>
  <c r="C108" i="13"/>
  <c r="D362" i="13"/>
  <c r="B346" i="13"/>
  <c r="B458" i="13"/>
  <c r="D59" i="13"/>
  <c r="C123" i="13"/>
  <c r="D203" i="13"/>
  <c r="C267" i="13"/>
  <c r="D267" i="13"/>
  <c r="C203" i="13"/>
  <c r="B347" i="13"/>
  <c r="C540" i="13"/>
  <c r="C171" i="13"/>
  <c r="B251" i="13"/>
  <c r="C235" i="13"/>
  <c r="D315" i="13"/>
  <c r="D171" i="13"/>
  <c r="B299" i="13"/>
  <c r="D187" i="13"/>
  <c r="D299" i="13"/>
  <c r="C313" i="13"/>
  <c r="D313" i="13"/>
  <c r="D25" i="13"/>
  <c r="C520" i="13"/>
  <c r="D377" i="13"/>
  <c r="C377" i="13"/>
  <c r="D505" i="13"/>
  <c r="B41" i="13"/>
  <c r="B505" i="13"/>
  <c r="B520" i="13"/>
  <c r="C226" i="13"/>
  <c r="C440" i="13"/>
  <c r="D424" i="13"/>
  <c r="C360" i="13"/>
  <c r="C40" i="13"/>
  <c r="D440" i="13"/>
  <c r="B536" i="13"/>
  <c r="C424" i="13"/>
  <c r="B40" i="13"/>
  <c r="D488" i="13"/>
  <c r="C488" i="13"/>
  <c r="B72" i="13"/>
  <c r="C152" i="13"/>
  <c r="C263" i="13"/>
  <c r="C55" i="13"/>
  <c r="B472" i="13"/>
  <c r="D360" i="13"/>
  <c r="B87" i="13"/>
  <c r="B55" i="13"/>
  <c r="B7" i="13"/>
  <c r="B471" i="13"/>
  <c r="C71" i="13"/>
  <c r="C215" i="13"/>
  <c r="C285" i="13"/>
  <c r="B215" i="13"/>
  <c r="C7" i="13"/>
  <c r="C173" i="13"/>
  <c r="D285" i="13"/>
  <c r="D173" i="13"/>
  <c r="D343" i="13"/>
  <c r="D388" i="13"/>
  <c r="D359" i="13"/>
  <c r="B71" i="13"/>
  <c r="B343" i="13"/>
  <c r="B116" i="13"/>
  <c r="C335" i="13"/>
  <c r="C109" i="13"/>
  <c r="D83" i="13"/>
  <c r="B497" i="13"/>
  <c r="C163" i="13"/>
  <c r="B564" i="13"/>
  <c r="B22" i="13"/>
  <c r="D38" i="13"/>
  <c r="C358" i="13"/>
  <c r="D22" i="13"/>
  <c r="D438" i="13"/>
  <c r="C54" i="13"/>
  <c r="B54" i="13"/>
  <c r="D132" i="13"/>
  <c r="C469" i="13"/>
  <c r="D117" i="13"/>
  <c r="D4" i="13"/>
  <c r="D347" i="13"/>
  <c r="C373" i="13"/>
  <c r="C187" i="13"/>
  <c r="C84" i="13"/>
  <c r="B315" i="13"/>
  <c r="C116" i="13"/>
  <c r="C148" i="13"/>
  <c r="B132" i="13"/>
  <c r="B469" i="13"/>
  <c r="D453" i="13"/>
  <c r="C4" i="13"/>
  <c r="C485" i="13"/>
  <c r="C100" i="13"/>
  <c r="B84" i="13"/>
  <c r="C251" i="13"/>
  <c r="D101" i="13"/>
  <c r="D485" i="13"/>
  <c r="B100" i="13"/>
  <c r="D536" i="13"/>
  <c r="C164" i="13"/>
  <c r="D149" i="13"/>
  <c r="D148" i="13"/>
  <c r="B52" i="13"/>
  <c r="B453" i="13"/>
  <c r="B164" i="13"/>
  <c r="C85" i="13"/>
  <c r="B101" i="13"/>
  <c r="D36" i="13"/>
  <c r="B133" i="13"/>
  <c r="C68" i="13"/>
  <c r="C133" i="13"/>
  <c r="D52" i="13"/>
  <c r="C117" i="13"/>
  <c r="B36" i="13"/>
  <c r="D68" i="13"/>
  <c r="C69" i="13"/>
  <c r="C848" i="13"/>
  <c r="B51" i="13"/>
  <c r="B67" i="13"/>
  <c r="C227" i="13"/>
  <c r="D99" i="13"/>
  <c r="B227" i="13"/>
  <c r="B115" i="13"/>
  <c r="C307" i="13"/>
  <c r="B507" i="13"/>
  <c r="B275" i="13"/>
  <c r="C67" i="13"/>
  <c r="C211" i="13"/>
  <c r="C195" i="13"/>
  <c r="B532" i="13"/>
  <c r="B179" i="13"/>
  <c r="D243" i="13"/>
  <c r="D532" i="13"/>
  <c r="C83" i="13"/>
  <c r="D163" i="13"/>
  <c r="D307" i="13"/>
  <c r="C562" i="13"/>
  <c r="B99" i="13"/>
  <c r="D115" i="13"/>
  <c r="D195" i="13"/>
  <c r="D179" i="13"/>
  <c r="B435" i="13"/>
  <c r="B1319" i="13"/>
  <c r="D687" i="13"/>
  <c r="B194" i="13"/>
  <c r="D378" i="13"/>
  <c r="C378" i="13"/>
  <c r="B378" i="13"/>
  <c r="D130" i="13"/>
  <c r="D861" i="13"/>
  <c r="C194" i="13"/>
  <c r="C369" i="13"/>
  <c r="B145" i="13"/>
  <c r="B290" i="13"/>
  <c r="B369" i="13"/>
  <c r="D98" i="13"/>
  <c r="D258" i="13"/>
  <c r="D17" i="13"/>
  <c r="C634" i="13"/>
  <c r="B274" i="13"/>
  <c r="C130" i="13"/>
  <c r="D146" i="13"/>
  <c r="B241" i="13"/>
  <c r="D274" i="13"/>
  <c r="C162" i="13"/>
  <c r="B146" i="13"/>
  <c r="D34" i="13"/>
  <c r="B288" i="13"/>
  <c r="B352" i="13"/>
  <c r="C193" i="13"/>
  <c r="B193" i="13"/>
  <c r="D650" i="13"/>
  <c r="C519" i="13"/>
  <c r="C1031" i="13"/>
  <c r="B161" i="13"/>
  <c r="C431" i="13"/>
  <c r="D257" i="13"/>
  <c r="C257" i="13"/>
  <c r="C1220" i="13"/>
  <c r="B97" i="13"/>
  <c r="B423" i="13"/>
  <c r="D177" i="13"/>
  <c r="D56" i="13"/>
  <c r="B549" i="13"/>
  <c r="B391" i="13"/>
  <c r="B33" i="13"/>
  <c r="B439" i="13"/>
  <c r="B177" i="13"/>
  <c r="D518" i="13"/>
  <c r="C423" i="13"/>
  <c r="C56" i="13"/>
  <c r="C472" i="13"/>
  <c r="C391" i="13"/>
  <c r="C33" i="13"/>
  <c r="D439" i="13"/>
  <c r="B518" i="13"/>
  <c r="C502" i="13"/>
  <c r="B264" i="13"/>
  <c r="B368" i="13"/>
  <c r="C17" i="13"/>
  <c r="D241" i="13"/>
  <c r="D288" i="13"/>
  <c r="D153" i="13"/>
  <c r="C297" i="13"/>
  <c r="D361" i="13"/>
  <c r="B519" i="13"/>
  <c r="C320" i="13"/>
  <c r="D397" i="13"/>
  <c r="C492" i="13"/>
  <c r="C161" i="13"/>
  <c r="D128" i="13"/>
  <c r="C97" i="13"/>
  <c r="B650" i="13"/>
  <c r="B320" i="13"/>
  <c r="B415" i="13"/>
  <c r="C438" i="13"/>
  <c r="C478" i="13"/>
  <c r="C41" i="13"/>
  <c r="C145" i="13"/>
  <c r="C397" i="13"/>
  <c r="B523" i="13"/>
  <c r="C144" i="13"/>
  <c r="B128" i="13"/>
  <c r="D352" i="13"/>
  <c r="B462" i="13"/>
  <c r="B224" i="13"/>
  <c r="C382" i="13"/>
  <c r="C430" i="13"/>
  <c r="C462" i="13"/>
  <c r="B64" i="13"/>
  <c r="D224" i="13"/>
  <c r="B1160" i="13"/>
  <c r="D382" i="13"/>
  <c r="C64" i="13"/>
  <c r="D174" i="13"/>
  <c r="D651" i="13"/>
  <c r="C160" i="13"/>
  <c r="C48" i="13"/>
  <c r="D16" i="13"/>
  <c r="C192" i="13"/>
  <c r="C16" i="13"/>
  <c r="D445" i="13"/>
  <c r="B160" i="13"/>
  <c r="C445" i="13"/>
  <c r="B430" i="13"/>
  <c r="C240" i="13"/>
  <c r="B240" i="13"/>
  <c r="C207" i="13"/>
  <c r="B287" i="13"/>
  <c r="B651" i="13"/>
  <c r="D192" i="13"/>
  <c r="D144" i="13"/>
  <c r="D577" i="13"/>
  <c r="B702" i="13"/>
  <c r="B478" i="13"/>
  <c r="D429" i="13"/>
  <c r="B429" i="13"/>
  <c r="B319" i="13"/>
  <c r="C319" i="13"/>
  <c r="D319" i="13"/>
  <c r="D79" i="13"/>
  <c r="C490" i="13"/>
  <c r="B31" i="13"/>
  <c r="C411" i="13"/>
  <c r="D14" i="13"/>
  <c r="C30" i="13"/>
  <c r="C380" i="13"/>
  <c r="B303" i="13"/>
  <c r="B271" i="13"/>
  <c r="D774" i="13"/>
  <c r="C564" i="13"/>
  <c r="D899" i="13"/>
  <c r="B1031" i="13"/>
  <c r="C756" i="13"/>
  <c r="B162" i="13"/>
  <c r="B14" i="13"/>
  <c r="D30" i="13"/>
  <c r="B380" i="13"/>
  <c r="C271" i="13"/>
  <c r="B502" i="13"/>
  <c r="C506" i="13"/>
  <c r="B79" i="13"/>
  <c r="C159" i="13"/>
  <c r="D159" i="13"/>
  <c r="C191" i="13"/>
  <c r="D726" i="13"/>
  <c r="D175" i="13"/>
  <c r="B350" i="13"/>
  <c r="D206" i="13"/>
  <c r="D63" i="13"/>
  <c r="B506" i="13"/>
  <c r="D961" i="13"/>
  <c r="B333" i="13"/>
  <c r="D290" i="13"/>
  <c r="D835" i="13"/>
  <c r="C287" i="13"/>
  <c r="B223" i="13"/>
  <c r="B490" i="13"/>
  <c r="D631" i="13"/>
  <c r="D350" i="13"/>
  <c r="D47" i="13"/>
  <c r="B175" i="13"/>
  <c r="C333" i="13"/>
  <c r="D791" i="13"/>
  <c r="C349" i="13"/>
  <c r="C415" i="13"/>
  <c r="C368" i="13"/>
  <c r="D334" i="13"/>
  <c r="B349" i="13"/>
  <c r="B98" i="13"/>
  <c r="B238" i="13"/>
  <c r="B1051" i="13"/>
  <c r="B258" i="13"/>
  <c r="C334" i="13"/>
  <c r="C597" i="13"/>
  <c r="D365" i="13"/>
  <c r="D239" i="13"/>
  <c r="B207" i="13"/>
  <c r="B239" i="13"/>
  <c r="D126" i="13"/>
  <c r="D411" i="13"/>
  <c r="C47" i="13"/>
  <c r="B899" i="13"/>
  <c r="D756" i="13"/>
  <c r="C158" i="13"/>
  <c r="C238" i="13"/>
  <c r="D255" i="13"/>
  <c r="C190" i="13"/>
  <c r="D534" i="13"/>
  <c r="B302" i="13"/>
  <c r="D114" i="13"/>
  <c r="B95" i="13"/>
  <c r="B255" i="13"/>
  <c r="C174" i="13"/>
  <c r="B365" i="13"/>
  <c r="B190" i="13"/>
  <c r="C631" i="13"/>
  <c r="C534" i="13"/>
  <c r="D364" i="13"/>
  <c r="C223" i="13"/>
  <c r="D31" i="13"/>
  <c r="C303" i="13"/>
  <c r="D191" i="13"/>
  <c r="C206" i="13"/>
  <c r="C302" i="13"/>
  <c r="C95" i="13"/>
  <c r="B491" i="13"/>
  <c r="D549" i="13"/>
  <c r="C1015" i="13"/>
  <c r="B226" i="13"/>
  <c r="B158" i="13"/>
  <c r="C523" i="13"/>
  <c r="B114" i="13"/>
  <c r="C507" i="13"/>
  <c r="C595" i="13"/>
  <c r="D595" i="13"/>
  <c r="B381" i="13"/>
  <c r="C381" i="13"/>
  <c r="D381" i="13"/>
  <c r="D106" i="13"/>
  <c r="B122" i="13"/>
  <c r="C516" i="13"/>
  <c r="C881" i="13"/>
  <c r="D578" i="13"/>
  <c r="D122" i="13"/>
  <c r="D970" i="13"/>
  <c r="B535" i="13"/>
  <c r="B620" i="13"/>
  <c r="B85" i="13"/>
  <c r="B516" i="13"/>
  <c r="C329" i="13"/>
  <c r="D535" i="13"/>
  <c r="D893" i="13"/>
  <c r="C1177" i="13"/>
  <c r="D563" i="13"/>
  <c r="B881" i="13"/>
  <c r="B53" i="13"/>
  <c r="C406" i="13"/>
  <c r="B106" i="13"/>
  <c r="B1082" i="13"/>
  <c r="D186" i="13"/>
  <c r="C637" i="13"/>
  <c r="B667" i="13"/>
  <c r="C250" i="13"/>
  <c r="B1147" i="13"/>
  <c r="D69" i="13"/>
  <c r="B563" i="13"/>
  <c r="D53" i="13"/>
  <c r="B406" i="13"/>
  <c r="B1193" i="13"/>
  <c r="D1078" i="13"/>
  <c r="D975" i="13"/>
  <c r="C548" i="13"/>
  <c r="B1066" i="13"/>
  <c r="C218" i="13"/>
  <c r="B266" i="13"/>
  <c r="D250" i="13"/>
  <c r="B1078" i="13"/>
  <c r="B454" i="13"/>
  <c r="D234" i="13"/>
  <c r="C1005" i="13"/>
  <c r="B218" i="13"/>
  <c r="D282" i="13"/>
  <c r="C234" i="13"/>
  <c r="D673" i="13"/>
  <c r="C970" i="13"/>
  <c r="C454" i="13"/>
  <c r="D846" i="13"/>
  <c r="C471" i="13"/>
  <c r="D548" i="13"/>
  <c r="C801" i="13"/>
  <c r="B282" i="13"/>
  <c r="C1020" i="13"/>
  <c r="D376" i="13"/>
  <c r="C578" i="13"/>
  <c r="D314" i="13"/>
  <c r="C702" i="13"/>
  <c r="D390" i="13"/>
  <c r="C687" i="13"/>
  <c r="B562" i="13"/>
  <c r="B639" i="13"/>
  <c r="C639" i="13"/>
  <c r="D639" i="13"/>
  <c r="C446" i="13"/>
  <c r="D446" i="13"/>
  <c r="B446" i="13"/>
  <c r="B94" i="13"/>
  <c r="C94" i="13"/>
  <c r="D94" i="13"/>
  <c r="D152" i="13"/>
  <c r="B561" i="13"/>
  <c r="D436" i="13"/>
  <c r="B1123" i="13"/>
  <c r="B312" i="13"/>
  <c r="D468" i="13"/>
  <c r="B652" i="13"/>
  <c r="C667" i="13"/>
  <c r="B200" i="13"/>
  <c r="B499" i="13"/>
  <c r="B281" i="13"/>
  <c r="C498" i="13"/>
  <c r="C618" i="13"/>
  <c r="D820" i="13"/>
  <c r="B621" i="13"/>
  <c r="B388" i="13"/>
  <c r="C531" i="13"/>
  <c r="B327" i="13"/>
  <c r="B791" i="13"/>
  <c r="C499" i="13"/>
  <c r="B592" i="13"/>
  <c r="D621" i="13"/>
  <c r="D514" i="13"/>
  <c r="D498" i="13"/>
  <c r="D48" i="13"/>
  <c r="B483" i="13"/>
  <c r="D216" i="13"/>
  <c r="D654" i="13"/>
  <c r="D327" i="13"/>
  <c r="C375" i="13"/>
  <c r="B794" i="13"/>
  <c r="C820" i="13"/>
  <c r="B681" i="13"/>
  <c r="D248" i="13"/>
  <c r="C606" i="13"/>
  <c r="D592" i="13"/>
  <c r="C583" i="13"/>
  <c r="D601" i="13"/>
  <c r="C605" i="13"/>
  <c r="D713" i="13"/>
  <c r="B1153" i="13"/>
  <c r="D779" i="13"/>
  <c r="D483" i="13"/>
  <c r="D745" i="13"/>
  <c r="C436" i="13"/>
  <c r="C216" i="13"/>
  <c r="B634" i="13"/>
  <c r="C281" i="13"/>
  <c r="C514" i="13"/>
  <c r="B451" i="13"/>
  <c r="B265" i="13"/>
  <c r="C200" i="13"/>
  <c r="B804" i="13"/>
  <c r="B803" i="13"/>
  <c r="B576" i="13"/>
  <c r="C803" i="13"/>
  <c r="C666" i="13"/>
  <c r="C577" i="13"/>
  <c r="B467" i="13"/>
  <c r="C713" i="13"/>
  <c r="C1153" i="13"/>
  <c r="C741" i="13"/>
  <c r="B297" i="13"/>
  <c r="C1123" i="13"/>
  <c r="B153" i="13"/>
  <c r="D531" i="13"/>
  <c r="D593" i="13"/>
  <c r="D561" i="13"/>
  <c r="C482" i="13"/>
  <c r="C312" i="13"/>
  <c r="D618" i="13"/>
  <c r="D482" i="13"/>
  <c r="D451" i="13"/>
  <c r="C265" i="13"/>
  <c r="D104" i="13"/>
  <c r="C601" i="13"/>
  <c r="D649" i="13"/>
  <c r="D264" i="13"/>
  <c r="C697" i="13"/>
  <c r="C467" i="13"/>
  <c r="C1066" i="13"/>
  <c r="D960" i="13"/>
  <c r="B636" i="13"/>
  <c r="B800" i="13"/>
  <c r="C359" i="13"/>
  <c r="D722" i="13"/>
  <c r="C745" i="13"/>
  <c r="D404" i="13"/>
  <c r="B468" i="13"/>
  <c r="D591" i="13"/>
  <c r="D809" i="13"/>
  <c r="C591" i="13"/>
  <c r="B741" i="13"/>
  <c r="D652" i="13"/>
  <c r="B716" i="13"/>
  <c r="C649" i="13"/>
  <c r="D804" i="13"/>
  <c r="B605" i="13"/>
  <c r="B836" i="13"/>
  <c r="C867" i="13"/>
  <c r="C960" i="13"/>
  <c r="D636" i="13"/>
  <c r="B722" i="13"/>
  <c r="B214" i="13"/>
  <c r="D214" i="13"/>
  <c r="C214" i="13"/>
  <c r="C137" i="13"/>
  <c r="D137" i="13"/>
  <c r="D168" i="13"/>
  <c r="B168" i="13"/>
  <c r="C168" i="13"/>
  <c r="D89" i="13"/>
  <c r="C89" i="13"/>
  <c r="B89" i="13"/>
  <c r="D43" i="13"/>
  <c r="B43" i="13"/>
  <c r="C43" i="13"/>
  <c r="C151" i="13"/>
  <c r="D151" i="13"/>
  <c r="B151" i="13"/>
  <c r="D88" i="13"/>
  <c r="C88" i="13"/>
  <c r="B88" i="13"/>
  <c r="B294" i="13"/>
  <c r="C294" i="13"/>
  <c r="B182" i="13"/>
  <c r="D182" i="13"/>
  <c r="C182" i="13"/>
  <c r="D526" i="13"/>
  <c r="B526" i="13"/>
  <c r="C293" i="13"/>
  <c r="B293" i="13"/>
  <c r="D293" i="13"/>
  <c r="D229" i="13"/>
  <c r="C229" i="13"/>
  <c r="B229" i="13"/>
  <c r="B571" i="13"/>
  <c r="D571" i="13"/>
  <c r="D213" i="13"/>
  <c r="C846" i="13"/>
  <c r="C706" i="13"/>
  <c r="B706" i="13"/>
  <c r="D706" i="13"/>
  <c r="C465" i="13"/>
  <c r="B465" i="13"/>
  <c r="D74" i="13"/>
  <c r="B74" i="13"/>
  <c r="C74" i="13"/>
  <c r="C104" i="13"/>
  <c r="B167" i="13"/>
  <c r="D167" i="13"/>
  <c r="C167" i="13"/>
  <c r="B135" i="13"/>
  <c r="D135" i="13"/>
  <c r="C135" i="13"/>
  <c r="D418" i="13"/>
  <c r="C418" i="13"/>
  <c r="B418" i="13"/>
  <c r="D372" i="13"/>
  <c r="B372" i="13"/>
  <c r="B278" i="13"/>
  <c r="C278" i="13"/>
  <c r="B230" i="13"/>
  <c r="C230" i="13"/>
  <c r="D230" i="13"/>
  <c r="B150" i="13"/>
  <c r="C150" i="13"/>
  <c r="D150" i="13"/>
  <c r="B510" i="13"/>
  <c r="C510" i="13"/>
  <c r="D510" i="13"/>
  <c r="C448" i="13"/>
  <c r="B448" i="13"/>
  <c r="B181" i="13"/>
  <c r="C181" i="13"/>
  <c r="D181" i="13"/>
  <c r="C587" i="13"/>
  <c r="B587" i="13"/>
  <c r="D541" i="13"/>
  <c r="C541" i="13"/>
  <c r="B137" i="13"/>
  <c r="B310" i="13"/>
  <c r="C891" i="13"/>
  <c r="B891" i="13"/>
  <c r="D891" i="13"/>
  <c r="B610" i="13"/>
  <c r="D610" i="13"/>
  <c r="C610" i="13"/>
  <c r="C73" i="13"/>
  <c r="B73" i="13"/>
  <c r="B27" i="13"/>
  <c r="D27" i="13"/>
  <c r="B604" i="13"/>
  <c r="D604" i="13"/>
  <c r="C386" i="13"/>
  <c r="D386" i="13"/>
  <c r="D357" i="13"/>
  <c r="B357" i="13"/>
  <c r="C357" i="13"/>
  <c r="C262" i="13"/>
  <c r="D262" i="13"/>
  <c r="B166" i="13"/>
  <c r="D166" i="13"/>
  <c r="C166" i="13"/>
  <c r="B371" i="13"/>
  <c r="C371" i="13"/>
  <c r="C197" i="13"/>
  <c r="B197" i="13"/>
  <c r="C877" i="13"/>
  <c r="B877" i="13"/>
  <c r="D449" i="13"/>
  <c r="C27" i="13"/>
  <c r="D1077" i="13"/>
  <c r="C1077" i="13"/>
  <c r="B1077" i="13"/>
  <c r="C1014" i="13"/>
  <c r="D1014" i="13"/>
  <c r="D984" i="13"/>
  <c r="B984" i="13"/>
  <c r="B58" i="13"/>
  <c r="D58" i="13"/>
  <c r="C58" i="13"/>
  <c r="D57" i="13"/>
  <c r="B57" i="13"/>
  <c r="C11" i="13"/>
  <c r="D11" i="13"/>
  <c r="B11" i="13"/>
  <c r="C198" i="13"/>
  <c r="D198" i="13"/>
  <c r="B198" i="13"/>
  <c r="C119" i="13"/>
  <c r="C542" i="13"/>
  <c r="D542" i="13"/>
  <c r="B542" i="13"/>
  <c r="B401" i="13"/>
  <c r="C401" i="13"/>
  <c r="D401" i="13"/>
  <c r="B356" i="13"/>
  <c r="C356" i="13"/>
  <c r="D356" i="13"/>
  <c r="D862" i="13"/>
  <c r="B862" i="13"/>
  <c r="C862" i="13"/>
  <c r="D555" i="13"/>
  <c r="C180" i="13"/>
  <c r="D794" i="13"/>
  <c r="B134" i="13"/>
  <c r="C625" i="13"/>
  <c r="D1139" i="13"/>
  <c r="D212" i="13"/>
  <c r="B355" i="13"/>
  <c r="D134" i="13"/>
  <c r="C718" i="13"/>
  <c r="B212" i="13"/>
  <c r="C228" i="13"/>
  <c r="D355" i="13"/>
  <c r="C1147" i="13"/>
  <c r="D416" i="13"/>
  <c r="D763" i="13"/>
  <c r="D580" i="13"/>
  <c r="D566" i="13"/>
  <c r="D1193" i="13"/>
  <c r="B524" i="13"/>
  <c r="C491" i="13"/>
  <c r="B127" i="13"/>
  <c r="D606" i="13"/>
  <c r="C149" i="13"/>
  <c r="D400" i="13"/>
  <c r="C1325" i="13"/>
  <c r="D717" i="13"/>
  <c r="C1103" i="13"/>
  <c r="D797" i="13"/>
  <c r="C1139" i="13"/>
  <c r="D718" i="13"/>
  <c r="C566" i="13"/>
  <c r="D748" i="13"/>
  <c r="D189" i="13"/>
  <c r="D584" i="13"/>
  <c r="C524" i="13"/>
  <c r="D323" i="13"/>
  <c r="C118" i="13"/>
  <c r="D87" i="13"/>
  <c r="B400" i="13"/>
  <c r="B323" i="13"/>
  <c r="C1218" i="13"/>
  <c r="B537" i="13"/>
  <c r="B797" i="13"/>
  <c r="D716" i="13"/>
  <c r="B570" i="13"/>
  <c r="B595" i="13"/>
  <c r="C748" i="13"/>
  <c r="D228" i="13"/>
  <c r="D568" i="13"/>
  <c r="C961" i="13"/>
  <c r="D253" i="13"/>
  <c r="C463" i="13"/>
  <c r="D221" i="13"/>
  <c r="B1107" i="13"/>
  <c r="D728" i="13"/>
  <c r="D1249" i="13"/>
  <c r="D127" i="13"/>
  <c r="C253" i="13"/>
  <c r="D26" i="13"/>
  <c r="B221" i="13"/>
  <c r="D180" i="13"/>
  <c r="C728" i="13"/>
  <c r="C441" i="13"/>
  <c r="C580" i="13"/>
  <c r="C1028" i="13"/>
  <c r="C584" i="13"/>
  <c r="D165" i="13"/>
  <c r="B118" i="13"/>
  <c r="C555" i="13"/>
  <c r="C997" i="13"/>
  <c r="C886" i="13"/>
  <c r="C570" i="13"/>
  <c r="D997" i="13"/>
  <c r="B749" i="13"/>
  <c r="D463" i="13"/>
  <c r="C26" i="13"/>
  <c r="C189" i="13"/>
  <c r="D425" i="13"/>
  <c r="B244" i="13"/>
  <c r="B775" i="13"/>
  <c r="D624" i="13"/>
  <c r="D441" i="13"/>
  <c r="B1310" i="13"/>
  <c r="B809" i="13"/>
  <c r="C165" i="13"/>
  <c r="C714" i="13"/>
  <c r="C715" i="13"/>
  <c r="D1032" i="13"/>
  <c r="B425" i="13"/>
  <c r="D244" i="13"/>
  <c r="D540" i="13"/>
  <c r="C775" i="13"/>
  <c r="B624" i="13"/>
  <c r="B637" i="13"/>
  <c r="B654" i="13"/>
  <c r="D72" i="13"/>
  <c r="C620" i="13"/>
  <c r="C1272" i="13"/>
  <c r="D1272" i="13"/>
  <c r="C965" i="13"/>
  <c r="D965" i="13"/>
  <c r="C844" i="13"/>
  <c r="D844" i="13"/>
  <c r="B828" i="13"/>
  <c r="D828" i="13"/>
  <c r="C828" i="13"/>
  <c r="C1042" i="13"/>
  <c r="B1042" i="13"/>
  <c r="C1011" i="13"/>
  <c r="D1011" i="13"/>
  <c r="B858" i="13"/>
  <c r="D858" i="13"/>
  <c r="C254" i="13"/>
  <c r="B254" i="13"/>
  <c r="D254" i="13"/>
  <c r="C517" i="13"/>
  <c r="B517" i="13"/>
  <c r="B19" i="13"/>
  <c r="C19" i="13"/>
  <c r="D19" i="13"/>
  <c r="C827" i="13"/>
  <c r="D783" i="13"/>
  <c r="C783" i="13"/>
  <c r="B783" i="13"/>
  <c r="B417" i="13"/>
  <c r="C417" i="13"/>
  <c r="D417" i="13"/>
  <c r="C966" i="13"/>
  <c r="D966" i="13"/>
  <c r="B890" i="13"/>
  <c r="C890" i="13"/>
  <c r="D890" i="13"/>
  <c r="D432" i="13"/>
  <c r="B432" i="13"/>
  <c r="C432" i="13"/>
  <c r="D949" i="13"/>
  <c r="C949" i="13"/>
  <c r="D719" i="13"/>
  <c r="C719" i="13"/>
  <c r="B719" i="13"/>
  <c r="C905" i="13"/>
  <c r="B905" i="13"/>
  <c r="B1136" i="13"/>
  <c r="D1136" i="13"/>
  <c r="C1136" i="13"/>
  <c r="D905" i="13"/>
  <c r="B678" i="13"/>
  <c r="D678" i="13"/>
  <c r="C678" i="13"/>
  <c r="D663" i="13"/>
  <c r="B663" i="13"/>
  <c r="C663" i="13"/>
  <c r="B647" i="13"/>
  <c r="C647" i="13"/>
  <c r="D647" i="13"/>
  <c r="C690" i="13"/>
  <c r="D690" i="13"/>
  <c r="B690" i="13"/>
  <c r="C920" i="13"/>
  <c r="B920" i="13"/>
  <c r="D920" i="13"/>
  <c r="D1043" i="13"/>
  <c r="B1043" i="13"/>
  <c r="C1043" i="13"/>
  <c r="C1182" i="13"/>
  <c r="D1182" i="13"/>
  <c r="B1182" i="13"/>
  <c r="B1150" i="13"/>
  <c r="C1150" i="13"/>
  <c r="D1150" i="13"/>
  <c r="B1289" i="13"/>
  <c r="D1289" i="13"/>
  <c r="C1289" i="13"/>
  <c r="C1241" i="13"/>
  <c r="D1241" i="13"/>
  <c r="B1241" i="13"/>
  <c r="B790" i="13"/>
  <c r="C790" i="13"/>
  <c r="D790" i="13"/>
  <c r="C18" i="13"/>
  <c r="B18" i="13"/>
  <c r="C818" i="13"/>
  <c r="D818" i="13"/>
  <c r="B818" i="13"/>
  <c r="B664" i="13"/>
  <c r="C664" i="13"/>
  <c r="D648" i="13"/>
  <c r="C648" i="13"/>
  <c r="B648" i="13"/>
  <c r="C633" i="13"/>
  <c r="D633" i="13"/>
  <c r="B633" i="13"/>
  <c r="D617" i="13"/>
  <c r="C617" i="13"/>
  <c r="B617" i="13"/>
  <c r="D603" i="13"/>
  <c r="B603" i="13"/>
  <c r="C603" i="13"/>
  <c r="C589" i="13"/>
  <c r="D589" i="13"/>
  <c r="B589" i="13"/>
  <c r="C574" i="13"/>
  <c r="D574" i="13"/>
  <c r="B574" i="13"/>
  <c r="D405" i="13"/>
  <c r="B405" i="13"/>
  <c r="C405" i="13"/>
  <c r="D664" i="13"/>
  <c r="D737" i="13"/>
  <c r="B737" i="13"/>
  <c r="C737" i="13"/>
  <c r="D662" i="13"/>
  <c r="B662" i="13"/>
  <c r="D403" i="13"/>
  <c r="B403" i="13"/>
  <c r="C403" i="13"/>
  <c r="B876" i="13"/>
  <c r="D876" i="13"/>
  <c r="D1103" i="13"/>
  <c r="B799" i="13"/>
  <c r="C799" i="13"/>
  <c r="D799" i="13"/>
  <c r="C752" i="13"/>
  <c r="B752" i="13"/>
  <c r="D752" i="13"/>
  <c r="D720" i="13"/>
  <c r="C720" i="13"/>
  <c r="C778" i="13"/>
  <c r="D556" i="13"/>
  <c r="B583" i="13"/>
  <c r="B969" i="13"/>
  <c r="D1030" i="13"/>
  <c r="D220" i="13"/>
  <c r="C730" i="13"/>
  <c r="B248" i="13"/>
  <c r="C556" i="13"/>
  <c r="C311" i="13"/>
  <c r="C733" i="13"/>
  <c r="C812" i="13"/>
  <c r="C372" i="13"/>
  <c r="B138" i="13"/>
  <c r="D1005" i="13"/>
  <c r="D294" i="13"/>
  <c r="D969" i="13"/>
  <c r="D661" i="13"/>
  <c r="D431" i="13"/>
  <c r="C220" i="13"/>
  <c r="B259" i="13"/>
  <c r="C746" i="13"/>
  <c r="C275" i="13"/>
  <c r="C836" i="13"/>
  <c r="D73" i="13"/>
  <c r="B386" i="13"/>
  <c r="B1014" i="13"/>
  <c r="D345" i="13"/>
  <c r="B688" i="13"/>
  <c r="C661" i="13"/>
  <c r="B746" i="13"/>
  <c r="D782" i="13"/>
  <c r="B373" i="13"/>
  <c r="B311" i="13"/>
  <c r="D901" i="13"/>
  <c r="D886" i="13"/>
  <c r="C138" i="13"/>
  <c r="D508" i="13"/>
  <c r="B568" i="13"/>
  <c r="B345" i="13"/>
  <c r="B416" i="13"/>
  <c r="C688" i="13"/>
  <c r="C434" i="13"/>
  <c r="C984" i="13"/>
  <c r="B1163" i="13"/>
  <c r="D123" i="13"/>
  <c r="C60" i="13"/>
  <c r="B782" i="13"/>
  <c r="D525" i="13"/>
  <c r="B764" i="13"/>
  <c r="D448" i="13"/>
  <c r="C57" i="13"/>
  <c r="C404" i="13"/>
  <c r="D812" i="13"/>
  <c r="C157" i="13"/>
  <c r="D278" i="13"/>
  <c r="B774" i="13"/>
  <c r="D434" i="13"/>
  <c r="B1220" i="13"/>
  <c r="B232" i="13"/>
  <c r="B625" i="13"/>
  <c r="B60" i="13"/>
  <c r="C686" i="13"/>
  <c r="B376" i="13"/>
  <c r="B525" i="13"/>
  <c r="C172" i="13"/>
  <c r="B263" i="13"/>
  <c r="D597" i="13"/>
  <c r="C34" i="13"/>
  <c r="D92" i="13"/>
  <c r="B154" i="13"/>
  <c r="D492" i="13"/>
  <c r="B715" i="13"/>
  <c r="B1297" i="13"/>
  <c r="B361" i="13"/>
  <c r="B541" i="13"/>
  <c r="D465" i="13"/>
  <c r="B586" i="13"/>
  <c r="C571" i="13"/>
  <c r="C1297" i="13"/>
  <c r="C63" i="13"/>
  <c r="C266" i="13"/>
  <c r="D1286" i="13"/>
  <c r="D1160" i="13"/>
  <c r="D709" i="13"/>
  <c r="D310" i="13"/>
  <c r="C1310" i="13"/>
  <c r="B709" i="13"/>
  <c r="D1266" i="13"/>
  <c r="D749" i="13"/>
  <c r="B686" i="13"/>
  <c r="B673" i="13"/>
  <c r="C61" i="13"/>
  <c r="C387" i="13"/>
  <c r="B262" i="13"/>
  <c r="C582" i="13"/>
  <c r="B778" i="13"/>
  <c r="B901" i="13"/>
  <c r="B449" i="13"/>
  <c r="C811" i="13"/>
  <c r="D172" i="13"/>
  <c r="C975" i="13"/>
  <c r="D730" i="13"/>
  <c r="D680" i="13"/>
  <c r="B887" i="13"/>
  <c r="B387" i="13"/>
  <c r="D582" i="13"/>
  <c r="D853" i="13"/>
  <c r="D811" i="13"/>
  <c r="B443" i="13"/>
  <c r="C1030" i="13"/>
  <c r="D197" i="13"/>
  <c r="C887" i="13"/>
  <c r="C853" i="13"/>
  <c r="B501" i="13"/>
  <c r="C501" i="13"/>
  <c r="D501" i="13"/>
  <c r="B707" i="13"/>
  <c r="C707" i="13"/>
  <c r="D707" i="13"/>
  <c r="D155" i="13"/>
  <c r="C155" i="13"/>
  <c r="B155" i="13"/>
  <c r="B292" i="13"/>
  <c r="D292" i="13"/>
  <c r="D1203" i="13"/>
  <c r="B1203" i="13"/>
  <c r="B672" i="13"/>
  <c r="D672" i="13"/>
  <c r="C672" i="13"/>
  <c r="B572" i="13"/>
  <c r="D572" i="13"/>
  <c r="B452" i="13"/>
  <c r="D452" i="13"/>
  <c r="B422" i="13"/>
  <c r="D422" i="13"/>
  <c r="C286" i="13"/>
  <c r="B286" i="13"/>
  <c r="D286" i="13"/>
  <c r="C270" i="13"/>
  <c r="D270" i="13"/>
  <c r="B614" i="13"/>
  <c r="D614" i="13"/>
  <c r="B599" i="13"/>
  <c r="C599" i="13"/>
  <c r="C700" i="13"/>
  <c r="B700" i="13"/>
  <c r="D657" i="13"/>
  <c r="C657" i="13"/>
  <c r="B657" i="13"/>
  <c r="C553" i="13"/>
  <c r="D553" i="13"/>
  <c r="B65" i="13"/>
  <c r="D65" i="13"/>
  <c r="C20" i="13"/>
  <c r="D20" i="13"/>
  <c r="D684" i="13"/>
  <c r="B684" i="13"/>
  <c r="C581" i="13"/>
  <c r="D581" i="13"/>
  <c r="B581" i="13"/>
  <c r="B233" i="13"/>
  <c r="C233" i="13"/>
  <c r="D140" i="13"/>
  <c r="B140" i="13"/>
  <c r="C973" i="13"/>
  <c r="B544" i="13"/>
  <c r="B659" i="13"/>
  <c r="C659" i="13"/>
  <c r="B480" i="13"/>
  <c r="C480" i="13"/>
  <c r="B558" i="13"/>
  <c r="C611" i="13"/>
  <c r="D611" i="13"/>
  <c r="C495" i="13"/>
  <c r="B495" i="13"/>
  <c r="B37" i="13"/>
  <c r="C452" i="13"/>
  <c r="C407" i="13"/>
  <c r="D822" i="13"/>
  <c r="D407" i="13"/>
  <c r="D66" i="13"/>
  <c r="B822" i="13"/>
  <c r="B835" i="13"/>
  <c r="D1277" i="13"/>
  <c r="B726" i="13"/>
  <c r="D934" i="13"/>
  <c r="C934" i="13"/>
  <c r="B875" i="13"/>
  <c r="C875" i="13"/>
  <c r="B770" i="13"/>
  <c r="C770" i="13"/>
  <c r="C724" i="13"/>
  <c r="B724" i="13"/>
  <c r="D139" i="13"/>
  <c r="B139" i="13"/>
  <c r="D32" i="13"/>
  <c r="B32" i="13"/>
  <c r="C66" i="13"/>
  <c r="D393" i="13"/>
  <c r="C725" i="13"/>
  <c r="C646" i="13"/>
  <c r="C1277" i="13"/>
  <c r="B827" i="13"/>
  <c r="C185" i="13"/>
  <c r="B557" i="13"/>
  <c r="B270" i="13"/>
  <c r="B928" i="13"/>
  <c r="B852" i="13"/>
  <c r="C816" i="13"/>
  <c r="D903" i="13"/>
  <c r="B903" i="13"/>
  <c r="C638" i="13"/>
  <c r="B638" i="13"/>
  <c r="C622" i="13"/>
  <c r="B622" i="13"/>
  <c r="C414" i="13"/>
  <c r="B414" i="13"/>
  <c r="C370" i="13"/>
  <c r="B370" i="13"/>
  <c r="C339" i="13"/>
  <c r="B339" i="13"/>
  <c r="D308" i="13"/>
  <c r="B308" i="13"/>
  <c r="D277" i="13"/>
  <c r="B277" i="13"/>
  <c r="C247" i="13"/>
  <c r="B247" i="13"/>
  <c r="D199" i="13"/>
  <c r="C199" i="13"/>
  <c r="B46" i="13"/>
  <c r="D46" i="13"/>
  <c r="D383" i="13"/>
  <c r="C383" i="13"/>
  <c r="B383" i="13"/>
  <c r="C260" i="13"/>
  <c r="D260" i="13"/>
  <c r="D75" i="13"/>
  <c r="B75" i="13"/>
  <c r="D768" i="13"/>
  <c r="B768" i="13"/>
  <c r="C473" i="13"/>
  <c r="D473" i="13"/>
  <c r="B427" i="13"/>
  <c r="D427" i="13"/>
  <c r="B398" i="13"/>
  <c r="C398" i="13"/>
  <c r="D291" i="13"/>
  <c r="B291" i="13"/>
  <c r="C105" i="13"/>
  <c r="D105" i="13"/>
  <c r="B105" i="13"/>
  <c r="D225" i="13"/>
  <c r="B225" i="13"/>
  <c r="C225" i="13"/>
  <c r="D10" i="13"/>
  <c r="B10" i="13"/>
  <c r="D1033" i="13"/>
  <c r="C1033" i="13"/>
  <c r="C544" i="13"/>
  <c r="D971" i="13"/>
  <c r="C819" i="13"/>
  <c r="D819" i="13"/>
  <c r="C628" i="13"/>
  <c r="B628" i="13"/>
  <c r="D51" i="13"/>
  <c r="C1200" i="13"/>
  <c r="C37" i="13"/>
  <c r="C731" i="13"/>
  <c r="D757" i="13"/>
  <c r="B757" i="13"/>
  <c r="D81" i="13"/>
  <c r="C557" i="13"/>
  <c r="C962" i="13"/>
  <c r="B962" i="13"/>
  <c r="D962" i="13"/>
  <c r="B354" i="13"/>
  <c r="C354" i="13"/>
  <c r="D437" i="13"/>
  <c r="C10" i="13"/>
  <c r="B437" i="13"/>
  <c r="B484" i="13"/>
  <c r="C428" i="13"/>
  <c r="D509" i="13"/>
  <c r="B973" i="13"/>
  <c r="B528" i="13"/>
  <c r="D800" i="13"/>
  <c r="B612" i="13"/>
  <c r="C301" i="13"/>
  <c r="D1051" i="13"/>
  <c r="D1191" i="13"/>
  <c r="B698" i="13"/>
  <c r="B246" i="13"/>
  <c r="C572" i="13"/>
  <c r="C762" i="13"/>
  <c r="C941" i="13"/>
  <c r="D699" i="13"/>
  <c r="D1084" i="13"/>
  <c r="B1084" i="13"/>
  <c r="B1021" i="13"/>
  <c r="C1021" i="13"/>
  <c r="D1021" i="13"/>
  <c r="D915" i="13"/>
  <c r="C915" i="13"/>
  <c r="C900" i="13"/>
  <c r="D900" i="13"/>
  <c r="D855" i="13"/>
  <c r="B855" i="13"/>
  <c r="C855" i="13"/>
  <c r="B767" i="13"/>
  <c r="C767" i="13"/>
  <c r="C619" i="13"/>
  <c r="B619" i="13"/>
  <c r="C136" i="13"/>
  <c r="B136" i="13"/>
  <c r="D136" i="13"/>
  <c r="C120" i="13"/>
  <c r="D120" i="13"/>
  <c r="B44" i="13"/>
  <c r="C44" i="13"/>
  <c r="D44" i="13"/>
  <c r="D1128" i="13"/>
  <c r="C1128" i="13"/>
  <c r="C573" i="13"/>
  <c r="B573" i="13"/>
  <c r="D1261" i="13"/>
  <c r="B1261" i="13"/>
  <c r="B500" i="13"/>
  <c r="D968" i="13"/>
  <c r="C968" i="13"/>
  <c r="C701" i="13"/>
  <c r="D701" i="13"/>
  <c r="C1261" i="13"/>
  <c r="B1272" i="13"/>
  <c r="C1346" i="13"/>
  <c r="B1346" i="13"/>
  <c r="C1287" i="13"/>
  <c r="B1287" i="13"/>
  <c r="C543" i="13"/>
  <c r="B543" i="13"/>
  <c r="B968" i="13"/>
  <c r="C928" i="13"/>
  <c r="C1347" i="13"/>
  <c r="D738" i="13"/>
  <c r="B738" i="13"/>
  <c r="D428" i="13"/>
  <c r="C528" i="13"/>
  <c r="C698" i="13"/>
  <c r="D770" i="13"/>
  <c r="C458" i="13"/>
  <c r="C126" i="13"/>
  <c r="B699" i="13"/>
  <c r="C276" i="13"/>
  <c r="C484" i="13"/>
  <c r="D1117" i="13"/>
  <c r="D495" i="13"/>
  <c r="D348" i="13"/>
  <c r="C509" i="13"/>
  <c r="B1117" i="13"/>
  <c r="D1199" i="13"/>
  <c r="D246" i="13"/>
  <c r="C614" i="13"/>
  <c r="D762" i="13"/>
  <c r="B801" i="13"/>
  <c r="D941" i="13"/>
  <c r="D1311" i="13"/>
  <c r="B1311" i="13"/>
  <c r="C1265" i="13"/>
  <c r="D1265" i="13"/>
  <c r="C1114" i="13"/>
  <c r="B1114" i="13"/>
  <c r="D885" i="13"/>
  <c r="C885" i="13"/>
  <c r="B885" i="13"/>
  <c r="B796" i="13"/>
  <c r="C796" i="13"/>
  <c r="C781" i="13"/>
  <c r="B781" i="13"/>
  <c r="B735" i="13"/>
  <c r="D735" i="13"/>
  <c r="C735" i="13"/>
  <c r="D486" i="13"/>
  <c r="B486" i="13"/>
  <c r="D588" i="13"/>
  <c r="B588" i="13"/>
  <c r="B1171" i="13"/>
  <c r="C1171" i="13"/>
  <c r="B792" i="13"/>
  <c r="C792" i="13"/>
  <c r="D587" i="13"/>
  <c r="C971" i="13"/>
  <c r="D1243" i="13"/>
  <c r="B1243" i="13"/>
  <c r="B643" i="13"/>
  <c r="D643" i="13"/>
  <c r="C643" i="13"/>
  <c r="D50" i="13"/>
  <c r="C50" i="13"/>
  <c r="C81" i="13"/>
  <c r="D558" i="13"/>
  <c r="D1200" i="13"/>
  <c r="C1111" i="13"/>
  <c r="D731" i="13"/>
  <c r="B725" i="13"/>
  <c r="B646" i="13"/>
  <c r="D659" i="13"/>
  <c r="D792" i="13"/>
  <c r="C668" i="13"/>
  <c r="D668" i="13"/>
  <c r="C338" i="13"/>
  <c r="D338" i="13"/>
  <c r="C348" i="13"/>
  <c r="B717" i="13"/>
  <c r="D552" i="13"/>
  <c r="B1128" i="13"/>
  <c r="C1199" i="13"/>
  <c r="B668" i="13"/>
  <c r="C422" i="13"/>
  <c r="B1324" i="13"/>
  <c r="D1324" i="13"/>
  <c r="B1278" i="13"/>
  <c r="C1278" i="13"/>
  <c r="B765" i="13"/>
  <c r="C765" i="13"/>
  <c r="B545" i="13"/>
  <c r="D545" i="13"/>
  <c r="C545" i="13"/>
  <c r="D1028" i="13"/>
  <c r="B848" i="13"/>
  <c r="B508" i="13"/>
  <c r="D421" i="13"/>
  <c r="D1210" i="13"/>
  <c r="D1222" i="13"/>
  <c r="B965" i="13"/>
  <c r="C421" i="13"/>
  <c r="C1210" i="13"/>
  <c r="C1222" i="13"/>
  <c r="D1298" i="13"/>
  <c r="C755" i="13"/>
  <c r="D755" i="13"/>
  <c r="B755" i="13"/>
  <c r="D1262" i="13"/>
  <c r="C1262" i="13"/>
  <c r="D1156" i="13"/>
  <c r="C1156" i="13"/>
  <c r="B1156" i="13"/>
  <c r="C210" i="13"/>
  <c r="B210" i="13"/>
  <c r="D210" i="13"/>
  <c r="D1288" i="13"/>
  <c r="B1288" i="13"/>
  <c r="C1288" i="13"/>
  <c r="C985" i="13"/>
  <c r="D985" i="13"/>
  <c r="B985" i="13"/>
  <c r="D850" i="13"/>
  <c r="B850" i="13"/>
  <c r="C850" i="13"/>
  <c r="B864" i="13"/>
  <c r="C864" i="13"/>
  <c r="B923" i="13"/>
  <c r="C923" i="13"/>
  <c r="B1302" i="13"/>
  <c r="D1302" i="13"/>
  <c r="C1104" i="13"/>
  <c r="B1104" i="13"/>
  <c r="D1104" i="13"/>
  <c r="B547" i="13"/>
  <c r="D547" i="13"/>
  <c r="C547" i="13"/>
  <c r="C845" i="13"/>
  <c r="D845" i="13"/>
  <c r="B845" i="13"/>
  <c r="B743" i="13"/>
  <c r="C743" i="13"/>
  <c r="D743" i="13"/>
  <c r="C952" i="13"/>
  <c r="B952" i="13"/>
  <c r="D952" i="13"/>
  <c r="B879" i="13"/>
  <c r="C879" i="13"/>
  <c r="C656" i="13"/>
  <c r="B656" i="13"/>
  <c r="C626" i="13"/>
  <c r="B626" i="13"/>
  <c r="C321" i="13"/>
  <c r="D321" i="13"/>
  <c r="B169" i="13"/>
  <c r="D169" i="13"/>
  <c r="B111" i="13"/>
  <c r="D111" i="13"/>
  <c r="B821" i="13"/>
  <c r="C821" i="13"/>
  <c r="D695" i="13"/>
  <c r="C695" i="13"/>
  <c r="B304" i="13"/>
  <c r="D304" i="13"/>
  <c r="B141" i="13"/>
  <c r="C1167" i="13"/>
  <c r="D367" i="13"/>
  <c r="B367" i="13"/>
  <c r="B82" i="13"/>
  <c r="D656" i="13"/>
  <c r="D796" i="13"/>
  <c r="C213" i="13"/>
  <c r="C1324" i="13"/>
  <c r="B640" i="13"/>
  <c r="C1240" i="13"/>
  <c r="D1127" i="13"/>
  <c r="B1127" i="13"/>
  <c r="C1038" i="13"/>
  <c r="B1038" i="13"/>
  <c r="C992" i="13"/>
  <c r="D992" i="13"/>
  <c r="B793" i="13"/>
  <c r="C793" i="13"/>
  <c r="C395" i="13"/>
  <c r="D395" i="13"/>
  <c r="C78" i="13"/>
  <c r="B78" i="13"/>
  <c r="D640" i="13"/>
  <c r="B907" i="13"/>
  <c r="D907" i="13"/>
  <c r="D739" i="13"/>
  <c r="C82" i="13"/>
  <c r="B723" i="13"/>
  <c r="B1265" i="13"/>
  <c r="C1309" i="13"/>
  <c r="D1309" i="13"/>
  <c r="D1253" i="13"/>
  <c r="C1225" i="13"/>
  <c r="C777" i="13"/>
  <c r="B777" i="13"/>
  <c r="B196" i="13"/>
  <c r="C196" i="13"/>
  <c r="C77" i="13"/>
  <c r="D77" i="13"/>
  <c r="C1058" i="13"/>
  <c r="C919" i="13"/>
  <c r="D919" i="13"/>
  <c r="D806" i="13"/>
  <c r="B806" i="13"/>
  <c r="B594" i="13"/>
  <c r="C594" i="13"/>
  <c r="C598" i="13"/>
  <c r="B156" i="13"/>
  <c r="B1073" i="13"/>
  <c r="B1347" i="13"/>
  <c r="D1307" i="13"/>
  <c r="C1307" i="13"/>
  <c r="C1292" i="13"/>
  <c r="D1167" i="13"/>
  <c r="D1124" i="13"/>
  <c r="C1124" i="13"/>
  <c r="B1124" i="13"/>
  <c r="B1004" i="13"/>
  <c r="D1004" i="13"/>
  <c r="D392" i="13"/>
  <c r="C392" i="13"/>
  <c r="D90" i="13"/>
  <c r="B90" i="13"/>
  <c r="B420" i="13"/>
  <c r="C420" i="13"/>
  <c r="D916" i="13"/>
  <c r="B916" i="13"/>
  <c r="B872" i="13"/>
  <c r="C872" i="13"/>
  <c r="C222" i="13"/>
  <c r="D222" i="13"/>
  <c r="D924" i="13"/>
  <c r="C924" i="13"/>
  <c r="B186" i="13"/>
  <c r="D322" i="13"/>
  <c r="B1071" i="13"/>
  <c r="C1071" i="13"/>
  <c r="C322" i="13"/>
  <c r="D156" i="13"/>
  <c r="B1212" i="13"/>
  <c r="C1212" i="13"/>
  <c r="B750" i="13"/>
  <c r="B859" i="13"/>
  <c r="C859" i="13"/>
  <c r="B1065" i="13"/>
  <c r="B1225" i="13"/>
  <c r="C1065" i="13"/>
  <c r="C1221" i="13"/>
  <c r="D1221" i="13"/>
  <c r="D1209" i="13"/>
  <c r="C1209" i="13"/>
  <c r="C958" i="13"/>
  <c r="B958" i="13"/>
  <c r="D943" i="13"/>
  <c r="B943" i="13"/>
  <c r="D830" i="13"/>
  <c r="C830" i="13"/>
  <c r="D729" i="13"/>
  <c r="B729" i="13"/>
  <c r="B328" i="13"/>
  <c r="C328" i="13"/>
  <c r="D236" i="13"/>
  <c r="B236" i="13"/>
  <c r="B710" i="13"/>
  <c r="C710" i="13"/>
  <c r="C642" i="13"/>
  <c r="B642" i="13"/>
  <c r="B611" i="13"/>
  <c r="C184" i="13"/>
  <c r="D184" i="13"/>
  <c r="D1141" i="13"/>
  <c r="B1141" i="13"/>
  <c r="B598" i="13"/>
  <c r="C1223" i="13"/>
  <c r="B1223" i="13"/>
  <c r="D457" i="13"/>
  <c r="D1293" i="13"/>
  <c r="C1095" i="13"/>
  <c r="B457" i="13"/>
  <c r="B1293" i="13"/>
  <c r="C1319" i="13"/>
  <c r="C936" i="13"/>
  <c r="B880" i="13"/>
  <c r="B184" i="13"/>
  <c r="B38" i="13"/>
  <c r="C950" i="13"/>
  <c r="C779" i="13"/>
  <c r="C682" i="13"/>
  <c r="B936" i="13"/>
  <c r="D1023" i="13"/>
  <c r="D305" i="13"/>
  <c r="D859" i="13"/>
  <c r="C1253" i="13"/>
  <c r="C1331" i="13"/>
  <c r="B1331" i="13"/>
  <c r="C1178" i="13"/>
  <c r="D1178" i="13"/>
  <c r="D972" i="13"/>
  <c r="B972" i="13"/>
  <c r="B870" i="13"/>
  <c r="C870" i="13"/>
  <c r="C829" i="13"/>
  <c r="B829" i="13"/>
  <c r="D675" i="13"/>
  <c r="C675" i="13"/>
  <c r="C616" i="13"/>
  <c r="D616" i="13"/>
  <c r="B533" i="13"/>
  <c r="D533" i="13"/>
  <c r="C476" i="13"/>
  <c r="B476" i="13"/>
  <c r="D447" i="13"/>
  <c r="C447" i="13"/>
  <c r="B296" i="13"/>
  <c r="C296" i="13"/>
  <c r="C1228" i="13"/>
  <c r="B1228" i="13"/>
  <c r="D141" i="13"/>
  <c r="B110" i="13"/>
  <c r="D1348" i="13"/>
  <c r="C1348" i="13"/>
  <c r="D880" i="13"/>
  <c r="D917" i="13"/>
  <c r="B917" i="13"/>
  <c r="D1278" i="13"/>
  <c r="D879" i="13"/>
  <c r="C1073" i="13"/>
  <c r="D950" i="13"/>
  <c r="D1116" i="13"/>
  <c r="B1257" i="13"/>
  <c r="D185" i="13"/>
  <c r="D696" i="13"/>
  <c r="D751" i="13"/>
  <c r="B1023" i="13"/>
  <c r="C907" i="13"/>
  <c r="B305" i="13"/>
  <c r="B944" i="13"/>
  <c r="C999" i="13"/>
  <c r="B999" i="13"/>
  <c r="B815" i="13"/>
  <c r="C815" i="13"/>
  <c r="D786" i="13"/>
  <c r="B786" i="13"/>
  <c r="D727" i="13"/>
  <c r="C727" i="13"/>
  <c r="C280" i="13"/>
  <c r="D280" i="13"/>
  <c r="B280" i="13"/>
  <c r="B249" i="13"/>
  <c r="D249" i="13"/>
  <c r="D170" i="13"/>
  <c r="C503" i="13"/>
  <c r="D503" i="13"/>
  <c r="C474" i="13"/>
  <c r="D474" i="13"/>
  <c r="B627" i="13"/>
  <c r="C627" i="13"/>
  <c r="B276" i="13"/>
  <c r="B1058" i="13"/>
  <c r="D902" i="13"/>
  <c r="B902" i="13"/>
  <c r="B1041" i="13"/>
  <c r="C1359" i="13"/>
  <c r="D1359" i="13"/>
  <c r="C1305" i="13"/>
  <c r="D1305" i="13"/>
  <c r="C1250" i="13"/>
  <c r="D1250" i="13"/>
  <c r="D366" i="13"/>
  <c r="D813" i="13"/>
  <c r="B813" i="13"/>
  <c r="C740" i="13"/>
  <c r="D740" i="13"/>
  <c r="C560" i="13"/>
  <c r="B560" i="13"/>
  <c r="C309" i="13"/>
  <c r="B309" i="13"/>
  <c r="C202" i="13"/>
  <c r="B202" i="13"/>
  <c r="B1187" i="13"/>
  <c r="D1187" i="13"/>
  <c r="B170" i="13"/>
  <c r="B878" i="13"/>
  <c r="D878" i="13"/>
  <c r="D336" i="13"/>
  <c r="B336" i="13"/>
  <c r="B49" i="13"/>
  <c r="C49" i="13"/>
  <c r="D49" i="13"/>
  <c r="B1116" i="13"/>
  <c r="C1257" i="13"/>
  <c r="D626" i="13"/>
  <c r="B1050" i="13"/>
  <c r="B696" i="13"/>
  <c r="C894" i="13"/>
  <c r="C751" i="13"/>
  <c r="C1296" i="13"/>
  <c r="B708" i="13"/>
  <c r="C944" i="13"/>
  <c r="B893" i="13"/>
  <c r="B1215" i="13"/>
  <c r="D1007" i="13"/>
  <c r="C1191" i="13"/>
  <c r="C1009" i="13"/>
  <c r="C1050" i="13"/>
  <c r="B641" i="13"/>
  <c r="D894" i="13"/>
  <c r="B1099" i="13"/>
  <c r="B1033" i="13"/>
  <c r="D834" i="13"/>
  <c r="C435" i="13"/>
  <c r="D708" i="13"/>
  <c r="D1114" i="13"/>
  <c r="B1044" i="13"/>
  <c r="C1044" i="13"/>
  <c r="B366" i="13"/>
  <c r="D1095" i="13"/>
  <c r="C90" i="13"/>
  <c r="D78" i="13"/>
  <c r="C393" i="13"/>
  <c r="C858" i="13"/>
  <c r="B1211" i="13"/>
  <c r="B211" i="13"/>
  <c r="C1163" i="13"/>
  <c r="D750" i="13"/>
  <c r="D1287" i="13"/>
  <c r="B1250" i="13"/>
  <c r="B1062" i="13"/>
  <c r="C641" i="13"/>
  <c r="C1203" i="13"/>
  <c r="B834" i="13"/>
  <c r="B966" i="13"/>
  <c r="C1089" i="13"/>
  <c r="D1089" i="13"/>
  <c r="C1074" i="13"/>
  <c r="B1074" i="13"/>
  <c r="D866" i="13"/>
  <c r="B866" i="13"/>
  <c r="D753" i="13"/>
  <c r="C753" i="13"/>
  <c r="C739" i="13"/>
  <c r="D666" i="13"/>
  <c r="B1286" i="13"/>
  <c r="B653" i="13"/>
  <c r="B671" i="13"/>
  <c r="C671" i="13"/>
  <c r="D671" i="13"/>
  <c r="B91" i="13"/>
  <c r="C91" i="13"/>
  <c r="D91" i="13"/>
  <c r="C1342" i="13"/>
  <c r="B1342" i="13"/>
  <c r="D103" i="13"/>
  <c r="C103" i="13"/>
  <c r="B103" i="13"/>
  <c r="B433" i="13"/>
  <c r="C433" i="13"/>
  <c r="D433" i="13"/>
  <c r="B209" i="13"/>
  <c r="D209" i="13"/>
  <c r="C209" i="13"/>
  <c r="C1019" i="13"/>
  <c r="D1019" i="13"/>
  <c r="B1019" i="13"/>
  <c r="D691" i="13"/>
  <c r="B691" i="13"/>
  <c r="C691" i="13"/>
  <c r="B1260" i="13"/>
  <c r="D1260" i="13"/>
  <c r="B1093" i="13"/>
  <c r="D1093" i="13"/>
  <c r="C1093" i="13"/>
  <c r="C1270" i="13"/>
  <c r="B1270" i="13"/>
  <c r="D945" i="13"/>
  <c r="B945" i="13"/>
  <c r="C945" i="13"/>
  <c r="D1230" i="13"/>
  <c r="C1230" i="13"/>
  <c r="B1230" i="13"/>
  <c r="C1016" i="13"/>
  <c r="B1016" i="13"/>
  <c r="D1016" i="13"/>
  <c r="D178" i="13"/>
  <c r="B178" i="13"/>
  <c r="C178" i="13"/>
  <c r="C1306" i="13"/>
  <c r="D1306" i="13"/>
  <c r="C306" i="13"/>
  <c r="B306" i="13"/>
  <c r="D306" i="13"/>
  <c r="D1279" i="13"/>
  <c r="B1279" i="13"/>
  <c r="C1279" i="13"/>
  <c r="C1130" i="13"/>
  <c r="B1130" i="13"/>
  <c r="D1130" i="13"/>
  <c r="D1059" i="13"/>
  <c r="B1059" i="13"/>
  <c r="C1059" i="13"/>
  <c r="C1318" i="13"/>
  <c r="B1318" i="13"/>
  <c r="D1239" i="13"/>
  <c r="C1239" i="13"/>
  <c r="B1239" i="13"/>
  <c r="B1129" i="13"/>
  <c r="D1129" i="13"/>
  <c r="C1129" i="13"/>
  <c r="D283" i="13"/>
  <c r="B283" i="13"/>
  <c r="C283" i="13"/>
  <c r="B1090" i="13"/>
  <c r="C1090" i="13"/>
  <c r="D1090" i="13"/>
  <c r="B1305" i="13"/>
  <c r="C1105" i="13"/>
  <c r="D385" i="13"/>
  <c r="B385" i="13"/>
  <c r="C385" i="13"/>
  <c r="C245" i="13"/>
  <c r="B245" i="13"/>
  <c r="C1010" i="13"/>
  <c r="B1010" i="13"/>
  <c r="D895" i="13"/>
  <c r="C895" i="13"/>
  <c r="B658" i="13"/>
  <c r="D658" i="13"/>
  <c r="D21" i="13"/>
  <c r="B21" i="13"/>
  <c r="D232" i="13"/>
  <c r="B9" i="13"/>
  <c r="D1105" i="13"/>
  <c r="C8" i="13"/>
  <c r="B939" i="13"/>
  <c r="D567" i="13"/>
  <c r="D9" i="13"/>
  <c r="D511" i="13"/>
  <c r="C1328" i="13"/>
  <c r="C1102" i="13"/>
  <c r="B1102" i="13"/>
  <c r="D1054" i="13"/>
  <c r="C1054" i="13"/>
  <c r="B967" i="13"/>
  <c r="C967" i="13"/>
  <c r="D939" i="13"/>
  <c r="C23" i="13"/>
  <c r="D773" i="13"/>
  <c r="C1242" i="13"/>
  <c r="D1242" i="13"/>
  <c r="D1142" i="13"/>
  <c r="C1142" i="13"/>
  <c r="D1115" i="13"/>
  <c r="B1115" i="13"/>
  <c r="D1063" i="13"/>
  <c r="B1063" i="13"/>
  <c r="B991" i="13"/>
  <c r="D991" i="13"/>
  <c r="D613" i="13"/>
  <c r="C613" i="13"/>
  <c r="B256" i="13"/>
  <c r="D256" i="13"/>
  <c r="D23" i="13"/>
  <c r="B1348" i="13"/>
  <c r="C1229" i="13"/>
  <c r="B1229" i="13"/>
  <c r="B935" i="13"/>
  <c r="D935" i="13"/>
  <c r="C935" i="13"/>
  <c r="D1317" i="13"/>
  <c r="C1317" i="13"/>
  <c r="C995" i="13"/>
  <c r="B995" i="13"/>
  <c r="D1010" i="13"/>
  <c r="D1325" i="13"/>
  <c r="B1118" i="13"/>
  <c r="C113" i="13"/>
  <c r="B802" i="13"/>
  <c r="D1146" i="13"/>
  <c r="B1264" i="13"/>
  <c r="C1264" i="13"/>
  <c r="D1192" i="13"/>
  <c r="C1192" i="13"/>
  <c r="D353" i="13"/>
  <c r="B353" i="13"/>
  <c r="B552" i="13"/>
  <c r="B8" i="13"/>
  <c r="C912" i="13"/>
  <c r="D802" i="13"/>
  <c r="D112" i="13"/>
  <c r="B113" i="13"/>
  <c r="C1146" i="13"/>
  <c r="B1177" i="13"/>
  <c r="D461" i="13"/>
  <c r="C461" i="13"/>
  <c r="B567" i="13"/>
  <c r="B888" i="13"/>
  <c r="C888" i="13"/>
  <c r="D795" i="13"/>
  <c r="C795" i="13"/>
  <c r="D860" i="13"/>
  <c r="B860" i="13"/>
  <c r="B344" i="13"/>
  <c r="D344" i="13"/>
  <c r="C1312" i="13"/>
  <c r="C1080" i="13"/>
  <c r="D923" i="13"/>
  <c r="B837" i="13"/>
  <c r="D537" i="13"/>
  <c r="C1127" i="13"/>
  <c r="B318" i="13"/>
  <c r="D622" i="13"/>
  <c r="B934" i="13"/>
  <c r="D551" i="13"/>
  <c r="D1190" i="13"/>
  <c r="B321" i="13"/>
  <c r="C1298" i="13"/>
  <c r="D455" i="13"/>
  <c r="D981" i="13"/>
  <c r="B109" i="13"/>
  <c r="B1194" i="13"/>
  <c r="C680" i="13"/>
  <c r="D1080" i="13"/>
  <c r="D681" i="13"/>
  <c r="D759" i="13"/>
  <c r="D252" i="13"/>
  <c r="D689" i="13"/>
  <c r="C689" i="13"/>
  <c r="D261" i="13"/>
  <c r="C261" i="13"/>
  <c r="B112" i="13"/>
  <c r="B1269" i="13"/>
  <c r="D1312" i="13"/>
  <c r="B455" i="13"/>
  <c r="C759" i="13"/>
  <c r="B1285" i="13"/>
  <c r="C1285" i="13"/>
  <c r="C837" i="13"/>
  <c r="D697" i="13"/>
  <c r="B479" i="13"/>
  <c r="C1041" i="13"/>
  <c r="C318" i="13"/>
  <c r="B551" i="13"/>
  <c r="C991" i="13"/>
  <c r="D612" i="13"/>
  <c r="C723" i="13"/>
  <c r="C1190" i="13"/>
  <c r="C1326" i="13"/>
  <c r="C183" i="13"/>
  <c r="C981" i="13"/>
  <c r="D1099" i="13"/>
  <c r="C856" i="13"/>
  <c r="B375" i="13"/>
  <c r="D682" i="13"/>
  <c r="D1107" i="13"/>
  <c r="C712" i="13"/>
  <c r="B712" i="13"/>
  <c r="D712" i="13"/>
  <c r="C481" i="13"/>
  <c r="D481" i="13"/>
  <c r="B912" i="13"/>
  <c r="C1274" i="13"/>
  <c r="D1274" i="13"/>
  <c r="D1269" i="13"/>
  <c r="B1274" i="13"/>
  <c r="B773" i="13"/>
  <c r="D867" i="13"/>
  <c r="D354" i="13"/>
  <c r="D479" i="13"/>
  <c r="D660" i="13"/>
  <c r="D1181" i="13"/>
  <c r="D61" i="13"/>
  <c r="C902" i="13"/>
  <c r="D856" i="13"/>
  <c r="B329" i="13"/>
  <c r="B1054" i="13"/>
  <c r="D877" i="13"/>
  <c r="C332" i="13"/>
  <c r="D332" i="13"/>
  <c r="B593" i="13"/>
  <c r="C660" i="13"/>
  <c r="D967" i="13"/>
  <c r="B1106" i="13"/>
  <c r="C1106" i="13"/>
  <c r="D829" i="13"/>
  <c r="C1266" i="13"/>
  <c r="C1133" i="13"/>
  <c r="D1133" i="13"/>
  <c r="B1133" i="13"/>
  <c r="D979" i="13"/>
  <c r="C979" i="13"/>
  <c r="B979" i="13"/>
  <c r="D921" i="13"/>
  <c r="B921" i="13"/>
  <c r="C921" i="13"/>
  <c r="C1314" i="13"/>
  <c r="B1314" i="13"/>
  <c r="D1314" i="13"/>
  <c r="D1079" i="13"/>
  <c r="B1079" i="13"/>
  <c r="C1079" i="13"/>
  <c r="D1207" i="13"/>
  <c r="B1207" i="13"/>
  <c r="C1207" i="13"/>
  <c r="D873" i="13"/>
  <c r="C873" i="13"/>
  <c r="B873" i="13"/>
  <c r="C1271" i="13"/>
  <c r="D1271" i="13"/>
  <c r="B1271" i="13"/>
  <c r="D1236" i="13"/>
  <c r="C1236" i="13"/>
  <c r="B1236" i="13"/>
  <c r="D840" i="13"/>
  <c r="C840" i="13"/>
  <c r="D1164" i="13"/>
  <c r="C1164" i="13"/>
  <c r="B1164" i="13"/>
  <c r="B1113" i="13"/>
  <c r="D1113" i="13"/>
  <c r="C1113" i="13"/>
  <c r="C1322" i="13"/>
  <c r="B1322" i="13"/>
  <c r="D1322" i="13"/>
  <c r="C1334" i="13"/>
  <c r="D1334" i="13"/>
  <c r="B1334" i="13"/>
  <c r="B948" i="13"/>
  <c r="C948" i="13"/>
  <c r="D948" i="13"/>
  <c r="C1247" i="13"/>
  <c r="D1247" i="13"/>
  <c r="B1247" i="13"/>
  <c r="C1353" i="13"/>
  <c r="B1353" i="13"/>
  <c r="B1208" i="13"/>
  <c r="D1208" i="13"/>
  <c r="C1208" i="13"/>
  <c r="B1197" i="13"/>
  <c r="D1197" i="13"/>
  <c r="C1135" i="13"/>
  <c r="D1135" i="13"/>
  <c r="B1135" i="13"/>
  <c r="D409" i="13"/>
  <c r="D1025" i="13"/>
  <c r="C1085" i="13"/>
  <c r="C1237" i="13"/>
  <c r="D1342" i="13"/>
  <c r="D1331" i="13"/>
  <c r="C757" i="13"/>
  <c r="B949" i="13"/>
  <c r="C456" i="13"/>
  <c r="C1351" i="13"/>
  <c r="B1332" i="13"/>
  <c r="C1332" i="13"/>
  <c r="D1332" i="13"/>
  <c r="C1268" i="13"/>
  <c r="D1268" i="13"/>
  <c r="B1268" i="13"/>
  <c r="C1169" i="13"/>
  <c r="D1169" i="13"/>
  <c r="C1012" i="13"/>
  <c r="D1012" i="13"/>
  <c r="B843" i="13"/>
  <c r="D843" i="13"/>
  <c r="C670" i="13"/>
  <c r="D670" i="13"/>
  <c r="B565" i="13"/>
  <c r="D565" i="13"/>
  <c r="C565" i="13"/>
  <c r="B1049" i="13"/>
  <c r="C807" i="13"/>
  <c r="B807" i="13"/>
  <c r="D807" i="13"/>
  <c r="C732" i="13"/>
  <c r="B732" i="13"/>
  <c r="B655" i="13"/>
  <c r="D655" i="13"/>
  <c r="D644" i="13"/>
  <c r="B644" i="13"/>
  <c r="D632" i="13"/>
  <c r="B632" i="13"/>
  <c r="C632" i="13"/>
  <c r="C608" i="13"/>
  <c r="D608" i="13"/>
  <c r="C337" i="13"/>
  <c r="D337" i="13"/>
  <c r="B926" i="13"/>
  <c r="D475" i="13"/>
  <c r="C475" i="13"/>
  <c r="B600" i="13"/>
  <c r="C884" i="13"/>
  <c r="B884" i="13"/>
  <c r="B1249" i="13"/>
  <c r="D456" i="13"/>
  <c r="C409" i="13"/>
  <c r="D600" i="13"/>
  <c r="C527" i="13"/>
  <c r="D527" i="13"/>
  <c r="B1076" i="13"/>
  <c r="B854" i="13"/>
  <c r="C854" i="13"/>
  <c r="D854" i="13"/>
  <c r="C242" i="13"/>
  <c r="B242" i="13"/>
  <c r="D769" i="13"/>
  <c r="B1131" i="13"/>
  <c r="C1131" i="13"/>
  <c r="D909" i="13"/>
  <c r="C909" i="13"/>
  <c r="B1256" i="13"/>
  <c r="C734" i="13"/>
  <c r="D1201" i="13"/>
  <c r="C1201" i="13"/>
  <c r="B805" i="13"/>
  <c r="D805" i="13"/>
  <c r="C630" i="13"/>
  <c r="B630" i="13"/>
  <c r="C784" i="13"/>
  <c r="D1166" i="13"/>
  <c r="C927" i="13"/>
  <c r="D575" i="13"/>
  <c r="D384" i="13"/>
  <c r="B1306" i="13"/>
  <c r="B1176" i="13"/>
  <c r="D1176" i="13"/>
  <c r="C1176" i="13"/>
  <c r="B1008" i="13"/>
  <c r="C1008" i="13"/>
  <c r="C957" i="13"/>
  <c r="B957" i="13"/>
  <c r="B947" i="13"/>
  <c r="C947" i="13"/>
  <c r="D780" i="13"/>
  <c r="B780" i="13"/>
  <c r="D766" i="13"/>
  <c r="C766" i="13"/>
  <c r="C665" i="13"/>
  <c r="D665" i="13"/>
  <c r="D62" i="13"/>
  <c r="B62" i="13"/>
  <c r="D504" i="13"/>
  <c r="D1131" i="13"/>
  <c r="B720" i="13"/>
  <c r="C1048" i="13"/>
  <c r="C575" i="13"/>
  <c r="B784" i="13"/>
  <c r="B1166" i="13"/>
  <c r="D927" i="13"/>
  <c r="C486" i="13"/>
  <c r="C679" i="13"/>
  <c r="C586" i="13"/>
  <c r="D732" i="13"/>
  <c r="C384" i="13"/>
  <c r="B964" i="13"/>
  <c r="D1184" i="13"/>
  <c r="D1296" i="13"/>
  <c r="D1254" i="13"/>
  <c r="C1254" i="13"/>
  <c r="D1175" i="13"/>
  <c r="B1175" i="13"/>
  <c r="B994" i="13"/>
  <c r="D994" i="13"/>
  <c r="B889" i="13"/>
  <c r="C889" i="13"/>
  <c r="D1227" i="13"/>
  <c r="B1227" i="13"/>
  <c r="D931" i="13"/>
  <c r="D201" i="13"/>
  <c r="C201" i="13"/>
  <c r="D131" i="13"/>
  <c r="B131" i="13"/>
  <c r="B107" i="13"/>
  <c r="C107" i="13"/>
  <c r="B1216" i="13"/>
  <c r="C1216" i="13"/>
  <c r="C788" i="13"/>
  <c r="B788" i="13"/>
  <c r="C1352" i="13"/>
  <c r="B1352" i="13"/>
  <c r="D810" i="13"/>
  <c r="B810" i="13"/>
  <c r="D363" i="13"/>
  <c r="B363" i="13"/>
  <c r="D231" i="13"/>
  <c r="C231" i="13"/>
  <c r="C1025" i="13"/>
  <c r="D1076" i="13"/>
  <c r="B1120" i="13"/>
  <c r="C1120" i="13"/>
  <c r="B1159" i="13"/>
  <c r="C1333" i="13"/>
  <c r="D1157" i="13"/>
  <c r="D1188" i="13"/>
  <c r="C1188" i="13"/>
  <c r="D754" i="13"/>
  <c r="C754" i="13"/>
  <c r="D596" i="13"/>
  <c r="B596" i="13"/>
  <c r="C504" i="13"/>
  <c r="D1048" i="13"/>
  <c r="D1024" i="13"/>
  <c r="D883" i="13"/>
  <c r="B608" i="13"/>
  <c r="C1356" i="13"/>
  <c r="B1356" i="13"/>
  <c r="D1356" i="13"/>
  <c r="C1231" i="13"/>
  <c r="B1231" i="13"/>
  <c r="D1231" i="13"/>
  <c r="D1174" i="13"/>
  <c r="B1174" i="13"/>
  <c r="C1174" i="13"/>
  <c r="B1069" i="13"/>
  <c r="D1069" i="13"/>
  <c r="C1017" i="13"/>
  <c r="B1017" i="13"/>
  <c r="B1006" i="13"/>
  <c r="C1006" i="13"/>
  <c r="D1006" i="13"/>
  <c r="C993" i="13"/>
  <c r="D993" i="13"/>
  <c r="C956" i="13"/>
  <c r="B956" i="13"/>
  <c r="C413" i="13"/>
  <c r="D413" i="13"/>
  <c r="C579" i="13"/>
  <c r="C515" i="13"/>
  <c r="B1168" i="13"/>
  <c r="B721" i="13"/>
  <c r="B1032" i="13"/>
  <c r="C1024" i="13"/>
  <c r="B665" i="13"/>
  <c r="D937" i="13"/>
  <c r="C883" i="13"/>
  <c r="B679" i="13"/>
  <c r="D864" i="13"/>
  <c r="B931" i="13"/>
  <c r="B201" i="13"/>
  <c r="B670" i="13"/>
  <c r="C843" i="13"/>
  <c r="B585" i="13"/>
  <c r="B1303" i="13"/>
  <c r="C1303" i="13"/>
  <c r="D1186" i="13"/>
  <c r="C1186" i="13"/>
  <c r="D674" i="13"/>
  <c r="C674" i="13"/>
  <c r="D1158" i="13"/>
  <c r="B1158" i="13"/>
  <c r="C1158" i="13"/>
  <c r="D1237" i="13"/>
  <c r="C1180" i="13"/>
  <c r="B1180" i="13"/>
  <c r="D1180" i="13"/>
  <c r="D1145" i="13"/>
  <c r="B1145" i="13"/>
  <c r="C1022" i="13"/>
  <c r="D1022" i="13"/>
  <c r="B918" i="13"/>
  <c r="C918" i="13"/>
  <c r="C769" i="13"/>
  <c r="C111" i="13"/>
  <c r="D918" i="13"/>
  <c r="D1360" i="13"/>
  <c r="C1360" i="13"/>
  <c r="C1350" i="13"/>
  <c r="D1350" i="13"/>
  <c r="B1308" i="13"/>
  <c r="D1308" i="13"/>
  <c r="C1246" i="13"/>
  <c r="D1246" i="13"/>
  <c r="C1132" i="13"/>
  <c r="D1132" i="13"/>
  <c r="C1049" i="13"/>
  <c r="B1157" i="13"/>
  <c r="B1351" i="13"/>
  <c r="B734" i="13"/>
  <c r="D929" i="13"/>
  <c r="B1275" i="13"/>
  <c r="C1275" i="13"/>
  <c r="D1060" i="13"/>
  <c r="B1060" i="13"/>
  <c r="B1205" i="13"/>
  <c r="D1333" i="13"/>
  <c r="C929" i="13"/>
  <c r="D1276" i="13"/>
  <c r="C1165" i="13"/>
  <c r="D1165" i="13"/>
  <c r="D742" i="13"/>
  <c r="B742" i="13"/>
  <c r="C805" i="13"/>
  <c r="D242" i="13"/>
  <c r="D515" i="13"/>
  <c r="B1350" i="13"/>
  <c r="C964" i="13"/>
  <c r="B1360" i="13"/>
  <c r="C1276" i="13"/>
  <c r="B143" i="13"/>
  <c r="D143" i="13"/>
  <c r="D926" i="13"/>
  <c r="B579" i="13"/>
  <c r="B527" i="13"/>
  <c r="C1215" i="13"/>
  <c r="D764" i="13"/>
  <c r="B176" i="13"/>
  <c r="C1349" i="13"/>
  <c r="C1086" i="13"/>
  <c r="D959" i="13"/>
  <c r="D1086" i="13"/>
  <c r="C798" i="13"/>
  <c r="B1085" i="13"/>
  <c r="C363" i="13"/>
  <c r="D852" i="13"/>
  <c r="D884" i="13"/>
  <c r="D585" i="13"/>
  <c r="D1015" i="13"/>
  <c r="C1302" i="13"/>
  <c r="B1219" i="13"/>
  <c r="C1219" i="13"/>
  <c r="C1173" i="13"/>
  <c r="B1173" i="13"/>
  <c r="C1068" i="13"/>
  <c r="D1068" i="13"/>
  <c r="B874" i="13"/>
  <c r="D874" i="13"/>
  <c r="D847" i="13"/>
  <c r="B847" i="13"/>
  <c r="C847" i="13"/>
  <c r="D825" i="13"/>
  <c r="B825" i="13"/>
  <c r="B776" i="13"/>
  <c r="C776" i="13"/>
  <c r="C470" i="13"/>
  <c r="B470" i="13"/>
  <c r="C273" i="13"/>
  <c r="B273" i="13"/>
  <c r="D1290" i="13"/>
  <c r="B1290" i="13"/>
  <c r="B1183" i="13"/>
  <c r="D1183" i="13"/>
  <c r="B758" i="13"/>
  <c r="C758" i="13"/>
  <c r="D758" i="13"/>
  <c r="B736" i="13"/>
  <c r="C736" i="13"/>
  <c r="B374" i="13"/>
  <c r="D374" i="13"/>
  <c r="C1072" i="13"/>
  <c r="D1072" i="13"/>
  <c r="D930" i="13"/>
  <c r="C959" i="13"/>
  <c r="B798" i="13"/>
  <c r="C1108" i="13"/>
  <c r="B1094" i="13"/>
  <c r="D1345" i="13"/>
  <c r="B1345" i="13"/>
  <c r="C1335" i="13"/>
  <c r="B1335" i="13"/>
  <c r="C1323" i="13"/>
  <c r="D1323" i="13"/>
  <c r="D898" i="13"/>
  <c r="C898" i="13"/>
  <c r="B693" i="13"/>
  <c r="D693" i="13"/>
  <c r="C693" i="13"/>
  <c r="B602" i="13"/>
  <c r="C602" i="13"/>
  <c r="B529" i="13"/>
  <c r="C1159" i="13"/>
  <c r="C930" i="13"/>
  <c r="D554" i="13"/>
  <c r="C554" i="13"/>
  <c r="D1013" i="13"/>
  <c r="B1013" i="13"/>
  <c r="D910" i="13"/>
  <c r="B910" i="13"/>
  <c r="C910" i="13"/>
  <c r="D590" i="13"/>
  <c r="C590" i="13"/>
  <c r="B1343" i="13"/>
  <c r="D1343" i="13"/>
  <c r="D1248" i="13"/>
  <c r="C1248" i="13"/>
  <c r="B609" i="13"/>
  <c r="C609" i="13"/>
  <c r="C464" i="13"/>
  <c r="D464" i="13"/>
  <c r="C1061" i="13"/>
  <c r="B1061" i="13"/>
  <c r="C868" i="13"/>
  <c r="C374" i="13"/>
  <c r="C1060" i="13"/>
  <c r="C176" i="13"/>
  <c r="B231" i="13"/>
  <c r="D1349" i="13"/>
  <c r="B1108" i="13"/>
  <c r="D1071" i="13"/>
  <c r="B908" i="13"/>
  <c r="D529" i="13"/>
  <c r="D1118" i="13"/>
  <c r="C511" i="13"/>
  <c r="D645" i="13"/>
  <c r="C1134" i="13"/>
  <c r="C1094" i="13"/>
  <c r="D1020" i="13"/>
  <c r="C1291" i="13"/>
  <c r="B1291" i="13"/>
  <c r="D1125" i="13"/>
  <c r="B1125" i="13"/>
  <c r="D1088" i="13"/>
  <c r="C1088" i="13"/>
  <c r="B1027" i="13"/>
  <c r="C1027" i="13"/>
  <c r="C1003" i="13"/>
  <c r="B1003" i="13"/>
  <c r="D954" i="13"/>
  <c r="B954" i="13"/>
  <c r="B897" i="13"/>
  <c r="C897" i="13"/>
  <c r="B704" i="13"/>
  <c r="D704" i="13"/>
  <c r="D1038" i="13"/>
  <c r="D788" i="13"/>
  <c r="C500" i="13"/>
  <c r="C1238" i="13"/>
  <c r="D868" i="13"/>
  <c r="B1072" i="13"/>
  <c r="C443" i="13"/>
  <c r="B819" i="13"/>
  <c r="B993" i="13"/>
  <c r="C954" i="13"/>
  <c r="B50" i="13"/>
  <c r="C645" i="13"/>
  <c r="D1134" i="13"/>
  <c r="C1344" i="13"/>
  <c r="D1344" i="13"/>
  <c r="C1301" i="13"/>
  <c r="B1301" i="13"/>
  <c r="D1196" i="13"/>
  <c r="B1196" i="13"/>
  <c r="C1196" i="13"/>
  <c r="B1149" i="13"/>
  <c r="D1149" i="13"/>
  <c r="B1098" i="13"/>
  <c r="D1098" i="13"/>
  <c r="C833" i="13"/>
  <c r="D833" i="13"/>
  <c r="D493" i="13"/>
  <c r="B493" i="13"/>
  <c r="C341" i="13"/>
  <c r="D341" i="13"/>
  <c r="C80" i="13"/>
  <c r="D80" i="13"/>
  <c r="B823" i="13"/>
  <c r="C823" i="13"/>
  <c r="C865" i="13"/>
  <c r="D865" i="13"/>
  <c r="C489" i="13"/>
  <c r="D489" i="13"/>
  <c r="C444" i="13"/>
  <c r="B444" i="13"/>
  <c r="D1000" i="13"/>
  <c r="C1000" i="13"/>
  <c r="B906" i="13"/>
  <c r="D906" i="13"/>
  <c r="D1270" i="13"/>
  <c r="B1192" i="13"/>
  <c r="D1161" i="13"/>
  <c r="D888" i="13"/>
  <c r="D1074" i="13"/>
  <c r="B1218" i="13"/>
  <c r="C1084" i="13"/>
  <c r="B1162" i="13"/>
  <c r="D1162" i="13"/>
  <c r="C861" i="13"/>
  <c r="D1194" i="13"/>
  <c r="B1011" i="13"/>
  <c r="D953" i="13"/>
  <c r="B953" i="13"/>
  <c r="C933" i="13"/>
  <c r="D933" i="13"/>
  <c r="B915" i="13"/>
  <c r="B1262" i="13"/>
  <c r="D1053" i="13"/>
  <c r="B1053" i="13"/>
  <c r="B1052" i="13"/>
  <c r="D1052" i="13"/>
  <c r="B857" i="13"/>
  <c r="D857" i="13"/>
  <c r="C763" i="13"/>
  <c r="C1062" i="13"/>
  <c r="D838" i="13"/>
  <c r="B1299" i="13"/>
  <c r="B838" i="13"/>
  <c r="B1309" i="13"/>
  <c r="D1240" i="13"/>
  <c r="D1111" i="13"/>
  <c r="C292" i="13"/>
  <c r="B1179" i="13"/>
  <c r="C1179" i="13"/>
  <c r="D1179" i="13"/>
  <c r="B978" i="13"/>
  <c r="D978" i="13"/>
  <c r="C978" i="13"/>
  <c r="D129" i="13"/>
  <c r="B129" i="13"/>
  <c r="C129" i="13"/>
  <c r="B1055" i="13"/>
  <c r="D1055" i="13"/>
  <c r="C1055" i="13"/>
  <c r="C1112" i="13"/>
  <c r="D1112" i="13"/>
  <c r="B1112" i="13"/>
  <c r="B1252" i="13"/>
  <c r="C1252" i="13"/>
  <c r="D1252" i="13"/>
  <c r="C1029" i="13"/>
  <c r="B1029" i="13"/>
  <c r="D1029" i="13"/>
  <c r="B989" i="13"/>
  <c r="D989" i="13"/>
  <c r="B882" i="13"/>
  <c r="C882" i="13"/>
  <c r="D882" i="13"/>
  <c r="C871" i="13"/>
  <c r="B871" i="13"/>
  <c r="D871" i="13"/>
  <c r="D142" i="13"/>
  <c r="B142" i="13"/>
  <c r="C142" i="13"/>
  <c r="D1092" i="13"/>
  <c r="C1092" i="13"/>
  <c r="B1092" i="13"/>
  <c r="C1075" i="13"/>
  <c r="B1075" i="13"/>
  <c r="B1046" i="13"/>
  <c r="C1046" i="13"/>
  <c r="D1027" i="13"/>
  <c r="C986" i="13"/>
  <c r="D986" i="13"/>
  <c r="B986" i="13"/>
  <c r="B208" i="13"/>
  <c r="C208" i="13"/>
  <c r="B1122" i="13"/>
  <c r="C1122" i="13"/>
  <c r="D1101" i="13"/>
  <c r="C1101" i="13"/>
  <c r="B1101" i="13"/>
  <c r="D1064" i="13"/>
  <c r="B1064" i="13"/>
  <c r="C1064" i="13"/>
  <c r="C522" i="13"/>
  <c r="D522" i="13"/>
  <c r="B522" i="13"/>
  <c r="D512" i="13"/>
  <c r="B512" i="13"/>
  <c r="C512" i="13"/>
  <c r="D412" i="13"/>
  <c r="C412" i="13"/>
  <c r="B412" i="13"/>
  <c r="C402" i="13"/>
  <c r="B402" i="13"/>
  <c r="D402" i="13"/>
  <c r="D324" i="13"/>
  <c r="C324" i="13"/>
  <c r="B324" i="13"/>
  <c r="C342" i="13"/>
  <c r="D342" i="13"/>
  <c r="B342" i="13"/>
  <c r="D914" i="13"/>
  <c r="C914" i="13"/>
  <c r="B914" i="13"/>
  <c r="D1304" i="13"/>
  <c r="C1304" i="13"/>
  <c r="B1304" i="13"/>
  <c r="C990" i="13"/>
  <c r="D990" i="13"/>
  <c r="B990" i="13"/>
  <c r="B832" i="13"/>
  <c r="D832" i="13"/>
  <c r="C832" i="13"/>
  <c r="C1267" i="13"/>
  <c r="B1267" i="13"/>
  <c r="D1267" i="13"/>
  <c r="C998" i="13"/>
  <c r="D998" i="13"/>
  <c r="B998" i="13"/>
  <c r="C15" i="13"/>
  <c r="B15" i="13"/>
  <c r="D15" i="13"/>
  <c r="D1056" i="13"/>
  <c r="B1358" i="13"/>
  <c r="C1358" i="13"/>
  <c r="D121" i="13"/>
  <c r="B1329" i="13"/>
  <c r="D1329" i="13"/>
  <c r="D1075" i="13"/>
  <c r="D842" i="13"/>
  <c r="D1338" i="13"/>
  <c r="C1338" i="13"/>
  <c r="B1338" i="13"/>
  <c r="D669" i="13"/>
  <c r="B669" i="13"/>
  <c r="C669" i="13"/>
  <c r="D539" i="13"/>
  <c r="C539" i="13"/>
  <c r="B459" i="13"/>
  <c r="C459" i="13"/>
  <c r="D459" i="13"/>
  <c r="B410" i="13"/>
  <c r="D410" i="13"/>
  <c r="C410" i="13"/>
  <c r="C450" i="13"/>
  <c r="D1284" i="13"/>
  <c r="B121" i="13"/>
  <c r="D1046" i="13"/>
  <c r="D1143" i="13"/>
  <c r="D1283" i="13"/>
  <c r="D1337" i="13"/>
  <c r="C1337" i="13"/>
  <c r="B1337" i="13"/>
  <c r="C1170" i="13"/>
  <c r="B1170" i="13"/>
  <c r="C983" i="13"/>
  <c r="B983" i="13"/>
  <c r="D983" i="13"/>
  <c r="C487" i="13"/>
  <c r="B487" i="13"/>
  <c r="D487" i="13"/>
  <c r="B399" i="13"/>
  <c r="C399" i="13"/>
  <c r="D399" i="13"/>
  <c r="B1294" i="13"/>
  <c r="D1294" i="13"/>
  <c r="C1294" i="13"/>
  <c r="D1202" i="13"/>
  <c r="B1036" i="13"/>
  <c r="B1143" i="13"/>
  <c r="D1110" i="13"/>
  <c r="B1217" i="13"/>
  <c r="C1217" i="13"/>
  <c r="D1217" i="13"/>
  <c r="C1198" i="13"/>
  <c r="B1198" i="13"/>
  <c r="D1198" i="13"/>
  <c r="D677" i="13"/>
  <c r="B677" i="13"/>
  <c r="C677" i="13"/>
  <c r="C615" i="13"/>
  <c r="B615" i="13"/>
  <c r="D615" i="13"/>
  <c r="D607" i="13"/>
  <c r="C607" i="13"/>
  <c r="B607" i="13"/>
  <c r="D569" i="13"/>
  <c r="C569" i="13"/>
  <c r="B569" i="13"/>
  <c r="C340" i="13"/>
  <c r="D340" i="13"/>
  <c r="B922" i="13"/>
  <c r="C922" i="13"/>
  <c r="D922" i="13"/>
  <c r="D102" i="13"/>
  <c r="C102" i="13"/>
  <c r="C913" i="13"/>
  <c r="D913" i="13"/>
  <c r="B913" i="13"/>
  <c r="B5" i="13"/>
  <c r="C5" i="13"/>
  <c r="C987" i="13"/>
  <c r="B987" i="13"/>
  <c r="D987" i="13"/>
  <c r="D70" i="13"/>
  <c r="B70" i="13"/>
  <c r="C70" i="13"/>
  <c r="B1321" i="13"/>
  <c r="C1321" i="13"/>
  <c r="D1321" i="13"/>
  <c r="D703" i="13"/>
  <c r="D1295" i="13"/>
  <c r="B1035" i="13"/>
  <c r="C1035" i="13"/>
  <c r="D1035" i="13"/>
  <c r="C1189" i="13"/>
  <c r="B1189" i="13"/>
  <c r="B550" i="13"/>
  <c r="C550" i="13"/>
  <c r="D550" i="13"/>
  <c r="D5" i="13"/>
  <c r="C1284" i="13"/>
  <c r="C1082" i="13"/>
  <c r="D450" i="13"/>
  <c r="B325" i="13"/>
  <c r="C1037" i="13"/>
  <c r="B1330" i="13"/>
  <c r="C1202" i="13"/>
  <c r="C1036" i="13"/>
  <c r="C1110" i="13"/>
  <c r="B816" i="13"/>
  <c r="B817" i="13"/>
  <c r="D817" i="13"/>
  <c r="C817" i="13"/>
  <c r="C808" i="13"/>
  <c r="B808" i="13"/>
  <c r="D808" i="13"/>
  <c r="D747" i="13"/>
  <c r="C747" i="13"/>
  <c r="B747" i="13"/>
  <c r="D694" i="13"/>
  <c r="B694" i="13"/>
  <c r="C685" i="13"/>
  <c r="D685" i="13"/>
  <c r="B685" i="13"/>
  <c r="C785" i="13"/>
  <c r="D785" i="13"/>
  <c r="B785" i="13"/>
  <c r="B851" i="13"/>
  <c r="D851" i="13"/>
  <c r="C851" i="13"/>
  <c r="D1224" i="13"/>
  <c r="B1313" i="13"/>
  <c r="D1313" i="13"/>
  <c r="C1313" i="13"/>
  <c r="D1057" i="13"/>
  <c r="C1057" i="13"/>
  <c r="B1057" i="13"/>
  <c r="D1018" i="13"/>
  <c r="B1018" i="13"/>
  <c r="C1018" i="13"/>
  <c r="C1295" i="13"/>
  <c r="B703" i="13"/>
  <c r="C1357" i="13"/>
  <c r="D1357" i="13"/>
  <c r="B1357" i="13"/>
  <c r="C1155" i="13"/>
  <c r="D1155" i="13"/>
  <c r="B1155" i="13"/>
  <c r="B1091" i="13"/>
  <c r="D1091" i="13"/>
  <c r="C1045" i="13"/>
  <c r="D1045" i="13"/>
  <c r="B1045" i="13"/>
  <c r="C217" i="13"/>
  <c r="D217" i="13"/>
  <c r="B217" i="13"/>
  <c r="C1339" i="13"/>
  <c r="D1339" i="13"/>
  <c r="B1339" i="13"/>
  <c r="B379" i="13"/>
  <c r="D379" i="13"/>
  <c r="C379" i="13"/>
  <c r="B1037" i="13"/>
  <c r="B1283" i="13"/>
  <c r="C325" i="13"/>
  <c r="D1122" i="13"/>
  <c r="D1275" i="13"/>
  <c r="C1330" i="13"/>
  <c r="D1320" i="13"/>
  <c r="C1081" i="13"/>
  <c r="C1100" i="13"/>
  <c r="D419" i="13"/>
  <c r="C1161" i="13"/>
  <c r="C1056" i="13"/>
  <c r="C1245" i="13"/>
  <c r="B1245" i="13"/>
  <c r="D1245" i="13"/>
  <c r="D1235" i="13"/>
  <c r="C1235" i="13"/>
  <c r="B1235" i="13"/>
  <c r="C1226" i="13"/>
  <c r="B1226" i="13"/>
  <c r="D1226" i="13"/>
  <c r="C1197" i="13"/>
  <c r="C826" i="13"/>
  <c r="B826" i="13"/>
  <c r="B787" i="13"/>
  <c r="D787" i="13"/>
  <c r="C705" i="13"/>
  <c r="B705" i="13"/>
  <c r="D705" i="13"/>
  <c r="D676" i="13"/>
  <c r="C676" i="13"/>
  <c r="B676" i="13"/>
  <c r="B1137" i="13"/>
  <c r="C1137" i="13"/>
  <c r="D1137" i="13"/>
  <c r="C940" i="13"/>
  <c r="B940" i="13"/>
  <c r="D940" i="13"/>
  <c r="C744" i="13"/>
  <c r="B744" i="13"/>
  <c r="D744" i="13"/>
  <c r="C692" i="13"/>
  <c r="B692" i="13"/>
  <c r="B1233" i="13"/>
  <c r="D1233" i="13"/>
  <c r="B863" i="13"/>
  <c r="C863" i="13"/>
  <c r="D863" i="13"/>
  <c r="B824" i="13"/>
  <c r="D824" i="13"/>
  <c r="B1259" i="13"/>
  <c r="D1259" i="13"/>
  <c r="C1259" i="13"/>
  <c r="B1224" i="13"/>
  <c r="C272" i="13"/>
  <c r="B272" i="13"/>
  <c r="D272" i="13"/>
  <c r="B28" i="13"/>
  <c r="C28" i="13"/>
  <c r="D28" i="13"/>
  <c r="D1009" i="13"/>
  <c r="D1341" i="13"/>
  <c r="B1341" i="13"/>
  <c r="C1341" i="13"/>
  <c r="B1172" i="13"/>
  <c r="C1172" i="13"/>
  <c r="D1172" i="13"/>
  <c r="C1121" i="13"/>
  <c r="B1121" i="13"/>
  <c r="D1121" i="13"/>
  <c r="C842" i="13"/>
  <c r="B559" i="13"/>
  <c r="D559" i="13"/>
  <c r="C559" i="13"/>
  <c r="D389" i="13"/>
  <c r="B389" i="13"/>
  <c r="C389" i="13"/>
  <c r="C1320" i="13"/>
  <c r="B1081" i="13"/>
  <c r="D1100" i="13"/>
  <c r="B419" i="13"/>
  <c r="D1244" i="13"/>
  <c r="C1244" i="13"/>
  <c r="B1244" i="13"/>
  <c r="D1070" i="13"/>
  <c r="C1070" i="13"/>
  <c r="B1070" i="13"/>
  <c r="D951" i="13"/>
  <c r="B951" i="13"/>
  <c r="C951" i="13"/>
  <c r="C942" i="13"/>
  <c r="D942" i="13"/>
  <c r="B942" i="13"/>
  <c r="B932" i="13"/>
  <c r="D932" i="13"/>
  <c r="B904" i="13"/>
  <c r="C904" i="13"/>
  <c r="C1315" i="13"/>
  <c r="B1315" i="13"/>
  <c r="D1315" i="13"/>
  <c r="C1260" i="13"/>
  <c r="C1251" i="13"/>
  <c r="D1251" i="13"/>
  <c r="C1047" i="13"/>
  <c r="D1047" i="13"/>
  <c r="B1047" i="13"/>
  <c r="B295" i="13"/>
  <c r="C295" i="13"/>
  <c r="D39" i="13"/>
  <c r="C39" i="13"/>
  <c r="C1233" i="13"/>
  <c r="B102" i="13"/>
  <c r="C1083" i="13"/>
  <c r="B1083" i="13"/>
  <c r="D1083" i="13"/>
  <c r="D1340" i="13"/>
  <c r="B1340" i="13"/>
  <c r="C1340" i="13"/>
  <c r="C1144" i="13"/>
  <c r="D1144" i="13"/>
  <c r="B1154" i="13"/>
  <c r="C1154" i="13"/>
  <c r="D1154" i="13"/>
  <c r="B629" i="13"/>
  <c r="D629" i="13"/>
  <c r="C629" i="13"/>
  <c r="D1189" i="13"/>
  <c r="D1328" i="13"/>
  <c r="C1316" i="13"/>
  <c r="B1316" i="13"/>
  <c r="B1234" i="13"/>
  <c r="C1234" i="13"/>
  <c r="D1234" i="13"/>
  <c r="D1214" i="13"/>
  <c r="B1214" i="13"/>
  <c r="C1214" i="13"/>
  <c r="C1206" i="13"/>
  <c r="D1206" i="13"/>
  <c r="C1002" i="13"/>
  <c r="D1002" i="13"/>
  <c r="B1002" i="13"/>
  <c r="B980" i="13"/>
  <c r="C980" i="13"/>
  <c r="D980" i="13"/>
  <c r="C892" i="13"/>
  <c r="D892" i="13"/>
  <c r="B892" i="13"/>
  <c r="D692" i="13"/>
  <c r="B683" i="13"/>
  <c r="D683" i="13"/>
  <c r="D530" i="13"/>
  <c r="C530" i="13"/>
  <c r="B6" i="13"/>
  <c r="C6" i="13"/>
  <c r="D1258" i="13"/>
  <c r="B1258" i="13"/>
  <c r="C1355" i="13"/>
  <c r="B331" i="13"/>
  <c r="B996" i="13"/>
  <c r="D1318" i="13"/>
  <c r="B1355" i="13"/>
  <c r="C1152" i="13"/>
  <c r="C1109" i="13"/>
  <c r="B1152" i="13"/>
  <c r="D1119" i="13"/>
  <c r="C12" i="13"/>
  <c r="D12" i="13"/>
  <c r="D1168" i="13"/>
  <c r="C538" i="13"/>
  <c r="D1256" i="13"/>
  <c r="C996" i="13"/>
  <c r="C1327" i="13"/>
  <c r="D1204" i="13"/>
  <c r="C24" i="13"/>
  <c r="D1327" i="13"/>
  <c r="C849" i="13"/>
  <c r="D1223" i="13"/>
  <c r="C1138" i="13"/>
  <c r="D1138" i="13"/>
  <c r="B1119" i="13"/>
  <c r="C494" i="13"/>
  <c r="C831" i="13"/>
  <c r="C1053" i="13"/>
  <c r="C711" i="13"/>
  <c r="B1292" i="13"/>
  <c r="D1281" i="13"/>
  <c r="B1280" i="13"/>
  <c r="C1290" i="13"/>
  <c r="D1109" i="13"/>
  <c r="C1098" i="13"/>
  <c r="B963" i="13"/>
  <c r="B1151" i="13"/>
  <c r="D1034" i="13"/>
  <c r="D1326" i="13"/>
  <c r="C761" i="13"/>
  <c r="C1204" i="13"/>
  <c r="D24" i="13"/>
  <c r="C1184" i="13"/>
  <c r="C1195" i="13"/>
  <c r="B1255" i="13"/>
  <c r="C1255" i="13"/>
  <c r="C653" i="13"/>
  <c r="C896" i="13"/>
  <c r="D896" i="13"/>
  <c r="B896" i="13"/>
  <c r="D623" i="13"/>
  <c r="C623" i="13"/>
  <c r="B733" i="13"/>
  <c r="B1007" i="13"/>
  <c r="B869" i="13"/>
  <c r="C1280" i="13"/>
  <c r="B477" i="13"/>
  <c r="C576" i="13"/>
  <c r="C839" i="13"/>
  <c r="B840" i="13"/>
  <c r="B711" i="13"/>
  <c r="D955" i="13"/>
  <c r="B546" i="13"/>
  <c r="C938" i="13"/>
  <c r="C684" i="13"/>
  <c r="D869" i="13"/>
  <c r="C742" i="13"/>
  <c r="C1281" i="13"/>
  <c r="C466" i="13"/>
  <c r="C1097" i="13"/>
  <c r="D1273" i="13"/>
  <c r="B96" i="13"/>
  <c r="D477" i="13"/>
  <c r="C841" i="13"/>
  <c r="D1354" i="13"/>
  <c r="B35" i="13"/>
  <c r="D408" i="13"/>
  <c r="C760" i="13"/>
  <c r="C96" i="13"/>
  <c r="C304" i="13"/>
  <c r="C279" i="13"/>
  <c r="B1232" i="13"/>
  <c r="B1242" i="13"/>
  <c r="D1205" i="13"/>
  <c r="D1148" i="13"/>
  <c r="B1148" i="13"/>
  <c r="D1040" i="13"/>
  <c r="B1040" i="13"/>
  <c r="B982" i="13"/>
  <c r="D982" i="13"/>
  <c r="C925" i="13"/>
  <c r="D925" i="13"/>
  <c r="D1282" i="13"/>
  <c r="B1282" i="13"/>
  <c r="C496" i="13"/>
  <c r="D496" i="13"/>
  <c r="D1120" i="13"/>
  <c r="C1300" i="13"/>
  <c r="B1300" i="13"/>
  <c r="C1311" i="13"/>
  <c r="D331" i="13"/>
  <c r="B849" i="13"/>
  <c r="B1185" i="13"/>
  <c r="C1185" i="13"/>
  <c r="C86" i="13"/>
  <c r="D1151" i="13"/>
  <c r="D494" i="13"/>
  <c r="D839" i="13"/>
  <c r="B831" i="13"/>
  <c r="B1097" i="13"/>
  <c r="C1308" i="13"/>
  <c r="B1034" i="13"/>
  <c r="D761" i="13"/>
  <c r="B3" i="13"/>
  <c r="D426" i="13"/>
  <c r="C3" i="13"/>
  <c r="C977" i="13"/>
  <c r="B119" i="13"/>
  <c r="C314" i="13"/>
  <c r="C721" i="13"/>
  <c r="C1211" i="13"/>
  <c r="C955" i="13"/>
  <c r="C546" i="13"/>
  <c r="B635" i="13"/>
  <c r="B938" i="13"/>
  <c r="D233" i="13"/>
  <c r="B530" i="13"/>
  <c r="B466" i="13"/>
  <c r="B1273" i="13"/>
  <c r="B183" i="13"/>
  <c r="B841" i="13"/>
  <c r="D1353" i="13"/>
  <c r="C1087" i="13"/>
  <c r="C1354" i="13"/>
  <c r="C35" i="13"/>
  <c r="C408" i="13"/>
  <c r="B760" i="13"/>
  <c r="D772" i="13"/>
  <c r="D814" i="13"/>
  <c r="C976" i="13"/>
  <c r="B279" i="13"/>
  <c r="D1232" i="13"/>
  <c r="C1126" i="13"/>
  <c r="B1126" i="13"/>
  <c r="B1039" i="13"/>
  <c r="D1039" i="13"/>
  <c r="D317" i="13"/>
  <c r="B317" i="13"/>
  <c r="D1352" i="13"/>
  <c r="C1258" i="13"/>
  <c r="C937" i="13"/>
  <c r="D1335" i="13"/>
  <c r="C259" i="13"/>
  <c r="C1096" i="13"/>
  <c r="D1087" i="13"/>
  <c r="D1213" i="13"/>
  <c r="B772" i="13"/>
  <c r="B814" i="13"/>
  <c r="B976" i="13"/>
  <c r="C974" i="13"/>
  <c r="C513" i="13"/>
  <c r="B513" i="13"/>
  <c r="C269" i="13"/>
  <c r="D269" i="13"/>
  <c r="B538" i="13"/>
  <c r="C1336" i="13"/>
  <c r="D86" i="13"/>
  <c r="B771" i="13"/>
  <c r="C771" i="13"/>
  <c r="B396" i="13"/>
  <c r="D396" i="13"/>
  <c r="B289" i="13"/>
  <c r="C289" i="13"/>
  <c r="C1140" i="13"/>
  <c r="B496" i="13"/>
  <c r="C963" i="13"/>
  <c r="B1336" i="13"/>
  <c r="D1195" i="13"/>
  <c r="D974" i="13"/>
  <c r="D1140" i="13"/>
  <c r="D1238" i="13"/>
  <c r="C426" i="13"/>
  <c r="B977" i="13"/>
  <c r="B946" i="13"/>
  <c r="D1219" i="13"/>
  <c r="D521" i="13"/>
  <c r="B390" i="13"/>
  <c r="D1026" i="13"/>
  <c r="D1263" i="13"/>
  <c r="C635" i="13"/>
  <c r="B714" i="13"/>
  <c r="C911" i="13"/>
  <c r="B358" i="13"/>
  <c r="C946" i="13"/>
  <c r="C521" i="13"/>
  <c r="B1026" i="13"/>
  <c r="B1263" i="13"/>
  <c r="B911" i="13"/>
  <c r="C1299" i="13"/>
  <c r="D1096" i="13"/>
  <c r="C110" i="13"/>
  <c r="C1181" i="13"/>
  <c r="C1213" i="13"/>
  <c r="C25" i="13"/>
  <c r="C351" i="13"/>
  <c r="D1173" i="13"/>
  <c r="D1067" i="13"/>
  <c r="B1067" i="13"/>
  <c r="C1001" i="13"/>
  <c r="D1001" i="13"/>
  <c r="D789" i="13"/>
  <c r="C789" i="13"/>
  <c r="B326" i="13"/>
  <c r="D326" i="13"/>
  <c r="C988" i="13"/>
  <c r="D988" i="13"/>
  <c r="B147" i="13"/>
  <c r="C147" i="13"/>
  <c r="B460" i="13"/>
  <c r="C460" i="13"/>
  <c r="D90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Natasha Feutrill</author>
    <author>Cherry Causing</author>
  </authors>
  <commentList>
    <comment ref="H103" authorId="0" shapeId="0" xr:uid="{00000000-0006-0000-0100-000016000000}">
      <text>
        <r>
          <rPr>
            <b/>
            <sz val="9"/>
            <color indexed="81"/>
            <rFont val="Tahoma"/>
            <family val="2"/>
          </rPr>
          <t>Natasha Feutrill:</t>
        </r>
        <r>
          <rPr>
            <sz val="9"/>
            <color indexed="81"/>
            <rFont val="Tahoma"/>
            <family val="2"/>
          </rPr>
          <t xml:space="preserve">
supplier says will obtain 9001 in june 2020</t>
        </r>
      </text>
    </comment>
    <comment ref="H113" authorId="0" shapeId="0" xr:uid="{00000000-0006-0000-0100-00000A000000}">
      <text>
        <r>
          <rPr>
            <b/>
            <sz val="9"/>
            <color indexed="81"/>
            <rFont val="Tahoma"/>
            <family val="2"/>
          </rPr>
          <t>Natasha Feutrill:</t>
        </r>
        <r>
          <rPr>
            <sz val="9"/>
            <color indexed="81"/>
            <rFont val="Tahoma"/>
            <family val="2"/>
          </rPr>
          <t xml:space="preserve">
supplier not currently in use</t>
        </r>
      </text>
    </comment>
    <comment ref="H502" authorId="1" shapeId="0" xr:uid="{00000000-0006-0000-0100-000009000000}">
      <text>
        <r>
          <rPr>
            <b/>
            <sz val="9"/>
            <color indexed="81"/>
            <rFont val="Tahoma"/>
            <family val="2"/>
          </rPr>
          <t>Cherry Causing:</t>
        </r>
        <r>
          <rPr>
            <sz val="9"/>
            <color indexed="81"/>
            <rFont val="Tahoma"/>
            <family val="2"/>
          </rPr>
          <t xml:space="preserve">
E-mail: 14 Apr 2020, ISO9001 target is TBC as per SE  dated 28 May 2020</t>
        </r>
      </text>
    </comment>
    <comment ref="H825" authorId="0" shapeId="0" xr:uid="{00000000-0006-0000-0100-000010000000}">
      <text>
        <r>
          <rPr>
            <b/>
            <sz val="9"/>
            <color indexed="81"/>
            <rFont val="Tahoma"/>
            <family val="2"/>
          </rPr>
          <t>Natasha Feutrill:</t>
        </r>
        <r>
          <rPr>
            <sz val="9"/>
            <color indexed="81"/>
            <rFont val="Tahoma"/>
            <family val="2"/>
          </rPr>
          <t xml:space="preserve">
supplier says will obtain 9001 in june 2020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<sst xmlns="http://schemas.openxmlformats.org/spreadsheetml/2006/main" count="11822" uniqueCount="5350">
  <si>
    <t>Doc Number</t>
  </si>
  <si>
    <t>QR1002</t>
  </si>
  <si>
    <t>Version</t>
  </si>
  <si>
    <t>Document</t>
  </si>
  <si>
    <t>QA Supplier register</t>
  </si>
  <si>
    <t>Author</t>
  </si>
  <si>
    <t>Natasha Feutrill</t>
  </si>
  <si>
    <t>Author Role</t>
  </si>
  <si>
    <t>QA Team Member</t>
  </si>
  <si>
    <t>Revision History</t>
  </si>
  <si>
    <t>Date</t>
  </si>
  <si>
    <t>DCO</t>
  </si>
  <si>
    <t>Description</t>
  </si>
  <si>
    <t>First issue</t>
  </si>
  <si>
    <t>Revision history not written in QR1002 for this change. Refer to archived copy of previous version of register see differnces.</t>
  </si>
  <si>
    <t>Revision history table added to QR1002
Column added for date of supplier evaluation. Evaluation date moved from notes column to date column</t>
  </si>
  <si>
    <t>Register updated with additional columns to provide more information to users:
-Greentreecode
-Country location
-Easier to filter by PIP or PI supplier
-Filter by categories for product supplied
-column that dispalys the most recent evaluation date</t>
  </si>
  <si>
    <t>Register updated with the additional column "Planned Supplier Scorecard completion"</t>
  </si>
  <si>
    <t>Register update with additonal column "Quality Agreement Validity"</t>
  </si>
  <si>
    <t>Add columns for PIPP and PIPL D365 (Helix) vendor code, moved GT code column to end. (Note review and approved by same person, because change is minor and does not affect any procedures, anuthor is the QA SME for ERP.)</t>
  </si>
  <si>
    <t>Add column for tracking Modern Slavery responses received on supplier evaluations</t>
  </si>
  <si>
    <t>Approval</t>
  </si>
  <si>
    <t>Approval is for QR1002 template only. Approval for each supplier is listed on the supplier approval forms.</t>
  </si>
  <si>
    <t>Refer to QA master documents folder for original AdobeSign</t>
  </si>
  <si>
    <t>Search Product:</t>
  </si>
  <si>
    <t>Location:</t>
  </si>
  <si>
    <t>https://icons8.com/icon/set/industry/badges</t>
  </si>
  <si>
    <t>Critical 
Tier 1</t>
  </si>
  <si>
    <t>Contract Manufacturing</t>
  </si>
  <si>
    <t>Electronics</t>
  </si>
  <si>
    <t>Inj Moulding</t>
  </si>
  <si>
    <t>Machining</t>
  </si>
  <si>
    <t>Sheet Metal</t>
  </si>
  <si>
    <t>Prototyping</t>
  </si>
  <si>
    <t>Laser Cutting</t>
  </si>
  <si>
    <t>Critical 
Non-Tier 1</t>
  </si>
  <si>
    <t>Adhesives</t>
  </si>
  <si>
    <t>Cables</t>
  </si>
  <si>
    <t>Casting</t>
  </si>
  <si>
    <t>Elec Comp</t>
  </si>
  <si>
    <t>Fasteners</t>
  </si>
  <si>
    <t>Fluidics</t>
  </si>
  <si>
    <t>Gaskets</t>
  </si>
  <si>
    <t>HMI</t>
  </si>
  <si>
    <t>Magnets</t>
  </si>
  <si>
    <t>Motion</t>
  </si>
  <si>
    <t>Optics</t>
  </si>
  <si>
    <t>Packaging</t>
  </si>
  <si>
    <t>Sensors</t>
  </si>
  <si>
    <t>Springs</t>
  </si>
  <si>
    <t>D365 Code PIPP</t>
  </si>
  <si>
    <t>D365 Code PIPL</t>
  </si>
  <si>
    <t>PIP aprvd</t>
  </si>
  <si>
    <t>PI    aprvd</t>
  </si>
  <si>
    <t>Cat</t>
  </si>
  <si>
    <t>Supplier</t>
  </si>
  <si>
    <t>Location</t>
  </si>
  <si>
    <t>Supp Type</t>
  </si>
  <si>
    <t>Products &amp; Services:</t>
  </si>
  <si>
    <t>Die Cutting and Tape Converting
3M VHB RP+ Tapes
3M Safety Glasses
Stylus High Bond Foam Tapes
3M Stamark Pavement Tape
3M VHB Foam Tape
ADHESIVES
HUSKY TAPES
Packaging Tapes
Cloth Tapes
Butyl Tapes
Double Sided Foam Tapes
Double Sided Tapes
Filament Tapes
Glazing Tapes
Masking Tapes
Fragile Tapes
Painter's Tapes
Paper Tapes
Safety Tapes
Surface Protection Tapes
Tape Dispensers</t>
  </si>
  <si>
    <t>Main Contact:</t>
  </si>
  <si>
    <t>e-mail:</t>
  </si>
  <si>
    <t>phone:</t>
  </si>
  <si>
    <t>Address:</t>
  </si>
  <si>
    <t>SEARCH ANY KEYWORD</t>
  </si>
  <si>
    <t>SUPPLIER TYPE</t>
  </si>
  <si>
    <t>(search for supplier name, commodity type, product type, anything…)</t>
  </si>
  <si>
    <r>
      <rPr>
        <b/>
        <sz val="8"/>
        <color theme="0"/>
        <rFont val="Arial Nova"/>
        <family val="2"/>
      </rPr>
      <t xml:space="preserve">Last Updated: </t>
    </r>
    <r>
      <rPr>
        <sz val="8"/>
        <color theme="0"/>
        <rFont val="Arial Nova"/>
        <family val="2"/>
      </rPr>
      <t>MAS 30th Nov 2023</t>
    </r>
  </si>
  <si>
    <t>Category</t>
  </si>
  <si>
    <t>TAGS</t>
  </si>
  <si>
    <t>JOIN</t>
  </si>
  <si>
    <t>ISO 9001</t>
  </si>
  <si>
    <t>ISO 13485</t>
  </si>
  <si>
    <t>ISO 17025</t>
  </si>
  <si>
    <t>IATF TS 16949</t>
  </si>
  <si>
    <t>Other</t>
  </si>
  <si>
    <t>Notes</t>
  </si>
  <si>
    <t>https://www.adept-industrial.com.au/</t>
  </si>
  <si>
    <t>Adept Industrial Solutions Pty Ltd</t>
  </si>
  <si>
    <t>Y</t>
  </si>
  <si>
    <t>DIE CUTTING AND TAPE CONVERTING
3M VHB RP+ TAPES
3M SAFETY GLASSES
STYLUS HIGH BOND FOAM TAPES
3M STAMARK PAVEMENT TAPE
3M VHB FOAM TAPE
ADHESIVES
HUSKY TAPES
PACKAGING TAPES
CLOTH TAPES
BUTYL TAPES
DOUBLE SIDED FOAM TAPES
DOUBLE SIDED TAPES
FILAMENT TAPES
GLAZING TAPES
MASKING TAPES
FRAGILE TAPES
PAINTER'S TAPES
PAPER TAPES
SAFETY TAPES
SURFACE PROTECTION TAPES
TAPE DISPENSERS</t>
  </si>
  <si>
    <t>AUSTRALIA</t>
  </si>
  <si>
    <t>Active</t>
  </si>
  <si>
    <t>N/A</t>
  </si>
  <si>
    <t>Keenovo Silicon Heater</t>
  </si>
  <si>
    <t>http://www.afcindustries.com.au/</t>
  </si>
  <si>
    <t>AFC Industries Pty Ltd</t>
  </si>
  <si>
    <t>SLITTING
DIE CUTTING   
RE - LOGGING
FOAM LAMINATING
FOAM FABRICATING
FOAM PACKAGING
FOAM PRODUCT ASSEMBLY
CONTOUR CUTTING
DIE CUTTING AND TAPE CONVERTING, LOGGING, FOAM GASKETS</t>
  </si>
  <si>
    <t/>
  </si>
  <si>
    <t>https://www.biolinkaus.com.au/</t>
  </si>
  <si>
    <t>Biolink Specialty Tapes Australia Pty Ltd</t>
  </si>
  <si>
    <t>ADHESIVE PRODUCTS
TRANSLINK
ADHESIVE TRANSFER TAPE
PROLINK
CLEAR ULTRA HIGH BOND – DOUBLE SIDED TAPES
ACRYLIC FOAM TAPE, ULTRA HIGH BOND – AVAILABLE IN GREY &amp; WHITE.
DOUBLE SIDED TAPES, WITH A VARIETY OF CARRIERS
DOUBLE SIDED FOAM TAPES</t>
  </si>
  <si>
    <t>http://www.completerubber.com.au/</t>
  </si>
  <si>
    <t>Complete Rubber Pty Ltd</t>
  </si>
  <si>
    <t>RUBBERS,FOAMS, SILICONE, SHEETING_x000D_
SILICONE_x000D_
SA FOAM TAPES_x000D_
MANWAYS_x000D_
GASKETS_x000D_
EXTRUSIONS_x000D_
MOULDINGS_x000D_
MATTING_x000D_
GROMMETS_x000D_
MOUNTS</t>
  </si>
  <si>
    <t>https://foammolders.com/</t>
  </si>
  <si>
    <t>Foam Molders Inc.</t>
  </si>
  <si>
    <t>VACUUM FORMING FOAM
SPECIALTY FOAM MOLDING
THERMOFORMING FOAM</t>
  </si>
  <si>
    <t>USA</t>
  </si>
  <si>
    <t>https://www.goldenvalleyproducts.com/</t>
  </si>
  <si>
    <t>GOLDEN VALLEY PRODUCTS, INC.</t>
  </si>
  <si>
    <t xml:space="preserve"> Printed Electronics
Membrane Switches
Medical Sensors
Membrane Potentiometers
Pressure Sensors
Flexible Heaters
Capacitive Circuits
Graphic Overlays
In-Mold Decorating (IMD)
In-Mold Electronics (IME)
Labels
3D Formed Labels
Gaskets, Spacers, Insulators
Art and Engineering
Printing
Digital Printing
Screen Printing
Pad Printing
Cutting
Laser Cutting
Steel Rule Die Cutting
Waterjet Cutting
Laminating and Assembly
Embossing</t>
  </si>
  <si>
    <t>24Jan2022: re-evaluation|e-mail sent. FF: 04Apr2022
Distributor only. 16949 certificate provided for manufacturer Biolink Germany.</t>
  </si>
  <si>
    <t>https://www.boydcorp.com/</t>
  </si>
  <si>
    <t>Boyd Technologies (Thailand) Co. Ltd</t>
  </si>
  <si>
    <t>CONTRACT MANUFACTURER,HMI, WEARABLES, SEALS, GASKETS &amp; O-RINGS, ADHESIVES, HMI,</t>
  </si>
  <si>
    <t>THAILAND</t>
  </si>
  <si>
    <t>https://www.carbon-core.com/</t>
  </si>
  <si>
    <t>Carbon-Core Corporation</t>
  </si>
  <si>
    <t>PRODUCTS
STRUCTURAL HONEYCOMBS
CARBONBALSA
CARBONFOAM STRUCTURAL FOAM
LAMINATED PANELS
CARBON BOND
SPHERECEL LAMINATE BULKER
FIBERGLASS REINFORCEMENTS</t>
  </si>
  <si>
    <t>https://www.hloeb.com/</t>
  </si>
  <si>
    <t>H. Loeb Corporation</t>
  </si>
  <si>
    <t>DIE CUTTING,CNC KNIFE CUTTING, PACKAGING, FOAM SPLITTING,SPECIALTY LAMINATING, SLITTING, SHEETING</t>
  </si>
  <si>
    <t>https://grogangroup.com.au/</t>
  </si>
  <si>
    <t>Mason Grogan Pty Ltd</t>
  </si>
  <si>
    <t>DIE CUTTING
WATERJET CUTTING
LASER CUTTING
MULTI LAYERED DIE CUTTING
CNC DIELESS KNIFE CUTTING
KISS CUTTING
SLITTING
LAMINATING
APPLICATIONS
GAP FILLING, SPACERS AND PADS
GASKETS AND SEALS
PARTICLE &amp; INGRESS PROTECTION
NO FLAME CUSHION®
MULTI LAYER LAMINATES
PROTECTIVE CLOTHING
SHOCK &amp; IMPACT PROTECTION
THERMAL MANAGEMENT
VIBRATION &amp; ACOUSTIC MANAGEMENT
MATERIALS
INSULATION MATERIALS
PORON® URETHANES
PORON® SHOCKSEAL FOAMS
PORON XRD®
SILICONES
TECHNICAL BONDING FILMS &amp; TAPES
TECHNICAL TEXTILES</t>
  </si>
  <si>
    <t>https://parafix.com/</t>
  </si>
  <si>
    <t>Parafix Tapes &amp; Conversions Ltd</t>
  </si>
  <si>
    <t>UK</t>
  </si>
  <si>
    <t>https://www.polarseal.net/</t>
  </si>
  <si>
    <t>PolarSeal Tapes and Conversions Ltd</t>
  </si>
  <si>
    <t>https://www.polyfoam.com.au/</t>
  </si>
  <si>
    <t>Polyfoam Australia Pty Ltd</t>
  </si>
  <si>
    <t>FOAMS, POLYSTYRENE FOAM_x000D_
POLYSTYRENE MOULDS, POLYSTYRENE PACKAGING</t>
  </si>
  <si>
    <t>https://www.stockwell.com/</t>
  </si>
  <si>
    <t>Stockwell Elastometers, Inc (US)</t>
  </si>
  <si>
    <t xml:space="preserve">GASKETS, GASKETS &amp; PADS_x000D_
SILICONE GASKETS_x000D_
SILICONE PADS_x000D_
MOLDED LSR_x000D_
SILICONE O-RINGS_x000D_
CUSTOM GASKETS_x000D_
VIBRATION DAMPING PADS_x000D_
ENCLOSURE GASKETS_x000D_
EMI GASKETS_x000D_
GASKET TAPE_x000D_
PROTOTYPE GASKETS &amp; PADS_x000D_
CUSTOM GASKET STRIPS_x000D_
ADHESIVE BACKED GASKETS_x000D_
TOUCH SCREEN GASKETS_x000D_
CONNECTOR GASKETS_x000D_
FOAM CHAMBER PORT PLUGS_x000D_
THERMAL GAP FILLER PADS_x000D_
CUSTOM CONDUCTIVE GASKETS_x000D_
HEAT PRESS PADS &amp; FILM_x000D_
ELASTOMERIC GASKETS_x000D_
ULTRA-THIN SILICONE RUBBER GASKETS WITH ADHESIVE BACKING_x000D_
_x000D_
_x000D_
</t>
  </si>
  <si>
    <t>http://leetoya.com/</t>
  </si>
  <si>
    <t>Super Hing Group Co Ltd (T/A Dongguan Leetoya Precision Technology)</t>
  </si>
  <si>
    <t xml:space="preserve">DOUBLE-SIDED TAPE
CONDUCTIVE INSULATION
FOAM
PROTECTIVE FILM
METAL
PI CLASS
OTHER ELECTRONIC AC, COPPER FOIL + BLUE FILM_x000D_
PI PROTECTIVE FILM_x000D_
PRINTED PROTECTIVE FILM_x000D_
MYLAR PROTECTIVE FILM_x000D_
</t>
  </si>
  <si>
    <t>CHINA</t>
  </si>
  <si>
    <t>9FEB2017: Supplier states they are working towards first certifications in 2017. 9001 in jun and 13485 in dec.
02 Jul 2020: Remove from register. Records archived. Cbc</t>
  </si>
  <si>
    <t>http://szdelong.sn-led.com/</t>
  </si>
  <si>
    <t>Suzhou Delong Light Materials Co.,</t>
  </si>
  <si>
    <t>Sent follow up email re ISO 9001 on 11 July 2002 (another follow up July 19)
Sent email re ISO9001 on 4/7/2022
Vacuum pumps</t>
  </si>
  <si>
    <t>http://www.cognexa.com/</t>
  </si>
  <si>
    <t>Cognexa Solutions</t>
  </si>
  <si>
    <t>AI SYSTEMS</t>
  </si>
  <si>
    <t>COMPUTER VISION
DATA PROCESSING &amp; ANALYSIS
DIGITAL ASSESSMENTS
GENERATIVE AI</t>
  </si>
  <si>
    <t>CZECH</t>
  </si>
  <si>
    <t>http://www.kobyfilters.com/</t>
  </si>
  <si>
    <t>KOBY INCORPORATED</t>
  </si>
  <si>
    <t>AIR COMPRESSORS &amp; FILTRATION</t>
  </si>
  <si>
    <t>https://www.gardnerdenver.com/en-au/</t>
  </si>
  <si>
    <t>Gardner Denver Industries Pty Ltd</t>
  </si>
  <si>
    <t>AIR COMPRESSORS,COMPRESSORS FOR TRANSPORT
OIL FREE COMPRESSORS,OIL LUBRICATED ROTARY SCREW,ROTARY VANE COMPRESSORS,PISTON COMPRESSORS,NATURAL GAS COMPRESSORS,AIR TREATMENT</t>
  </si>
  <si>
    <t>https://wav1.com/</t>
  </si>
  <si>
    <t>Western AV &amp; Security</t>
  </si>
  <si>
    <t>0</t>
  </si>
  <si>
    <t>AUDIO VIDEO SERVICES</t>
  </si>
  <si>
    <t xml:space="preserve">AUDIO VISUAL INSTALLATION &amp; TRAINING </t>
  </si>
  <si>
    <t>https://www.foreinnovations.com/</t>
  </si>
  <si>
    <t>Fore Innovations LLC.</t>
  </si>
  <si>
    <t>AUTOMOTIVE COMPONENTS</t>
  </si>
  <si>
    <t>FUEL PRESSURE REGULATORS
FUEL FILTERS
FUEL PUMPS
FITTINGS, Y-BLOCKS, ADAPTERS, GAUGES
HOSE AND HOSE ENDS
NITROUS FITTINGS &amp; ACCESSORIES
BOOST / VACUUM ACCESSORIES
ELECTRICAL
REPLACEMENT / SERVICE ITEMS
SHIRTS AND STICKERS</t>
  </si>
  <si>
    <t xml:space="preserve">for Generic OEM Labels only not UL Labels. Purchasing filled in the SE as supplier did not want to fill it in.  </t>
  </si>
  <si>
    <t>https://randallraceparts.com/</t>
  </si>
  <si>
    <t>RANDALL RACE PARTS</t>
  </si>
  <si>
    <t>BRAKES, HELMETS, BELTS, SAFETY APPAREL, SEATS</t>
  </si>
  <si>
    <t>20-Sep-2022: Supplier flagged for archive.</t>
  </si>
  <si>
    <t>https://barcodesaustralia.com/</t>
  </si>
  <si>
    <t>Barcode Australia Pty Ltd</t>
  </si>
  <si>
    <t>BARCODES</t>
  </si>
  <si>
    <t>BARCODES,BARCODES, QR CODES, GS1 QR CODES, V BUSINESS CARD</t>
  </si>
  <si>
    <t>7Mar2018: Waiting for certificate for new factory - expect certification in July. Factory has been visited by PI representative (Andy Steele), OK to continue use while waiting for certificate.</t>
  </si>
  <si>
    <t>https://celltech-group.com/</t>
  </si>
  <si>
    <t>Celltech (Zhongshan) China</t>
  </si>
  <si>
    <t>BATTERIES</t>
  </si>
  <si>
    <t>BATTERY SYSTEMS
CELLTECH BATTERY SYSTEM
BATTERY PACKS
BATTERY PACKS
BATTERIES, TEST</t>
  </si>
  <si>
    <t>Test: Good experience</t>
  </si>
  <si>
    <t>https://www.eemb.com/</t>
  </si>
  <si>
    <t>EEMB Energy Power Co Ltd (EEMB (SZ) Co. Ltd)</t>
  </si>
  <si>
    <t>LITHIUM POLYMER BATTERY
LITHIUM ION BATTERY
LITHIUM ION COIN BATTERY
LITHIUM IRON PHOSPHATE LIFEPO4 BATTERY
LITHIUM THIONYL CHLORIDE BATTERY
LITHIUM MANGANESE DIOXIDE BATTERY
CUSTOM BATTERY PACK
BATTERY TERMINATIONS
ENERGY STORAGE, LI-PO_x000D_
LI PO_x000D_
LIPO_x000D_
LI-ION_x000D_
LI ION_x000D_
LIION</t>
  </si>
  <si>
    <t>https://www.master-instruments.com.au/</t>
  </si>
  <si>
    <t>Master Instruments</t>
  </si>
  <si>
    <t>BATTERIES
PRIMARY ALKALINE
CARBON ZINC / ZINC CHLORIDE (HEAVY DUTY)
PRIMARY LITHIUM BATTERIES
MERCURY REPLACEMENT BATTERIES
SILVER OXIDE BATTERIES
ZINC AIR BATTERIES
SECONDARY (RECHARGEABLE)
NICKEL CADMIUM - NICD
NICKEL METAL HYDRIDE - NIMH
LITHIUM ION - LIION
LITHIUM IRON PHOSPHATE - LIFEPO4
SEALED LEAD ACID - AGM
GEL TYPE SLA BATTERIES
PRIMARY ALKALINE
CARBON ZINC / ZINC CHLORIDE (HEAVY DUTY)
PRIMARY LITHIUM BATTERIES
MERCURY REPLACEMENT BATTERIES
SILVER OXIDE BATTERIES
ZINC AIR BATTERIES
SECONDARY (RECHARGEABLE)
NICKEL CADMIUM - NICD
NICKEL METAL HYDRIDE - NIMH
LITHIUM ION - LIION
LITHIUM IRON PHOSPHATE - LIFEPO4
SEALED LEAD ACID - AGM
GEL TYPE SLA BATTERIES, LIPO_x000D_
LI PO_x000D_
LIION_x000D_
LI ION</t>
  </si>
  <si>
    <t>https://www.renata.com/</t>
  </si>
  <si>
    <t>Renata</t>
  </si>
  <si>
    <t>BATTERIES
BATTERIES
BATTERY HOLDERS
LITHIUM BATTERIES
TABBED LITHIUM COIN CELLS
LITHIUM POLYMER BATTERIES
SILVER OXIDE BATTERIES
HIGH - PULSE SILVER OXIDE BATTERIES
THIN - FILM BATTERIES
ZINC - AIR BATTERIES, LIPO_x000D_
LI PO_x000D_
LIION_x000D_
LI ION</t>
  </si>
  <si>
    <t>SWITZERLAND</t>
  </si>
  <si>
    <t>Supplier for microbatteries, household batteries, and energy storage solutions.</t>
  </si>
  <si>
    <t>https://www.bak-tech.com/</t>
  </si>
  <si>
    <t>Shenzhen BAK Technology</t>
  </si>
  <si>
    <t>BATTERIES
SEE ALL CATEGORIES
BAKTH
CUSTOMIZABLE BATTERY PACK
LIFEPO4 BATTERIES
LIFEPO4 BATTERY PACK
ENERGY STORAGE BATTERY PACK
LITHIUM ION BATTERIES
LITHIUM POLYMER BATTERIES/PACKS
PCB/PCM/BMS
BATTERY PACKS
TH
CUSTOMIZABLE BATTERY PACK
LIFEPO4 BATTERIES
LIFEPO4 BATTERY PACK
ENERGY STORAGE BATTERY PACK
LITHIUM ION BATTERIES
LITHIUM POLYMER BATTERIES/PACKS
PCB/PCM/BMS
BATTERY PACKS, LI PO_x000D_
LIPO_x000D_
LIION_x000D_
LI ION</t>
  </si>
  <si>
    <t>https://www.varta-ag.com/</t>
  </si>
  <si>
    <t>Varta Microbattery Pte Ltd</t>
  </si>
  <si>
    <t>BATTERIES
HEARING AID BATTERIES
POWER ONE
BUTTON CELLS
PRIMARY LITHIUM
CYLINDRICAL BATTERIES
SILVER OXIDE
BUTTON CELLS
ULTRA LITHIUM
ALKALI MANGANESE
CYLINDRICAL BATTERIES
ALKALI MANGANESE
BUTTON CELLS
ALKALINE V13GA
GAS GENERATOR CELLS
INDIVIDUAL BATTERY SOLUTIONS, LIPO_x000D_
LI PO_x000D_
LI ION_x000D_
LIION</t>
  </si>
  <si>
    <t>SINGAPORE</t>
  </si>
  <si>
    <t>https://alpinebearing.com/</t>
  </si>
  <si>
    <t>Alpine Bearing West Inc</t>
  </si>
  <si>
    <t>BEARINGS</t>
  </si>
  <si>
    <t>MINIATURE &amp; INSTRUMENT BEARINGS
NHBB, NMB, GRW, IJK, JAF, &amp; MYONIC
MACHINE TOOL SPINDLE BEARINGS
BARDEN, FAG, GMN, GRW, IJK, INA, NACHI, NHBB, NTN, SKF, &amp; TPI
THINEX &amp; TORQUE TUBE BEARINGS
NHBB, NMB &amp; SCHATZ
TURBO PUMP BEARINGS
DEEP GROOVE BEARINGS
FAG, SKF, NACHI, TPI &amp; OTHERS
AIRCRAFT NEEDLE &amp; ROLLER BEARINGS
ACCURATE, IJK, NHBB, RBC &amp; SCHATZ
THIN SECTION BEARINGS
KAYDON, RBC</t>
  </si>
  <si>
    <t>https://www.astbearings.com/</t>
  </si>
  <si>
    <t>AST Bearings LLC.</t>
  </si>
  <si>
    <t>MINIATURE BALL BEARINGS, BUSHING, SELF LUBRICATING BUSHING, BALL BEARINGS,ROLLER BEARINGS,THRUST BEARINGS,SPHERICAL PLAIN BEARINGS,ROD ENDS,BUSHINGS,PILLOW BLOCKS &amp; FLANGES,,SUB-ASSEMBLIES,LINEAR MOTION ROLLING GUIDES,CUSTOM BEARINGS</t>
  </si>
  <si>
    <t>https://www.bocabearings.com/</t>
  </si>
  <si>
    <t>BOCA BEARING COMPANY</t>
  </si>
  <si>
    <t>ANGULAR CONTACT BEARINGS
ANGULAR CONTACT FULL CERAMIC BEARINGS
BALLS CYLINDRICAL ROLLER BEARINGS
DENTAL TOOL BEARINGS
DOUBLE ROW BEARINGS
ELECTRIC MOTOR QUALITY (EMQ) BEARINGS
GROOVED BEARINGSINSERT BEARINGS
INSERT FULL CERAMIC BEARINGS
LINEAR BALL BUSHING
MACHINE TOOL SPINDLE BEARINGS
MOUNTED UNIT BEARINGS
MOUNTED UNIT MINIATURE BEARINGS
MOUNTED UNIT THERMOPLASTIC BEARINGS
NEEDLE BEARINGS 
PLASTIC BEARINGS 
PRESSURE ROLLER BEARINGS
RADIAL BEARINGS
RADIAL FULL CERAMIC BEARINGS
RADIAL PEEK BEARINGS
ROD END BEARINGS
SELF ALIGNING BEARINGS
SELF ALIGNING FULL CERAMIC BEARINGS
TAPERED ROLLER BEARINGS
THRUST BEARINGS</t>
  </si>
  <si>
    <t>https://www.ezo-usa.com/</t>
  </si>
  <si>
    <t>EZO PRECISION BALL BEARINGS</t>
  </si>
  <si>
    <t>METRIC SERIES BEARINGS
INCH SERIES BEARINGS
EXTRA THIN METRIC SERIES BEARINGS
STAINLESS SERIES BEARINGS
EXTRA THIN SERIES INCH BEARINGS
THRUST SERIES BEARINGS
INCH SERIES EXTENDED INNER RING BEARINGS</t>
  </si>
  <si>
    <t>https://www.nationalprecision.com/</t>
  </si>
  <si>
    <t>Mechatronics dba National Precision Bearing</t>
  </si>
  <si>
    <t>AEROSPACE BEARING TOOLS
AIRFRAME CONTROL BEARINGS
BALL BEARINGS
BALL TRANSFERS
BUSHINGS
CAM FOLLOWERS
CUSTOM AND SPECIAL PRODUCTS
LINEAR BEARINGS
MACHINE TOOL SPINDLE BEARINGS
MINIATURE BEARINGS
MOUNTED UNITS AND INSERTS
NEEDLE BEARINGS
PLASTIC BUSHINGS
ROD END BEARINGS
ROLLER BEARINGS
SEALS
SLEWING RINGS
SPHERICAL PLAIN BEARINGS
THIN SECTION BEARINGS
THRUST BEARINGS
V GROOVE BEARINGS
SEARCH HERE FOR PRODUCT INFORMATION
VIEW OUR LIBRARY OF PRODUCT CATALOGS</t>
  </si>
  <si>
    <t>http://www.mic-inc.net/</t>
  </si>
  <si>
    <t>MINIATURE INSTRUMENT COMPONENT</t>
  </si>
  <si>
    <t>ROLLER BEARINGS
BRONZE BEARINGS
NEEDLE BEARINGS
PRECISION BEARINGS
ELECTRIC MOTOR BEARINGS
ANGULAR CONTACT BEARINGS
AIRCRAFT BEARINGS MS &amp; NAS
RADIAL BALL BEARINGS, SHIELDED &amp; SEALED
MINIATURE INSTRUMENT BEARINGS/HIGH PRECISION
BALLS
GEARS
PULLEYS
SHAFTING
ROD ENDS
COUPLINGS
GYRO BEARINGS
CAM FOLLOWERS
THRUST BEARINGS</t>
  </si>
  <si>
    <t>https://www.ellsworth.com.au/</t>
  </si>
  <si>
    <t>ELLSWORTH ADHESIVES</t>
  </si>
  <si>
    <t>ADHESIVES
CONFORMAL COATINGS
ENCAPSULANTS
LABELING PRINTING AND INKS
DISPENSING EQUIPMENT AND SUPPLIES
LUBRICANT PRODUCTS
MAINTENANCE REPAIR PRODUCTS
SEALANTS
STATIC CONTROL MATERIALS AND EQUIPMENT
SOLDERING MATERIALS AND EQUIPMENT
SURFACE PREPARATION MATERIALS
THERMALLY CONDUCTIVE MATERIALS
TAPES
UV CURING EQUIPMENT
SPECIALTY CHEMICALS
3M
DOW
ARMSTRONG EPOXY
BOSTIK
CAST-COAT
HENKEL LOCTITE
CYTEC
DYMAX
ECLECTIC
FISNAR
FLUID RESEARCH
GLUE DOTS
H.B.FULLER
HUMISEAL
KAKUHUNTER
HARDMAN
ITW POLYMERS ADHESIVES
ITW DYNALOY
KITPACKERS</t>
  </si>
  <si>
    <t>https://www.epotek.com/</t>
  </si>
  <si>
    <t>Epoxy Technology Inc.</t>
  </si>
  <si>
    <t>ELECTRICALLY CONDUCTIVE EPOXIES
MEDICAL EPOXIES
OPTICAL EPOXIES
UV AND UV HYBRID EPOXIES
THERMALLY CONDUCTIVE EPOXIES</t>
  </si>
  <si>
    <t>https://krayden.com/</t>
  </si>
  <si>
    <t>K.R. ANDERSON, INC. / KRAYDEN</t>
  </si>
  <si>
    <t>SHOP BY BRANDS 
DOW
HENKEL
ALPHA
HUMISEAL
HUNTSMAN
3M
HB FULLER
ITW
DUPONT
NORTHERN COMPOSITES
DYMAX
ELANTAS
PARKERLORD
SIKA
BOSTIK
CAMIE
CHEMETALL
COX
KANEKA
MICROCARE
NORDSON
PERMABOND
RESIN DESIGNS
SULZER
TECHCON
TECHSPRAY
VANTAGE
ZIP-CHEM
ADHESIVES
DISPENSING EQUIPMENT
ENCAPSULANTS
FILMS
FOAMS &amp; PADS
LUBRICANTS
PAINTS &amp; COATINGS
SEALANTS
SOLDER MATERIALS
SURFACE PREP
TAPES
THERMAL MANAGEMENT</t>
  </si>
  <si>
    <t>https://www.infinitybond.com/</t>
  </si>
  <si>
    <t>InfinityBond.com</t>
  </si>
  <si>
    <t>ADHESIVES
BULK HOT MELT
CYANOACRYLATES
EPOXY
GLUE SPOTS
GLUE STICKS
METHACRYLATES
PUR
SPECIALTY ADHESIVES
SPRAY ADHESIVE TANKS
URETHANES
DISPENSING EQUIPMENT
BULK EQUIPMENT
GLUE GUNS
PUR APPLICATORS
SPECIALTY KITS</t>
  </si>
  <si>
    <t>https://krayden.com/home</t>
  </si>
  <si>
    <t>Krayden</t>
  </si>
  <si>
    <t>FRANCE</t>
  </si>
  <si>
    <t>Lindy Australia Pty Ltd</t>
  </si>
  <si>
    <t>http://www.cableconn.com/</t>
  </si>
  <si>
    <t>CableConn</t>
  </si>
  <si>
    <t>CABLES
CUSTOM CABLE ASSEMBLY &amp; WIRE HARNESSES
COAX
ELECTROMECHANICAL BOX BUILDS
POTTING &amp; MOLDING
IN-HOUSE FIXTURES AND MOLDS
CABLE ASSEMBLY TOOLING</t>
  </si>
  <si>
    <t>https://www.cicoil.com/</t>
  </si>
  <si>
    <t>Cicoil, LLC</t>
  </si>
  <si>
    <t>CABLES
FLAT CABLES
MOTION CONTROL CABLES
HI-FLEX SHIELDED SIGNAL CABLE
HI-FLEX MOTOR POWER CABLE
EZ-FLEXX™ MOTION SERIES PLUS
MOTION SERIES PLUS CABLE
MOTION SERIES CABLE
DATA &amp; VIDEO CABLES
FIREWIRE CABLE
FLEXIBLE COAXIAL CABLES
USB CABLE
CONTROLLED IMPEDANCE CABLE
CAMERA LINK® CABLE
CAT 5E ETHERNET CABLE
CAT 6A ETHERNET CABLE
HDMI CABLE
UNSHIELDED CABLES
FLEXX-SIL™ HI-TEMP FESTOON CABLE
HI-FLEX, HI-TEMP IDC RIBBON CABLE
ULTRA FLEXIBLE MICRO IDC RIBBON CABLE
HI-FLEX UNSHIELDED CABLE
THERMOCOUPLE CABLE
HI-FLEX UNSHIELDED SINGLE CONDUCTOR CABLE
CABLE ASSEMBLIES
CUSTOM CABLE GALLERY</t>
  </si>
  <si>
    <t>https://www.datapro.net/</t>
  </si>
  <si>
    <t>DataPro International Inc</t>
  </si>
  <si>
    <t>CABLES
ENCLOSURES
PANEL-MOUNT COMPONENTS
PANEL-MOUNT CABLES
PANEL-MOUNT COUPLERS
IP-RATED RUGGED CABLES
CABLES
USB CABLES
VIDEO CABLES
AUDIO CABLES
POWER CABLES
NETWORKING
SERIAL &amp; PARALLEL
FIBER OPTIC
LEGACY CABLES
PELICAN CASES
CASE PANELS
CASE ACCESSORIES
NANUK &amp; SKB
CUSTOM ENCLOSURES
CUSTOM RACK MOUNT
CUSTOM CABLES
MACHINING SERVICES</t>
  </si>
  <si>
    <t>Distributor only</t>
  </si>
  <si>
    <t>https://www.ddhent.com/</t>
  </si>
  <si>
    <t>DDH ENTERPRISE, INC.</t>
  </si>
  <si>
    <t xml:space="preserve">BOX BUILD / ELECTRO-MECHANICAL CABLE ASSEMBLY 
DDH COAXIAL RF CABLE ASSEMBLIES 
POWER DISTRIBUTION UNITS 
SPECIALTY HARNESS ASSEMBLIES 
DDH LARGE WIRE HARNESS MANUFACTURING 
DDH CABLE WIRE HARNESS MANUFACTURER 
DDH FLAT RIBBON IDC FLATFLEX MANUFACTURING 
DDH CUSTOM INJECTION OVERMOLDING POTTING 
CUSTOM INJECTION OVERMOLDING &amp; POTTING 
DDH MILITARY WIRE HARNESSES AND CABLES 
MIL/AIR WIRE HARNESSES &amp; CABLES 
DDH MEDICAL CABLE MANUFACTURING	
MEDICAL CABLES 
DDH FAN ASSEMBLIES 
FAN ASSEMBLIES 
DDH CUSTOM POWER CORDS 
CUSTOM POWER CORDS </t>
  </si>
  <si>
    <t>https://www.hewtech.co.jp/</t>
  </si>
  <si>
    <t>Hirakawa Hewtech Corp.</t>
  </si>
  <si>
    <t>CABLES,DATA TRANSMISSION CABLES OEM, DIGITAL ELECTRONICS CABLES, NETWORK CABLES
HIGH-FREQUENCY COAXIAL CABLES
HIGH SPEED CABLES
SUPER FINE COAXIAL CABLES
INTERFACE CABLES
FACTORY AUTOMATION CABLES
BROADCAST CABLES &amp;
OPTICAL FIBERCABLE
UL,CSA STANDARD ELECTRIC
WIRES AND CABLES
POWER CORDS AND
POWER SUPPLY COMPONENTS
TUBES
HARNESS
OPTICAL CONVERTERS
NETWORK EQUIPMENT
OPTICAL CAMERA CABLES
AC NORMAL CHARGER FOR EV/PHEV</t>
  </si>
  <si>
    <t>Japan</t>
  </si>
  <si>
    <t>https://www.interpower.com/</t>
  </si>
  <si>
    <t>Interpower Corporation</t>
  </si>
  <si>
    <t>CABLES
NORTH AMERICAN &amp;
INTERNATIONAL CORDS
-ACCESSORIES FOR NORTH AMERICAN &amp; INTERNATIONAL POWER CORDS
--FERRITES
--FERRULES
-NORTH AMERICAN POWER CORDS
&amp; CORD SETS
-INTERNATIONAL POWER CORDS
&amp; CORD SETS
PLUGS, SOCKETS, &amp; CONNECTORS
-NORTH AMERICAN
NEMA CONFIGURATIONS
-PLUG &amp; SOCKET ACCESSORIES
HIGH POWER PIN &amp; SLEEVE DEVICES
CABLE
-CABLE ACCESSORIES
STRAIN RELIEFS
TERMINAL BLOCKS
IEC 60320 PRODUCTS
POWER ENTRY MODULES
-POWER ENTRY MODULE ACCESSORIES
ACCESSORY POWER
SWITCHES &amp; VOLTAGE SELECTORS
CIRCUIT BREAKERS
FUSES &amp; FUSE HOLDERS
-NORTH AMERICAN 1/4 X 1 1/4 FUSES
-INTERNATIONAL 5 X 20MM FUSES
SOCKET STRIPS
HOSPITAL-GRADE PRODUCTS
TESTING &amp; SAFETY EQUIPMENT</t>
  </si>
  <si>
    <t>https://mki.com.au/</t>
  </si>
  <si>
    <t>Markerry Industries Pty. Ltd.</t>
  </si>
  <si>
    <t>CABLES, CUSTOM CABLE WIRE ASSEMBLY
MIL-SPEC CABLE HARNESSES
MULTI-BRANCH CABLE HARNESS ASSEMBLY
CURL CORD MANUFACTURE
OPEN LOOM ASSEMBLY
MOULDED CABLES
PANEL WIRING
HIGH RELIABILITY SOLDERING (IPC-620-A STANDARD)
SEMI RIGID COAX CABLES
CABLE PROTOTYPING
CABLE HARNESS REPAIRS
CABLE ASSEMBLY MODIFICATIONS
COAXIAL CABLES
MIL SPEC CONNECTOR ASSEMBLY
MULTI BRANCH HARNESS
OVER-MOULDING
POTTING
HARNESS DESIGN
IPC-620A
SOLDERING
BATTERY CABLES
AUTOMATED CUT &amp; STRIP (70SQM)
CAPABILITIES
RIBBON CABLES
INSULATION DISPLACEMENT CONNECTION (IDC)
SUBMINATURE D-CONNECTOR ASSEMBLY
CURL CORDS
MAINS LEADS
TESTING
CABLE LACING
CABLE LAYING
BOX BUILD
WIRING ENCLOSURES</t>
  </si>
  <si>
    <t>Wire harness and cable assemblies</t>
  </si>
  <si>
    <t>Markerry Industries-AUD</t>
  </si>
  <si>
    <t>Markerry Industries-USD</t>
  </si>
  <si>
    <t>https://emsindustry.com.my/</t>
  </si>
  <si>
    <t>Markerry Manufacturing SDN BHD</t>
  </si>
  <si>
    <t>MALAYSIA</t>
  </si>
  <si>
    <t>Plastic insulated wires, cable and process thereof, plastic insulated tube, optical cables</t>
  </si>
  <si>
    <t>https://www.newnex.com/</t>
  </si>
  <si>
    <t>Newnex Technology Corp</t>
  </si>
  <si>
    <t>USB-C CABLES
USB ACTIVE CABLES
USB REPEATERS &amp; HUBS
USB 3.0 CABLES
USB 2.0 CABLES
FIREWIRE PROTECTION
CONNECTORS
CUSTOM CABLES HARNESS</t>
  </si>
  <si>
    <t>https://www.slkcorp.com/</t>
  </si>
  <si>
    <t>Shenzhen Superlink Technology LTD.</t>
  </si>
  <si>
    <t>RF CONNECTOR &amp; ADAPTERS
RF PROBE
TEST CABLES
HIGH POWER PRODUCTS
CABLE ASSEMBLIES
POWER / SIGNAL CONNECTORS
COAXIAL CABLE
TRANSIENT EM PULSE PROTECTION
RF PASSIVE COMPONENT
SPC PRECISION TEST CABLE ASSEMBLIES
VNA PRECISION TEST CABLE ASSEMBLIES</t>
  </si>
  <si>
    <t>http://en.szyoursun.com/</t>
  </si>
  <si>
    <t>SHENZHEN ZUOSHEN Electronic Co;Ltd</t>
  </si>
  <si>
    <t>CABLES ASSEMBLIES
WIRE HARNESS
PRESSING SERIES
CRIMP SERIES
WELDING SERIES
HARNESS SERIES</t>
  </si>
  <si>
    <t>https://anaheimwire.online/</t>
  </si>
  <si>
    <t>ANAHEIM WIRE, INC.</t>
  </si>
  <si>
    <t>BRANDS AUTOMOTIVE WIRE BOAT CABLE
BUILDING WIRE 
COAXIAL CABLE
DATA COMMUNICATION CABLE 
COMPUTER CABLE 
CONNECTORS &amp; ELECTRICAL SUPPLIES 
HIGH TEMPERATURE WIRE 
HOOK UP WIRE 
LEAD WIRE 
MAGNET WIRE 
ROPE WIRE
MILITARY SPEC WIRE 
MULTI CONDUCTORPLENUM WIRE
POWER CABLE &amp; PORTABLE CORDAGE 
PTFE TEFLON® WIRE 
SIS CABLE
THERMOSTAT WIRE
TRAY CABLE
UTILITY CABLE</t>
  </si>
  <si>
    <t>https://www.usbfirewire.com/</t>
  </si>
  <si>
    <t>USB FIREWIRE.COM</t>
  </si>
  <si>
    <t xml:space="preserve">USB CABLES
TOP USB 2 CATEGORIES
CABLES
REPEATERS
WATERPROOF
RUGGED
GENDER CHANGERS
ACCESSORIES
ON-THE-GO / OTG
HUBS
CUSTOMIZABLE
TOP USB 3 CATEGORIES
USB CABLES
USB HUBS / REPEATERS
USB WATERPROOF
USB A TO C
USB C TO C
USB C EXTENSIONS
FIREWIRE CABLES
HDMI CABLES
</t>
  </si>
  <si>
    <t>http://www.zszhenfu.com/</t>
  </si>
  <si>
    <t>Zhongshan Zhenfu Electronics Co. Ltd</t>
  </si>
  <si>
    <t>HDMI CABLE
DVI CABLE
DISPLAYPORT CABLE
DIGITAL AUDIO FIBER OPTICAL CABLE
USB &amp; FIRE CABLE
USB 3.0 CABLE
FLAT SERIES
TYPE C CABLE
RCA CABLE
HDMI SPLITTER&amp;SWITCH
3.5MM STEREO AUX CABLE
VGA CABLE
COAXIAL CABLE
POWER CABLE
HUB</t>
  </si>
  <si>
    <t>http://www.cmti.com.sg/</t>
  </si>
  <si>
    <t>CMTI Pte Ltd</t>
  </si>
  <si>
    <t>CABLES 
HARNESS
CUSTOM MEDICAL CABLES
CUSTOM AUTOMOTIVE CABLES HARNESS
CUSTOM AVIATION CABLES HARNESS</t>
  </si>
  <si>
    <t>http://www.manca.hk/</t>
  </si>
  <si>
    <t>Manca Limited</t>
  </si>
  <si>
    <t>CABLES
CABLE SYSTEM
CUSTOM POWER SOLUTIONS
AC PLUG &amp; CONNECTOR - ACP
AUTOMOTIVE EQUIPMENT - AUTO
DC PLUG &amp; CONNECTOR - DCP
KEYBOARD / MOUSE SIGNAL- MINI DIN
DIGITAL DISPLAY PRODUCT - DVI
DIGITAL AUDIO/ VIDEO DEVICE - HDMI
DATA STORAGE/ DIGITAL VIDEO - 1394
COMPUTER NETWORK SYSTEM - LAN
TELECOM/ WIRELESS NETWORK- RF
HARD DISKS/ OPTICAL DRIVE - SATA
COMPUTER PERIPHERAL DEVICES - SCSI
HANDHELD PORTABLE DEVICE - USB
VIDEO GRAPHIC DISPLAY - VGA</t>
  </si>
  <si>
    <t>HONG KONG</t>
  </si>
  <si>
    <t>Email re ISO 9001 sent on 11 Jul 2022 (follow up on July 19)
13Aug2021: Emailed SE form.</t>
  </si>
  <si>
    <t>https://telemeter.eu/</t>
  </si>
  <si>
    <t>Telemeter Electronic GMBH</t>
  </si>
  <si>
    <t>FLEXIBLE HEATERS
PTFE-CABLES
RF SWITCHES &amp; RELAIS
RF CHAMBERS
RF FILTER</t>
  </si>
  <si>
    <t>GERMANY</t>
  </si>
  <si>
    <t>https://www.thermtrol.com/</t>
  </si>
  <si>
    <t>THERMTROL</t>
  </si>
  <si>
    <t>CABLES ASSEMBLIES
WIRE HARNESS
THERMAL CONTROOL
CUSTOM CABLE ASSEMBLIES</t>
  </si>
  <si>
    <t>https://www.pelican.com/</t>
  </si>
  <si>
    <t>Pelican Products Pty Ltd</t>
  </si>
  <si>
    <t>CASES, COOLERS, TORCHES</t>
  </si>
  <si>
    <t>One off payment (Donation | Bollywood)</t>
  </si>
  <si>
    <t>https://www.ortechceramics.com/</t>
  </si>
  <si>
    <t>Ortech Inc (US)</t>
  </si>
  <si>
    <t>CERAMIC PRODUCTS</t>
  </si>
  <si>
    <t>CERAMIC TUBES &amp; RODS
CERAMIC_BEARINGS
CERAMIC BEARINGS
CERAMIC_BALLS
CERAMIC BALL BEARING
CERAMIC_SCREWS
CERAMIC SCREWS
CERAMIC OEM</t>
  </si>
  <si>
    <t>Restricted due to distributor only. Distributor for Reell products, ISO certificate is for Reell.</t>
  </si>
  <si>
    <t>Liver Foundation Limited</t>
  </si>
  <si>
    <t>http://www.barsleaks.com.au/</t>
  </si>
  <si>
    <t>Bar's Leaks Australia LP</t>
  </si>
  <si>
    <t>CHEM SUPPLIES</t>
  </si>
  <si>
    <t>CHEM SUPPLIES,RUST REMOVER, RADIATOR COOLING, CAR FLUIDS</t>
  </si>
  <si>
    <t>Research institute</t>
  </si>
  <si>
    <t>http://australianbiostain.com.au/</t>
  </si>
  <si>
    <t>Australian Biostain Pty Ltd</t>
  </si>
  <si>
    <t>CHEM SUPPLIES,PATHOLOGY, LIFE SCIENCE, MEDICAL</t>
  </si>
  <si>
    <t>equipment/toll for clean room</t>
  </si>
  <si>
    <t>https://www.indianabiosciences.org/</t>
  </si>
  <si>
    <t>Indiana Biosciences Research Institute Inc.</t>
  </si>
  <si>
    <t>CHEM SUPPLIES,BIOINFORMATICS
CELLULAR PHARMACOLOGY
COMPUTATIONAL CHEMISTRY
DRUG DISCOVERY
MEDICINAL CHEMISTRY
PROTEIN THERAPEUTICS</t>
  </si>
  <si>
    <t xml:space="preserve">Cleanroom and Biological Safety Cabinet testing to AS/ISO standard. </t>
  </si>
  <si>
    <t>http://www.cleanroomdevices.com/</t>
  </si>
  <si>
    <t>Clean Room Devices Inc</t>
  </si>
  <si>
    <t>CLEAN ROOM EQUIPMENT &amp; CONSUMABLES</t>
  </si>
  <si>
    <t>CLEAN ROOM EQUIPMENT,CLEAN ROOM TUBING CUTTERS, CLEAN ROOM FITTING INSERTERS, CLEAN ROOM TUBING EXPANDERS, CLEAN ROOM PASS-THROUGH WINDOWS</t>
  </si>
  <si>
    <t>https://laftech.com.au/</t>
  </si>
  <si>
    <t>LAF Technologies Pty Ltd</t>
  </si>
  <si>
    <t>CLEAN ROOM EQUIPMENT
ANAEROBIC WORKSTATION
HYDROGEN PEROXIDE DECONTAMINATION EQUIPMENT
CLEANROOM &amp; FACILITY MONITORING
CONTAMINATION CONTROL EQUIPMENT
CHEMICAL &amp; POWDER SAFE HANDLING
FILTERS &amp; FILTER TESTING
FORENSIC EQUIPMENT
INDOOR AIR QUALITY
LABORATORY COLD STORAGE
LABORATORY EQUIPMENT
PARTICLE RESEARCH INSTRUMENTS
UV-C DISINFECTION SYSTEMS &amp; DEVICES</t>
  </si>
  <si>
    <t>Yes  no expiry</t>
  </si>
  <si>
    <t>AIM standards</t>
  </si>
  <si>
    <t>https://soyee.com.au/</t>
  </si>
  <si>
    <t>Soyee Australia Pty Ltd</t>
  </si>
  <si>
    <t>CLEAN ROOM CONSUMABLES
CLEANROOM CONSUMABLE PRODUCTS
SAKURAIÂ® LINT FREE POLYESTER CLEANROOM WIPES, 
SAKURAIÂ® POLYCELLULOSE WIPES, 
ISOPROPYL ALCOHOL (IPA) PRESATURATED WIPES, 
BEMCOTTM WIPERS, 
PURIWIPEÂ® CLEANROOM SWABS, 
CLEANROOM STATIONERY
NEWCLEANÂ® STICKY MATS.</t>
  </si>
  <si>
    <t>Precision machine shop, painting, and assembly &amp; testing</t>
  </si>
  <si>
    <t>https://www.aimmachines.com/</t>
  </si>
  <si>
    <t>AIM Inc</t>
  </si>
  <si>
    <t>CNC MACHINES</t>
  </si>
  <si>
    <t>CNC MACHINES,WIRE BENDING CNC, CNC MACHINES</t>
  </si>
  <si>
    <t>http://www.anca.com/</t>
  </si>
  <si>
    <t>ANCA Engineering</t>
  </si>
  <si>
    <t>CNC MACHINES,CNC MACHINES</t>
  </si>
  <si>
    <t>https://www.dimac.com.au/</t>
  </si>
  <si>
    <t>Dimac Tooling Pty Ltd</t>
  </si>
  <si>
    <t>CNC MACHINES,CNC, FEEDERS, TOOL SETTERS, JAWS, MILLING MACHINES</t>
  </si>
  <si>
    <t>Regulatory Authority (TGA)</t>
  </si>
  <si>
    <t>https://cn-en.messer-cutting.com/</t>
  </si>
  <si>
    <t>MESSER CUTTING SYSTEMS CHINA</t>
  </si>
  <si>
    <t>Authorised Representative for Europe - In country representation, consulting services.</t>
  </si>
  <si>
    <t>http://www.dansmachinetoolinc.com/index.html</t>
  </si>
  <si>
    <t>Dan's Machine Tool Inc.</t>
  </si>
  <si>
    <t>https://www.tga.gov.au/</t>
  </si>
  <si>
    <t>Department of Health Therapeutic Goods Admin</t>
  </si>
  <si>
    <t>COMPLIANCE</t>
  </si>
  <si>
    <t>COMPLIANCE,THERAPEUTIC PRODUCTS REGULATORS</t>
  </si>
  <si>
    <t>Representation and regulatory complaince management, EU Importer / AR for PI</t>
  </si>
  <si>
    <t>MMRC Pty Ltd</t>
  </si>
  <si>
    <t>6Mar2018: Restricted due to Distributor only. Certificate available for manufacturer "FG clean wipes'</t>
  </si>
  <si>
    <t>https://www.emergobyul.com/</t>
  </si>
  <si>
    <t>Emergo Europe BV</t>
  </si>
  <si>
    <t>COMPLIANCE,REGULATORY COMPLAINCE, MARKET ACCESS, IVD COMPLIANCE, HUMAN DESIGN RESEARCH &amp;  DESIGN, PROVACY &amp; SECURITY SERVICES</t>
  </si>
  <si>
    <t>NETHERLANDS</t>
  </si>
  <si>
    <t>Emergo Global Consulting</t>
  </si>
  <si>
    <t>https://medenvoyglobal.com/</t>
  </si>
  <si>
    <t>MedEnvoy</t>
  </si>
  <si>
    <t>https://www.prmech.com/</t>
  </si>
  <si>
    <t>PACIFIC RIM MECHANICAL</t>
  </si>
  <si>
    <t>CONSTRUCTIONS</t>
  </si>
  <si>
    <t>https://www.ramconstruction-us.com/</t>
  </si>
  <si>
    <t>Renault and Moran Construction LLC. ( RAM)</t>
  </si>
  <si>
    <t>https://www.teequipment.com/</t>
  </si>
  <si>
    <t>TE Equipment , LLC</t>
  </si>
  <si>
    <t>01Sep2020: Professional Services/ Consultant</t>
  </si>
  <si>
    <t>20Aug2020: Professional Services/ Consultant</t>
  </si>
  <si>
    <t>DKSH Australia Pty Ltd</t>
  </si>
  <si>
    <t>Tami R Crabtree</t>
  </si>
  <si>
    <t>https://www.jbhifi.com.au/</t>
  </si>
  <si>
    <t>JB Hi-Fi Group Pty Ltd</t>
  </si>
  <si>
    <t>CONSUMER ELECTRONICS</t>
  </si>
  <si>
    <t>Container hire to store obsolete parts and products</t>
  </si>
  <si>
    <t>https://www.sunvalleytek.com/</t>
  </si>
  <si>
    <t>Sunvalley (HK) Limited</t>
  </si>
  <si>
    <t>AUDIO SPEAKERS, SECURITY CAMERAS SOUND SYSTEMS</t>
  </si>
  <si>
    <t>PIPL Only for Project Rhoid</t>
  </si>
  <si>
    <t>Telstra Store Brunswick</t>
  </si>
  <si>
    <t>Supplier for document destruction (Corporate/ Shared services)</t>
  </si>
  <si>
    <t>https://www.royalwolf.com.au/</t>
  </si>
  <si>
    <t>United Rentals Australia Pty Ltd (T/A Royal Wolf Containers)</t>
  </si>
  <si>
    <t>CONTAINER RENTAL</t>
  </si>
  <si>
    <t>https://www.shredit.com.au/</t>
  </si>
  <si>
    <t>Corporate Document Destruction</t>
  </si>
  <si>
    <t>CORP SERVICES</t>
  </si>
  <si>
    <t>CORP SERVICES,DOCUMENT DESTRUCTION, SHREDDING, HARD DRIVE DESTRUCTION</t>
  </si>
  <si>
    <t>https://www.glocom.com/en</t>
  </si>
  <si>
    <t>Glocom Marketing Pte Ltd</t>
  </si>
  <si>
    <t>DESIGN</t>
  </si>
  <si>
    <t>STAMPING, METAL STAMPING, METAL PRESSING, EMI SHIELDING COMPONENTS, BRISTLE AND FELTED MATERIALS, MESH FILTERS, ELASTOMERS AND THERMOSETS, CUSTOMISED DIE CUTS AND ROBOTIC DISPENSED GASKETS, METAL CERAMIC, METAL INJECTION MOULDING MIM AND CIM</t>
  </si>
  <si>
    <t>http://www.kingdom.com.hk/</t>
  </si>
  <si>
    <t>Kingdom Precision Product (Suzhou) Ltd</t>
  </si>
  <si>
    <t>For 594-GenX 6 channel thermoelectric controller</t>
  </si>
  <si>
    <t>http://www.acclaimelectronics.com/</t>
  </si>
  <si>
    <t>ACCLAIM ELECTRONICS</t>
  </si>
  <si>
    <t>DESIGN SERVICES</t>
  </si>
  <si>
    <t xml:space="preserve">ELECTRONICS </t>
  </si>
  <si>
    <t>https://apc-vest.com/</t>
  </si>
  <si>
    <t>Advance Products Corporation Pte Ltd</t>
  </si>
  <si>
    <t>DESIGN,EMBEDDED SOLUTIONS, SYSTEM ON MODULES, SINGLE BOARD COMPUTERS, COULD MANAGEMENT SOLUTIONS, TEC CONTROLLERS, TEC ASSEMBLIES, MOTION CONTROL BOARDS, VIO, SYRINGE PUMPS, ILLUMINATION MODULES</t>
  </si>
  <si>
    <t>https://american-design.net/</t>
  </si>
  <si>
    <t>AMERICAN DESIGN, INC.</t>
  </si>
  <si>
    <t>Provide services for software development and regulatory compliance</t>
  </si>
  <si>
    <t>https://amsde.com/</t>
  </si>
  <si>
    <t>Ameritec Business Systems</t>
  </si>
  <si>
    <t>http://www.boschrexroth.com.au/</t>
  </si>
  <si>
    <t>Bosch Rexroth Pty Ltd</t>
  </si>
  <si>
    <t>DESIGN,ENGINEERING SERVICES</t>
  </si>
  <si>
    <t>http://www.braemac.com/</t>
  </si>
  <si>
    <t>Braemac</t>
  </si>
  <si>
    <t>DESIGN,ELECTRONICS PRODUCTS</t>
  </si>
  <si>
    <t>Supplies precision Linear rails and carriages.</t>
  </si>
  <si>
    <t>https://eriks.com/</t>
  </si>
  <si>
    <t>Eriks B.V.</t>
  </si>
  <si>
    <t>DESIGN,INDUSTRIAL DESIGN SERVICES</t>
  </si>
  <si>
    <t>https://hawkridgesys.com/</t>
  </si>
  <si>
    <t>HAWK RIDGE SYSTEMS, LLC</t>
  </si>
  <si>
    <t>12Aug2020: PI only - consultant</t>
  </si>
  <si>
    <t>https://www.steca.com/</t>
  </si>
  <si>
    <t>Katek Memmingen GmbH/Steca</t>
  </si>
  <si>
    <t>Consulting services related to product environmental compliance</t>
  </si>
  <si>
    <t>https://nelson-miller.com/</t>
  </si>
  <si>
    <t>NELSON-MILLER, INC.</t>
  </si>
  <si>
    <t>Supplier to provide regulatory or registration support of a new IVD product in Japan</t>
  </si>
  <si>
    <t>https://tci-mfg.com/</t>
  </si>
  <si>
    <t>TCI MANUFACTURING, INC. (US)</t>
  </si>
  <si>
    <t>https://www.beanstockventures.com/</t>
  </si>
  <si>
    <t>BeanStock Ventures</t>
  </si>
  <si>
    <t>DESIGN,SYSTEM ENGINEERING, SOFTWARE PRODUCT DEVELOPMENT, HUMAN FACTOR UX, REGULATORY COMPLIANCE, REMEDIATION</t>
  </si>
  <si>
    <t>https://www.bit-group.com/</t>
  </si>
  <si>
    <t>BIT Analytical Instruments GmbH</t>
  </si>
  <si>
    <t>https://itboost.com.au/</t>
  </si>
  <si>
    <t>Boost Design Pty Ltd</t>
  </si>
  <si>
    <t>DESIGN,WEBSITE DESIGN</t>
  </si>
  <si>
    <t>http://co-dzyn.com/</t>
  </si>
  <si>
    <t>Co-Dzyn</t>
  </si>
  <si>
    <t>DESIGN,MEDICAL DESIGN, SOFTWARE MEDICAL DESIGN, ELECTRONICS DESIGN</t>
  </si>
  <si>
    <t>https://www.designchainassociates.com/</t>
  </si>
  <si>
    <t>Design Chain Associates</t>
  </si>
  <si>
    <t>DESIGN,ENVIRONMENTAL CONSULTANCY, PRODUCT LIFECYCLE, SUPPLY CHAIN</t>
  </si>
  <si>
    <t>https://www.ep-mediate.co.jp/</t>
  </si>
  <si>
    <t>EP Mediate</t>
  </si>
  <si>
    <t>DESIGN,MEDICAL DEVICE DEVELOPMENT SUPPORT BUSINESS, IFD DEVELOPMENT, LABORATORY BUSINESS</t>
  </si>
  <si>
    <t>JAPAN</t>
  </si>
  <si>
    <t>Assist in importing motors from Nanotec</t>
  </si>
  <si>
    <t>http://www.imtechdesign.com/</t>
  </si>
  <si>
    <t>Imtech Design Ltd</t>
  </si>
  <si>
    <t>DESIGN,INJECTION MOUNDING CONSULTANTS, MOLDFLOW  SIMULATIONS</t>
  </si>
  <si>
    <t>https://lpadesignstudios.com/</t>
  </si>
  <si>
    <t>LPA Inc.</t>
  </si>
  <si>
    <t>For 582- Bootcamp</t>
  </si>
  <si>
    <t>https://www.orainic.com/</t>
  </si>
  <si>
    <t>Orainic Pty Ltd</t>
  </si>
  <si>
    <t>http://www.palmequipment.com/</t>
  </si>
  <si>
    <t>Palm Technology</t>
  </si>
  <si>
    <t>TAIWAN</t>
  </si>
  <si>
    <t>https://www.promepla.com/</t>
  </si>
  <si>
    <t>Promepla</t>
  </si>
  <si>
    <t>DESIGN,MEDICAL PRODUCTS DESIGN</t>
  </si>
  <si>
    <t>MONACO</t>
  </si>
  <si>
    <t>Commercial consulting services</t>
  </si>
  <si>
    <t>https://www.rapid-electronics.com.au/</t>
  </si>
  <si>
    <t>Rapid Electronic Solutions</t>
  </si>
  <si>
    <t>DESIGN,ELECTRONICS DESIGN</t>
  </si>
  <si>
    <t>https://www.gener8.net/</t>
  </si>
  <si>
    <t>Symbient Product Development</t>
  </si>
  <si>
    <t>https://www.syneoshealth.com/</t>
  </si>
  <si>
    <t>Syneos Health, LLC</t>
  </si>
  <si>
    <t>Consultant for project 586 - Sonic</t>
  </si>
  <si>
    <t>https://www.tk1sc.com/</t>
  </si>
  <si>
    <t>TK1SC</t>
  </si>
  <si>
    <t>https://www.ultrasonicadvisors.com/</t>
  </si>
  <si>
    <t>Ultrasonic Advisors LLC</t>
  </si>
  <si>
    <t>https://xproduct.com.au/</t>
  </si>
  <si>
    <t>X-Product</t>
  </si>
  <si>
    <t>https://www.sddiecutting.com/</t>
  </si>
  <si>
    <t>SAN DIEGO DIE CUTTING, INC.</t>
  </si>
  <si>
    <t xml:space="preserve">GRAPHIC FINISHING, DIE CUT INDUSTRIAL COMPONENTS, FOLDING CARTONS, CUSTOM DISPLAYS, STEEL RULE DIES </t>
  </si>
  <si>
    <t>Supplies all kind of metal nameplate &amp; logo
Sent an email re ISO9001 certification on 28/06/22</t>
  </si>
  <si>
    <t>https://able123converting.com/</t>
  </si>
  <si>
    <t>Able Industrial Products, Inc.</t>
  </si>
  <si>
    <t>DIE-CUTTING SERVICES
CLEAN FABRICATION FACILITIES
PRECISION SLITTING
RAPID PROTOTYPING
CUSTOM LAMINATING
HORIZONTAL CUTTING – SKIVING
3D PRINTING
LASER CUTTING
ROUTER / KNIFE CUTTING
WATER-JET CUTTING
CUSTOM PRINTED TAPES
ASSEMBLY &amp; KITTING</t>
  </si>
  <si>
    <t>https://www.cm905.com/</t>
  </si>
  <si>
    <t>Huizhou Weihua Technology Co Ltd</t>
  </si>
  <si>
    <t>DIE CUTTING, ALUMINUM EXTRUSIONS_x000D_
NAMEPLATES_x000D_
METAL DIECUT</t>
  </si>
  <si>
    <t>https://www.modusadvanced.com/</t>
  </si>
  <si>
    <t>MODUS ADVANCED</t>
  </si>
  <si>
    <t>DIE CUTTING
CNC &amp; DIGITAL CUTTING
WATERJET CUTTING
FORM-IN-PLACE DISPENSING
CNC MACHINING
LAMINATING
SLITTING
MOLDING</t>
  </si>
  <si>
    <t>https://www.unitydigitalinfra.com/</t>
  </si>
  <si>
    <t>UNITY DIGITAL INC.</t>
  </si>
  <si>
    <t>DIGITAL INFRASTRUCTURE</t>
  </si>
  <si>
    <t>https://ce.uci.edu/</t>
  </si>
  <si>
    <t>UCI Division of Continuing Ed.</t>
  </si>
  <si>
    <t>EDUCATION</t>
  </si>
  <si>
    <t>http://www.aldora.com.au/</t>
  </si>
  <si>
    <t>Aldora Electric Company</t>
  </si>
  <si>
    <t>ELECTRICAL ENCLOSURES</t>
  </si>
  <si>
    <t>https://www.fuseco.com.au/</t>
  </si>
  <si>
    <t>Freudenberg Sealing Technologies</t>
  </si>
  <si>
    <t>ELECTRICAL PRODUCTS</t>
  </si>
  <si>
    <t xml:space="preserve">SEALING, FUSES _x000D_
UPS _x000D_
POWER QUALITY _x000D_
POWER FACTOR CORRECTION _x000D_
PROTECTION RELAYS _x000D_
PROGRAMMABLE POWER _x000D_
TEST EQUIPMENT _x000D_
EMC CHAMBERS _x000D_
RFI FILTERS _x000D_
</t>
  </si>
  <si>
    <t>https://oceancontrols.com.au/</t>
  </si>
  <si>
    <t>Ocean Controls</t>
  </si>
  <si>
    <t>ARDUINO
CNC
COMMUNICATIONS
COMPUTER PRODUCTS
CONTROLLERS
DATA ACQUISITION
DATA LOGGERS
ELECTRICAL SWITCHES
ELECTRICAL TERMINALS-WIRING
ENCLOSURES
INDUSTRIAL IOT
LARGE DISPLAYS
LIGHTING
MODBUS-BACNET-MBUS PRODUCTS
MOTOR DRIVERS &amp; CONTROLLERS
MOTORS &amp; ACCESSORIES
PANEL METERS
PLCS &amp; HMIS
POWER SUPPLIES
PROTOTYPING
RELAYS &amp; RELAY CARDS
SECURITY
SENSORS
SIGNAL CONDITIONERS
SOFTWARE
TEST EQUIPMENT
TIMERS</t>
  </si>
  <si>
    <t>https://www.wago.com/</t>
  </si>
  <si>
    <t>Wago Pty Ltd</t>
  </si>
  <si>
    <t xml:space="preserve">ELECTRICAL CONNECTORS
Installation Terminal Blocks 
Rail-Mount Terminal Blocks 
Pluggable Connectors 
I/O Systems </t>
  </si>
  <si>
    <t>https://baldyelectric.com/</t>
  </si>
  <si>
    <t>Baldy Electric Inc.</t>
  </si>
  <si>
    <t>ELECTRICAL SERVICES</t>
  </si>
  <si>
    <t>https://www.nationalelectricworks.com/</t>
  </si>
  <si>
    <t>National Electric Works</t>
  </si>
  <si>
    <t>https://vteaustralia.com/</t>
  </si>
  <si>
    <t>VTE Australia Pty Ltd</t>
  </si>
  <si>
    <t>ELECTRICAL TERMINATIONS</t>
  </si>
  <si>
    <t xml:space="preserve">ELECTRICAL TERMINATIONS,ELECTRICAL  </t>
  </si>
  <si>
    <t xml:space="preserve">Distributor: for Wiska products </t>
  </si>
  <si>
    <t>https://labjack.com/</t>
  </si>
  <si>
    <t>LabJack Corporation</t>
  </si>
  <si>
    <t>ELECTRONIC DEVICES</t>
  </si>
  <si>
    <t>ELECTRONIC DEVICES,LABJACK</t>
  </si>
  <si>
    <t>https://www.valuetronics.com/</t>
  </si>
  <si>
    <t>ValueTronics International Inc</t>
  </si>
  <si>
    <t>ELECTRONIC EQUIPMENT</t>
  </si>
  <si>
    <t>ELECTRONIC TESTING</t>
  </si>
  <si>
    <t>https://exing.com.sg/</t>
  </si>
  <si>
    <t>E Xing Precision Design Pte Ltd</t>
  </si>
  <si>
    <t>ELECTRONIC EQUIPMENT,FIXTURES</t>
  </si>
  <si>
    <t>09Nov2020: Change name from Electrical Insulators to VTE</t>
  </si>
  <si>
    <t>https://www.4starelectronics.com/</t>
  </si>
  <si>
    <t>4 Star Electronics, Inc.</t>
  </si>
  <si>
    <t>ELECTRONICS COMPONENTS</t>
  </si>
  <si>
    <t>ELECTRONICS COMPONENTS,OBSOLETE ELECTRONICS COMPONENTS, MIL-SPEC COMPONENTS_x000D_
INDUSTRIAL PARTS_x000D_
MEDICAL PARTS_x000D_
COMMERCIAL PARTS</t>
  </si>
  <si>
    <t>https://www.altronics.com.au/</t>
  </si>
  <si>
    <t>Altronic Distributors Pty Ltd</t>
  </si>
  <si>
    <t>Supplier makes USB, Ethernet, and WIFI based measurement and automation devices which provide analog and digital inputs and outputs.</t>
  </si>
  <si>
    <t>https://www.analogtechnologies.com/</t>
  </si>
  <si>
    <t>Analog Technologies, Inc.</t>
  </si>
  <si>
    <t>ELECTRONICS COMPONENTS,TEC/PELTIER CONTROLLERS,LASER DRIVERS/POWER SUPPLIES &amp; ACCESSORIES,TEC_LASER_CONTROLLER_COMBO,HIGH VOLTAGE AMPLIFIERS,MEDIUM VOLTAGE AMPLIFIERS,HIGH VOLTAGE ISOLATION AMPLIFIERS,HIGH VOLTAGE OPERATIONAL AMPLIFIERS,SWITCHING POWER SUPPLY,ISOLATED DC-DC POWER MODULES,HIGH VOLTAGE POWER SUPPLIES,SMT/SMD COMPONENT KITS,TEC (THERMO-ELECTRIC COOLER) ,MODULES,TEG MODULES,THERMISTORS,GAS DISCHARGE TUBE,VOLTAGE REFERENCES,NOISE MEASUREMENT AMPLIFIERS,VARIABLE RESISTOR/CAPACITOR DECADE BOXES,THERMAL SYSTEM COMPONENTS,TEMPERATURE PLATE SYSTEMS,METAL CERAMIC HEATERS,PIEZO DRIVER MODULES,GENERAL ELECTRONIC PRODUCTS,LED RELATED PRODUCTS,</t>
  </si>
  <si>
    <t>Current in-circuit tester manufactufacturer for Stars Microelectronics.  Hardware fixture supplier only. FLATLAND ONLY</t>
  </si>
  <si>
    <t>https://www.arrow.com/</t>
  </si>
  <si>
    <t>Arrow Electronics Australia Pty Ltd</t>
  </si>
  <si>
    <t>Distributor for Electronic Test &amp; Measurement Equipment</t>
  </si>
  <si>
    <t>RS USA - it's part of RS Group</t>
  </si>
  <si>
    <t>https://www.verical.com/</t>
  </si>
  <si>
    <t>CUI Devices</t>
  </si>
  <si>
    <t>https://www.aeri.com/</t>
  </si>
  <si>
    <t>Aeri</t>
  </si>
  <si>
    <t xml:space="preserve">CAPACITORS_x000D_
INTEGRATED CIRCUITS_x000D_
MILITARY ELECTRONIC COMPONENTS_x000D_
SEMICONDUCTORS_x000D_
CONNECTORS_x000D_
LCDS_x000D_
OBSOLETE DRAM / SRAM MEMORY_x000D_
SOLID STATE DRIVES_x000D_
CRYSTALS_x000D_
MEMORY_x000D_
RELAYS_x000D_
SWITCHES_x000D_
</t>
  </si>
  <si>
    <t>https://us.rs-online.com/</t>
  </si>
  <si>
    <t>ALLIED Elec</t>
  </si>
  <si>
    <t xml:space="preserve">CIRCUIT BREAKERS, FUSES &amp; PROTECTION_x000D_
CONNECTORS_x000D_
ELECTRONIC COMPONENTS_x000D_
ENCLOSURES, RACKS &amp; CABINETS_x000D_
FACILITIES, CLEANING &amp; MAINTENANCE_x000D_
FANS &amp; THERMAL MANAGEMENT_x000D_
INDUSTRIAL CONTROLS_x000D_
INDUSTRIAL DATA COMMUNICATIONS_x000D_
LIGHTING &amp; INDICATION_x000D_
MECHANICAL POWER TRANSMISSION_x000D_
MOTORS &amp; MOTOR CONTROLS_x000D_
PLCS &amp; HMIS_x000D_
PNEUMATICS &amp; FLUID CONTROL_x000D_
POWER PRODUCTS_x000D_
RASPBERRY PI, ARDUINO &amp; DEVELOPMENT TOOLS_x000D_
RELAYS_x000D_
SENSORS_x000D_
SWITCHES_x000D_
TEST &amp; MEASUREMENT_x000D_
TOOLS &amp; HARDWARE_x000D_
WIRE &amp; CABLE_x000D_
</t>
  </si>
  <si>
    <t>Allied Electronics Inc</t>
  </si>
  <si>
    <t>ARROW ELECTRONICS</t>
  </si>
  <si>
    <t>https://www.avnet.com/</t>
  </si>
  <si>
    <t>Avnet Electronics</t>
  </si>
  <si>
    <t>Laser Drive and TEC controller</t>
  </si>
  <si>
    <t>http://www.cseonline.com.au/</t>
  </si>
  <si>
    <t>Clarke &amp; Severn Electronics</t>
  </si>
  <si>
    <t>04Feb2021: ISO9001 certificate expired on 01Feb2021 - Refer to letter on records - Expired certificates are eligible for reinstatement for up to 12 months beyond the expiry date when appended with [IAF-ID3]</t>
  </si>
  <si>
    <t>https://core-electronics.com.au/</t>
  </si>
  <si>
    <t>Core Electronics Pty Ltd</t>
  </si>
  <si>
    <t>ELECTRONICS COMPONENTS,MAKER KITS, RASPBERRY PI, ARDUINO</t>
  </si>
  <si>
    <t>https://estore.heilindasia.com/</t>
  </si>
  <si>
    <t>D.B. ROBERTS COMPANY</t>
  </si>
  <si>
    <t>2SEP2016: Critical purchases restricted to Palm Technology manufactured products. General for all others.</t>
  </si>
  <si>
    <t>https://www.digikey.com.au/</t>
  </si>
  <si>
    <t>DIGI-KEY CORPORATION</t>
  </si>
  <si>
    <t>GLOBAL</t>
  </si>
  <si>
    <t>http://www.gzpneumatic.com.au/</t>
  </si>
  <si>
    <t>Future Electronics</t>
  </si>
  <si>
    <t>25JUN2018: restricted due to being distributor only</t>
  </si>
  <si>
    <t>Digi-Key Corporation (AU)</t>
  </si>
  <si>
    <t>https://www.barumelectronics.com/</t>
  </si>
  <si>
    <t>HK Barum Electronics</t>
  </si>
  <si>
    <t>https://www.kycon.com/</t>
  </si>
  <si>
    <t>Kycon Inc</t>
  </si>
  <si>
    <t>AUDIO JACKS, CARD EDGE, CHIP CARRIER SOCKETS, D-SUBS, DC POWER, HARDWARE, HDMI, IP67, MINI DIN, MODULAR JACKS, USB, CUSTOM CABLES</t>
  </si>
  <si>
    <t>Supplier is distributor only, all parts purchased from Digi-Key considered General unless manufacturer ISO certificate obtained. Digi-key ISO certificate expiry 20-Nov-2023. Current manufacturer certificates Wurth Elektronik expiry 13-Aug-2021 , AlphaWire exp 15-Jun-2021, TE connectivity expiry 30-Nov-2020, Schurter expiry 05-Mar-2023.
www.digikey.com/en/resources/quality</t>
  </si>
  <si>
    <t>https://www.kyocera-avx.com/</t>
  </si>
  <si>
    <t>Kyocera AVX-Advanced Electronic Components</t>
  </si>
  <si>
    <t xml:space="preserve"> INVENTORY SEARCH
 PART NO. SEARCH
ENGLISH
PRODUCTS
WHATS NEW?
ANTENNAS
BROADBAND COMPONENTS
CAPACITORS
CIRCUIT PROTECTION
CONNECTORS
CRYSTAL DEVICES
DIODES
DLA / MIL SPEC
FILTERS
FUSES
HYDROGEN SOLUTIONS
INDUCTORS
MODULES
ENGINEERED THIN FILM SOLUTIONS
RESISTIVE PRODUCTS
RF/MICROWAVE
SAW DEVICES
SENSING &amp; CONTROL
THERMISTORS</t>
  </si>
  <si>
    <t>https://www.littelfuse.com/</t>
  </si>
  <si>
    <t>Littlefuse</t>
  </si>
  <si>
    <t>https://www.electusdistribution.com.au/</t>
  </si>
  <si>
    <t>Electus Distribution Pty Ltd</t>
  </si>
  <si>
    <t>Power, IT, comms, touch displays, tools, interconnect, lighting, security, and cable</t>
  </si>
  <si>
    <t>https://au.element14.com/</t>
  </si>
  <si>
    <t>Element 14 Pty Ltd</t>
  </si>
  <si>
    <t>Distributor only.</t>
  </si>
  <si>
    <t>Heilind Electronics</t>
  </si>
  <si>
    <t>ELECTRONICS COMPONENTS IN ASIA</t>
  </si>
  <si>
    <t xml:space="preserve">Distributor of electronic components. </t>
  </si>
  <si>
    <t>https://www.ltlg.us/</t>
  </si>
  <si>
    <t>LTL Group</t>
  </si>
  <si>
    <t xml:space="preserve">
XILINX	
ON SEMICONDUCTOR
TE CONNECTIVITY
MAXIM INTEGRATED
NXP SEMICONDUCTORS
LINEAR TECHNOLOGY
ANALOG DEVICES (AD)
CYPRESS SEMICONDUCTOR
ST MICROELECTRONICS
INFINEON
BROADCOM
NEXPERIA
MICRON
ALTERA
MONOLITHIC POWER SYSTEMS</t>
  </si>
  <si>
    <t>https://www.masterelectronics.com/en/</t>
  </si>
  <si>
    <t>MASTER DISTRIB/ELECTRONICS</t>
  </si>
  <si>
    <t>Electronic components</t>
  </si>
  <si>
    <t>https://www.meerstetter.ch/</t>
  </si>
  <si>
    <t>Meerstetter Engineering GmBH</t>
  </si>
  <si>
    <t>https://megagoal.com/</t>
  </si>
  <si>
    <t>Megagoal Pte Ltd</t>
  </si>
  <si>
    <t>https://au.mouser.com/</t>
  </si>
  <si>
    <t>MOUSER ELECTRONICS</t>
  </si>
  <si>
    <t>Mouser Electronics (AU)</t>
  </si>
  <si>
    <t>NEWARK ELECTRONICS</t>
  </si>
  <si>
    <t>07 Sep 2022 - awaiting new ISO 9001 certificate (passed certification in Aug 2022). Manufacturer of TEC controllers and laser diode drives</t>
  </si>
  <si>
    <t>https://www.murata.com/en-us</t>
  </si>
  <si>
    <t>Murata</t>
  </si>
  <si>
    <t>https://www.thermocouple-assemblies.com/</t>
  </si>
  <si>
    <t>QUALITY THERMISTOR, INC.</t>
  </si>
  <si>
    <t>THERMISTORS</t>
  </si>
  <si>
    <t>https://www.semisourceinc.com/</t>
  </si>
  <si>
    <t>SemiSource Inc.</t>
  </si>
  <si>
    <t>26Sep16: Rated restricted due to being a distributor. Components from Littlefuse and CUI are suitable to be purchased as critical, parts from all other manufacturers considered general. CUI certificate expires 5Mar2021</t>
  </si>
  <si>
    <t>Suzhou Littelfuse Ovs Co Ltd</t>
  </si>
  <si>
    <t>https://www.swe-check.com.au/</t>
  </si>
  <si>
    <t>SWE-Check Pty Ltd</t>
  </si>
  <si>
    <t>https://www.tawelectronics.com/</t>
  </si>
  <si>
    <t>Taw Electronics Inc.</t>
  </si>
  <si>
    <t>https://www.ti.com/</t>
  </si>
  <si>
    <t>Texas Instruments</t>
  </si>
  <si>
    <t>https://www.utmel.com/</t>
  </si>
  <si>
    <t>Utmel Electronics Limited</t>
  </si>
  <si>
    <t>https://www.raytac.com/</t>
  </si>
  <si>
    <t>Raytac Corporation</t>
  </si>
  <si>
    <t>ELECTRONICS COMPONENTS,IOT, BLUETOOTH</t>
  </si>
  <si>
    <t>12Dec2018 - Distributor only. Contract manufacturer is Tech-Lin, iso certificate provided for tech lin.</t>
  </si>
  <si>
    <t>VIRTUAL ELECTRONICS MFG LTD.</t>
  </si>
  <si>
    <t>https://www.vyrian.com/</t>
  </si>
  <si>
    <t>Vyrian Inc.</t>
  </si>
  <si>
    <t>https://www.quail.com/</t>
  </si>
  <si>
    <t>Quail Electronics INC</t>
  </si>
  <si>
    <t>ELECTRONICS COMPONENTS,POWER CORDS</t>
  </si>
  <si>
    <t>14Apr2021: Remove from register. 
14Sep2020: E-mail a new SE form for completion. Follow-up on 18Dec2020. - cbc
27Sep2017: Distributor only. Manufacturer certificate provided for CUI. All other brand purchases from this supplier considered general</t>
  </si>
  <si>
    <t>https://www.siliconexpert.com/</t>
  </si>
  <si>
    <t>SiliconExpert Technologies, Inc.</t>
  </si>
  <si>
    <t>https://www.electronicsonline.net.au/</t>
  </si>
  <si>
    <t>Soanar</t>
  </si>
  <si>
    <t>https://www.southelectronics.com/</t>
  </si>
  <si>
    <t>South Electronics</t>
  </si>
  <si>
    <t>https://www.umec.com.tw/</t>
  </si>
  <si>
    <t>UMEC Universal microelectrics</t>
  </si>
  <si>
    <t>https://www.win-source.net/</t>
  </si>
  <si>
    <t>Win Source Electronic</t>
  </si>
  <si>
    <t>https://www.ittcannon.com/</t>
  </si>
  <si>
    <t>ITT Cannon (Hong Kong)</t>
  </si>
  <si>
    <t>ELECTRONICS CONNECTORS</t>
  </si>
  <si>
    <t>04-Oct-2022: Supplier has been archived as not migrated to D365</t>
  </si>
  <si>
    <t>https://wpgacorp.com/</t>
  </si>
  <si>
    <t>WPG Americas Inc</t>
  </si>
  <si>
    <t>ELECTRONICS DISTRIBUTORS</t>
  </si>
  <si>
    <t>https://www.nacsemi.com/</t>
  </si>
  <si>
    <t>NAC Semi</t>
  </si>
  <si>
    <t>https://www.techrentals.com.au/</t>
  </si>
  <si>
    <t>TR Pty Ltd (Tech Rentals)</t>
  </si>
  <si>
    <t>ELECTRONICS EQUIPMENT</t>
  </si>
  <si>
    <t>no expiry</t>
  </si>
  <si>
    <t>https://www.ni.com/</t>
  </si>
  <si>
    <t>National Instruments Australia</t>
  </si>
  <si>
    <t>https://www.linkedin.com/</t>
  </si>
  <si>
    <t>https://www.tradechina.com/</t>
  </si>
  <si>
    <t>ADA Yancheng Electronics (Nanjing ADA Import)</t>
  </si>
  <si>
    <t>ELECTRONICS PRODUCTS</t>
  </si>
  <si>
    <t>INDICATOR LIGHT LEDS, SIGNAL NIT LED, LIGHT SOURCE LED, WIRE HARNESS, WATER HEATERS</t>
  </si>
  <si>
    <t>http://www.dawar.com/</t>
  </si>
  <si>
    <t>Dawar Technologies</t>
  </si>
  <si>
    <t>ELECTRONICS PRODUCTS,TOUCHSCREEN</t>
  </si>
  <si>
    <t>https://www.echun-elc.com/</t>
  </si>
  <si>
    <t>Echun Electronic (Dongguan) Co., Ltd.</t>
  </si>
  <si>
    <t>ELECTRONICS PRODUCTS,TRANSFORMERS</t>
  </si>
  <si>
    <t>http://www.edvision.co.kr/</t>
  </si>
  <si>
    <t>EDVision Co Ltd</t>
  </si>
  <si>
    <t>ELECTRONICS PRODUCTS,TOUCHSCREENS</t>
  </si>
  <si>
    <t>KOREA</t>
  </si>
  <si>
    <t>404 Flatland Balance electronic board</t>
  </si>
  <si>
    <t>https://www.excelitas.com/</t>
  </si>
  <si>
    <t>Excelitas Canada, Inc</t>
  </si>
  <si>
    <t>https://www.extron.com/</t>
  </si>
  <si>
    <t>Extron USA West</t>
  </si>
  <si>
    <t>EXPAND - ARCHITECTURAL CONNECTIVITY
ARCHITECTURAL CONNECTIVITY
EXPAND - AUDIO PRODUCTS
AUDIO PRODUCTS
EXPAND - AV OVER IP – NAV SYSTEMS
AV OVER IP – NAV SYSTEMS
EXPAND - BULK CABLES &amp; CONNECTORS
BULK CABLES &amp; CONNECTORS
EXPAND - CABLES &amp; ADAPTERS
CABLES &amp; ADAPTERS
EXPAND - CLASSROOM AV SYSTEMS
CLASSROOM AV SYSTEMS
EXPAND - COLLABORATION SYSTEMS
COLLABORATION SYSTEMS
EXPAND - CONTROL AND AUTOMATION
CONTROL AND AUTOMATION
EXPAND - DIGITAL VIDEO PRODUCTS
DIGITAL VIDEO PRODUCTS
EXPAND - DISPLAYPORT
DISPLAYPORT
EXPAND - DISTRIBUTION AMPLIFIER
DISTRIBUTION AMPLIFIER
EXPAND - DSP, EXPANSION &amp; SOFTWARE
DSP, EXPANSION &amp; SOFTWARE
EXPAND - DTP SYSTEMS
DTP SYSTEMS
EXPAND - DVI
DVI
EXPAND - EBUS
EBUS
EXPAND - EXTENDERS &amp; LINE DRIVERS
EXTENDERS &amp; LINE DRIVERS
EXPAND - FIBER OPTICS
FIBER OPTICS
EXPAND - HDMI
HDMI
EXPAND - HD-SDI, 3G-SDI &amp; 12G-SDI
HD-SDI, 3G-SDI &amp; 12G-SDI
EXPAND - INTEGRATION TOOLS
INTEGRATION TOOLS
EXPAND - INTERFACES
INTERFACES
EXPAND - IP LINK PRO XI CONTROL PROCESSORS
IP LINK PRO XI CONTROL PROCESSORS
EXPAND - IP LINK PRO CONTROL PROCESSORS
IP LINK PRO CONTROL PROCESSORS
EXPAND - LINKLICENSE
LINKLICENSE
EXPAND - MATRIX SWITCHERS
MATRIX SWITCHERS
EXPAND - MEDIALINK PLUS CONTROLLERS
MEDIALINK PLUS CONTROLLERS
EXPAND - MOUNTING HARDWARE
MOUNTING HARDWARE
EXPAND - NETWORK BUTTON PANELS
NETWORK BUTTON PANELS
EXPAND - PLENUMVAULT DIGITAL
PLENUMVAULT DIGITAL
EXPAND - PLENUMVAULT DIRECT VIEW SYSTEM
PLENUMVAULT DIRECT VIEW SYSTEM
EXPAND - POLEVAULT DIGITAL
POLEVAULT DIGITAL
EXPAND - POWER AMPLIFIERS
POWER AMPLIFIERS
EXPAND - ROOM SCHEDULING
ROOM SCHEDULING
EXPAND - SCALERS &amp; SIGNAL PROCESSORS
SCALERS &amp; SIGNAL PROCESSORS
EXPAND - SOFTWARE
SOFTWARE
EXPAND - SPEAKERS
SPEAKERS
EXPAND - STREAMING AV PRODUCTS
STREAMING AV PRODUCTS
EXPAND - SWITCHERS
SWITCHERS
EXPAND - TOUCHLINK PRO TOUCHPANELS
TOUCHLINK PRO TOUCHPANELS
EXPAND - TWISTED PAIR
TWISTED PAIR
EXPAND - USB FOR PRO AV
USB FOR PRO AV
EXPAND - VIDEO SIGNAL PROCESSORS
VIDEO SIGNAL PROCESSORS
EXPAND - VIDEOWALL PROCESSORS
VIDEOWALL PROCESSORS
EXPAND - WALLVAULT DIGITAL
WALLVAULT DIGITAL
EXPAND - WIRELESS
WIRELESS
EXPAND - XTP SYSTEMS
XTP SYSTEMS</t>
  </si>
  <si>
    <t>https://www.futureelectronics.com/</t>
  </si>
  <si>
    <t>Fuseco Pty Ltd</t>
  </si>
  <si>
    <t>ELECTRONICS PRODUCTS,FUSES,PROTECTION RELAYS,POWER QUALITY,POWER FACTOR CORRECTION,TEST EQUIPMENT,PROGRAMMABLE POWER,EMC CHAMBERS,RFI FILTERS,UPS</t>
  </si>
  <si>
    <t>26Nov2018: Amtex no longer exists, company is now called Helios Power. Amtex removed from register.
28APR2014: Distributor only, no ISO certificate. ISO certificate has been provided for X P Plc (XP Power) products. Supplier considered general for all other products. X P Plc Scope: Design, manufacture and supply of electronic power products
XP P Plc ISO certification scope: The design, manufacture and supply of electronic power products._x000D_
Amtex are an approved distributor of XP P Plc's products.</t>
  </si>
  <si>
    <t>https://www.heqingele.com/</t>
  </si>
  <si>
    <t>Hongkong Chuaben Electronic Co. LTD</t>
  </si>
  <si>
    <t>https://www.ichaus.de/</t>
  </si>
  <si>
    <t>iC Haus Corporation</t>
  </si>
  <si>
    <t>ICS</t>
  </si>
  <si>
    <t>https://megaelectronics.com/</t>
  </si>
  <si>
    <t>MEGA ELECTRONICS, INC.</t>
  </si>
  <si>
    <t>AC to DC &amp; DC to DC switching power adapters, battery chargers, car chargers, LED drivers</t>
  </si>
  <si>
    <t>https://www.minco.com/</t>
  </si>
  <si>
    <t>Minco Products Inc.</t>
  </si>
  <si>
    <t>ELECTRONICS PRODUCTS,FLEXIBLE HEATERS,HIGH TEMPERATURE HEATING ELEMENT,CARTRIDGE HEATER,KAPTON® HEATING SOLUTIONS,SILICONE RUBBER HEATING SYSTEMS,MICA INSULATED HEATING ELEMENTS AND SYSTEMS,BUTYL RUBBER HEATING SOLUTIONS,TEMPERATURE SENSORS,BARE ELEMENT,RTD SENSORS,THERMOCOUP</t>
  </si>
  <si>
    <t>24Jan2022: re-evaluation|e-mail sent. FF: 04Apr2022,14Nov2022_cbc</t>
  </si>
  <si>
    <t>https://slpower.com/</t>
  </si>
  <si>
    <t>SL POWER ELECTRONICS</t>
  </si>
  <si>
    <t>POWER SOLUTIONS</t>
  </si>
  <si>
    <t>http://www.tkr.co.jp/</t>
  </si>
  <si>
    <t>TKR HONG KONG, LTD.</t>
  </si>
  <si>
    <t>https://www.i-autoc.com/</t>
  </si>
  <si>
    <t>Xiamen Kudom Electronics Tech Co Ltd (i-Autoc)</t>
  </si>
  <si>
    <t>ELECTRONICS PRODUCTS,STATE RELAY, MOTOR REVERSING MODULE, VOLTAGE REGULATOR, POWER SEMICONDUCTOR PRODUCTS</t>
  </si>
  <si>
    <t>https://www.xppower.com/</t>
  </si>
  <si>
    <t>XP POWER LLC.</t>
  </si>
  <si>
    <t>AC-DC POWER SUPPLIES
DC-DC CONVERTERS
HIGH VOLTAGE
RF POWER SYSTEMS
CUSTOM POWER
EMI FILTERS</t>
  </si>
  <si>
    <t>Distributor for Fuse manufacturer.</t>
  </si>
  <si>
    <t>http://www.amtex.com.au/</t>
  </si>
  <si>
    <t>Amtex Electronics Pty Ltd</t>
  </si>
  <si>
    <t>ELECTRONICS PRODUCTS,AC/DC POWER SUPPLIES - STANDARD / COMMERCIAL,AC/DC POWER SUPPLIES - INDUSTRIAL,AC/DC POWER SUPPLIES - MEDICAL,AC/DC POWER SUPPLIES - EXTERNAL,POWER SUPPLIES: LAND MOBILE AND WIRELESS BROADBAND,DIN RAIL POWER SUPPLIES (AC/DC &amp; DC/DC),DC/DC CONVERTERS - PCB MOUNTING,DC/DC POWER MODULES,DC/DC CONVERTERS - INDUSTRIAL,DC/DC CONVERTERS - RAIL,BATTERY ,HARGERS - STANDARD AND INDUSTRIAL,DC/AC POWER INVERTERS,FREQUENCY CONVERTERS,LABORATORY/BENCH POWER SUPPLIES,LED SUPPLIES,19IN RACK MOUNT</t>
  </si>
  <si>
    <t>https://www.fluke.com/</t>
  </si>
  <si>
    <t>Fluke Electronics</t>
  </si>
  <si>
    <t>DIGITAL MULTIMETERS
ELECTRICAL TESTERS
ELECTRICAL TESTERS
CLAMP METERS
CLAMP METERS
VISUAL IR THERMOMETERS
VISUAL IR THERMOMETERS
POWER QUALITY
POWER QUALITY
THERMAL CAMERAS
THERMAL CAMERAS
ACCESSORIES
ACCESSORIES
PROCESS TOOLS
PROCESS TOOLS
INSULATED TOOLS
INSULATED TOOLS
ACOUSTIC IMAGING
ACOUSTIC IMAGING
PORTABLE OSCILLOSCOPES
PORTABLE OSCILLOSCOPES
MECHANICAL MAINTENANCE
MECHANICAL MAINTENANCE</t>
  </si>
  <si>
    <t>https://www.mev-elektronik.com/</t>
  </si>
  <si>
    <t>MEV Elektronik Service GmbH</t>
  </si>
  <si>
    <t>ELECTRONICS PRODUCTS,POWER MANAGEMENT
OPTOELECTRONICS/DISPLAY
SENSORS
STORAGE
NETWORKING/DATACOM
RF MICROWAVE/WIRELESS
MOTION CONTROL
SIGNAL PROCESSING/MICRON</t>
  </si>
  <si>
    <t>https://www.edac.com.tw/</t>
  </si>
  <si>
    <t>EDAC Power Electronics</t>
  </si>
  <si>
    <t>ELECTRONICS PRODUCTS,POWER ADAPTERS</t>
  </si>
  <si>
    <t xml:space="preserve"> </t>
  </si>
  <si>
    <t>https://www.grayhill.com/</t>
  </si>
  <si>
    <t>GRAYHILL,  Inc.</t>
  </si>
  <si>
    <t>TOUCH ENCODERS, ROTARY SWITCH, HALL EFFECT SENSORS, OPTICAL SENSORS, KEYPADS, DIP SWITCHES</t>
  </si>
  <si>
    <t>Supplier is certified to EN 9120:2018 (equivalent to AS 9120B and SJAC 9120A, including ISO 9001:2015)</t>
  </si>
  <si>
    <t>https://www.nicomatic.com/</t>
  </si>
  <si>
    <t>NICOMATIC NORTH AMERICA</t>
  </si>
  <si>
    <t>HIGH PERFORMANCE MICRO-CONNECTORS
I/O CONNECTORS
CONNECTORS FOR FLEXIBLE CIRCUITS &amp; PCB
FFC CABLES &amp; JUMPERS
METAL DOMES &amp; COMPONENTS</t>
  </si>
  <si>
    <t>https://www.belfuse.com/</t>
  </si>
  <si>
    <t>Bel Fuse</t>
  </si>
  <si>
    <t>ELECTRONICS SOLUTIONS</t>
  </si>
  <si>
    <t>AVIATION SPARES
CABLE ASSEMBLIES
CHOKE &amp; RECTIFIERS
CIRCUIT PROTECTION
DESIGN KITS
DISCRETE MAGNETICS
HIGH-FREQUENCY MAGNETICS
INDUCTORS
INTERCONNECTS
MAGJACK® ICM
MICROWAVE COMPONENTS
OPTICAL CONNECTIVITY
PATCHING SOLUTIONS
POWER SUPPLIES
TRANSFORMERS
WIRELESS CHARGING COILS</t>
  </si>
  <si>
    <t>https://www.conrad.com/</t>
  </si>
  <si>
    <t>Conrad International</t>
  </si>
  <si>
    <t>ELECTRONICS SOURCING</t>
  </si>
  <si>
    <t>COMPUTING &amp; OFFICE
MULTIMEDIA
CARS, HOBBIES &amp; HOUSEHOLD
DIY &amp; TOOLS
BUILDING TECHNOLOGY &amp; SMART LIVING
CONNECTORS &amp; CABLES
TESTING &amp; POWER SUPPLY
EDUCATION &amp; DEVELOPMENT KITS
ACTIVE COMPONENTS
PASSIVE COMPONENTS
ELECTROMECHANICS
AUTOMATION &amp; PNEUMATICS
COMPUTING &amp; OFFICE
APPLE
LAPTOPS
MONITORS
NETWORKS
OFFICE SUPPLIES
PC ACCESSORIES
PC COMPONENTS
PCS
PRINTERS &amp; SCANNERS
REFURBISHED PRODUCTS
SOFTWARE
STORAGE MEDIA
STORAGE SERVERS
TABLETS &amp; EBOOK READERS
NOVELTIES
% SALE</t>
  </si>
  <si>
    <t>https://www.elecomes.com/</t>
  </si>
  <si>
    <t>Elecom Electronics Pty Ltd</t>
  </si>
  <si>
    <t>Soliani EMC SRL</t>
  </si>
  <si>
    <t>ITALY</t>
  </si>
  <si>
    <t>https://www.4pcb.com/</t>
  </si>
  <si>
    <t>Advanced circuits</t>
  </si>
  <si>
    <t>EMS (PCBA)</t>
  </si>
  <si>
    <t>ELECTRONICS, CUSTOM PCBS, CUSTOM PCBAS, 2 LAYERS PCBS, 4 LAYERS PCBS, SMT ASSEMBLY PCBA</t>
  </si>
  <si>
    <t>3May2018: Rated restricted due to being distributor only. Approved for purchase of Antenova critical parts, refer to Antenova evaluation. ISO certificate date is for Antenova, Elecom does not have ISO
Note: supplier code changed from ELES00 to ELES01 due to supplier ABN change</t>
  </si>
  <si>
    <t>https://www.circuitwise.com.au/</t>
  </si>
  <si>
    <t>Circuitwise Electronics</t>
  </si>
  <si>
    <t>ELECTRONICS, PCBA, TURNKEY ASSEMBLY, ELECTRONICS PROTOTYPING</t>
  </si>
  <si>
    <t>https://concisys.com/</t>
  </si>
  <si>
    <t>CONCISYS, INC.</t>
  </si>
  <si>
    <t>ELECTRONICS,
SMT PCBA PCB
TURNKEY AND CONSIGNMENT
5 SURFACE MOUNT TECHNOLOGY (SMT) LINES
FLEX AND RIGID-FLEXIBLE ASSEMBLY
FINE PITCH BGA (0.4MM)</t>
  </si>
  <si>
    <t>https://www.deltagroupinc.com/</t>
  </si>
  <si>
    <t>DELTA GROUP ELECTRONICS</t>
  </si>
  <si>
    <t>ELECTRONICS, PCBA, SMT
DELTA GROUP ELECTRONICS LOGO
PRINTED CIRCUIT BOARDS
CABLES
SYSTEM INTEGRATION
TEST &amp; INSPECTION
INVENTORY MANAGEMENT
QUALITY ASSURANCE</t>
  </si>
  <si>
    <t>Recommended by client for the supply of Vanguard RFI/EMI dual elastomer shielding gasket</t>
  </si>
  <si>
    <t>https://www.duet.com.au/</t>
  </si>
  <si>
    <t>Duet Electronics Pty Ltd</t>
  </si>
  <si>
    <t>ELECTRONICS
PCB-ASSEMBLY
PCBA
ASSEMBLY
LOW-PRESSURE-MOULDING
ENCAPSULATION
CABLE-ASSEMBLY
CONFORMAL COATING</t>
  </si>
  <si>
    <t>Electromagnetic Interference Shielding Products for Multiple Applications and Performances. Shielding Chambers, Adhesives and Sealants, EMI / RFI Seals, Absorbent Radars, Silicones</t>
  </si>
  <si>
    <t>https://entechelectronics.com.au/</t>
  </si>
  <si>
    <t>Entech Electronics Pty Ltd</t>
  </si>
  <si>
    <t>ELECTRONICS
MANUFACTURING
PCBA ASSEMBLY
PROTOTYPE PCB
HMI SOLUTIONS
BARE PCB</t>
  </si>
  <si>
    <t>https://gpcelectronics.com.au/</t>
  </si>
  <si>
    <t>GPC Electronics Pty Ltd</t>
  </si>
  <si>
    <t>DESIGN AND ENGINEERING
DESIGN, SUPPLY TOOLING
NEW PRODUCT INTRODUCTION (NPI) AND PROTOTYPING
PRINTED CIRCUIT BOARD ASSEMBLY (PCBA) AND SURFACE MOUNT TECHNOLOGY (SMT)
PRINTED CIRCUIT BOARD ASSEMBLY (PCBA) AND SURFACE MOUNT TECHNOLOGY (SMT)
TEST DEVELOPMENT
TRACEABILITY
SOURCING AND PROCUREMENT
CABLE ASSEMBLY
BOX BUILD
DFX SERVICES</t>
  </si>
  <si>
    <t>Rigid, flexible and rigid-flex PCBs, embedded component packaging modules, IC Substrates, substrate-like PCBs</t>
  </si>
  <si>
    <t>https://www.intecglobal.com.my/</t>
  </si>
  <si>
    <t>In-Tec Global Pte Ltd</t>
  </si>
  <si>
    <t>ELECTRONICS, 
ELECTRONICS
MANUFACTURING
PCBA ASSEMBLY
PROTOTYPE PCB
HMI SOLUTIONS
BARE PCB</t>
  </si>
  <si>
    <t>https://precisionet.com/</t>
  </si>
  <si>
    <t>Precision Electronic Technologies Pty Ltd (DO NOT USE)</t>
  </si>
  <si>
    <t>PRINTED CIRCUIT BOARDS (PCBS)
PCB ASSEMBLY
CABLE ASSEMBLY
BOX BUILD/FULL TURNKEY
PLASTIC &amp; METAL CASINGS
STENCILS
ELECTRONICS</t>
  </si>
  <si>
    <t>https://revcoproducts.com/</t>
  </si>
  <si>
    <t>REVCO PRODUCTS</t>
  </si>
  <si>
    <t xml:space="preserve">ELECTRONICS
PCBA
SMT ASSEMBLIES, SOMETHING TEST
</t>
  </si>
  <si>
    <t>https://www.srxglobal.com/</t>
  </si>
  <si>
    <t>SRX Global (Australia) Pty Ltd</t>
  </si>
  <si>
    <t xml:space="preserve">15Jun2022: adding PIPL </t>
  </si>
  <si>
    <t>http://www.starsmicro.com/</t>
  </si>
  <si>
    <t>Stars Microelectronics (Thailand) Public Co Ltd</t>
  </si>
  <si>
    <t>ELECTRONICS
OUTSOURCED SEMICONDUCTOR ASSEMBLY AND TEST (OSAT)
ELECTRONIC MANUFACTURING SERVICE (EMS)
OPTICAL ASSEMBLY
ELECTRONICS
MANUFACTURING
PCBA ASSEMBLY
PROTOTYPE PCB
HMI SOLUTIONS
BARE PCB</t>
  </si>
  <si>
    <t>E-mail sent: 15Jun2022
Contract manufacturing</t>
  </si>
  <si>
    <t>https://www.straconinc.com/</t>
  </si>
  <si>
    <t>STRACON, INC.</t>
  </si>
  <si>
    <t>https://www.trapp-ems.de/</t>
  </si>
  <si>
    <t>Trapp EDV</t>
  </si>
  <si>
    <t>ELECTRONICS, 
ELECTRONICS
MANUFACTURING
PCBA ASSEMBLY
PROTOTYPE PCB
HMI SOLUTIONS
CONFORMAL COATING</t>
  </si>
  <si>
    <t>https://vselectronics.in/</t>
  </si>
  <si>
    <t>VS Electronics</t>
  </si>
  <si>
    <t>ELECTRONICS
SCADA HARDWARE &amp; SOFTWARE DEVELOPMENT
INDUSTRIAL AUTOMATION
IOT DEVELOPMENT
EMBEDDED PRODUCT DESIGN
EMBEDDED SOFTWARE DEVELOPMENT
APPLICATION SOFTWARE DEVELOPMENT
HARDWARE DESIGN
PCB DESIGNING
REVERSE ENGINEERING
LED LIGHT MANUFACTURING</t>
  </si>
  <si>
    <t>https://ats.net/</t>
  </si>
  <si>
    <t>AT &amp; S Austria Technologie &amp; Systemtechnik AG</t>
  </si>
  <si>
    <t>ELECTRONICS,
SMT PCBA PCBS
IC SUBSTRATES
SUBSTRATE-LIKE PRINTED CIRCUIT BOARDS AND MODULES
FLEXIBLE AND RIGID-FLEX PRINTED CIRCUIT BOARDS
THERMALLY ENHANCED PRINTED CIRCUIT BOARDS
CAVITY PRINTED CIRCUIT BOARDS
HDI PRINTED CIRCUIT BOARDS
ECP PRINTED CIRCUIT BOARDS
HIGH-FREQUENCY &amp; HIGH-SPEED PRINTED CIRCUIT BOARDS
MULTILAYER PRINTED CIRCUIT BOARDS
TEST &amp; REFERENCE BOARDS
DOUBLE-SIDED PRINTED CIRCUIT BOARDS</t>
  </si>
  <si>
    <t>https://www.lenthor.com/</t>
  </si>
  <si>
    <t>Lenthor Engineering Inc</t>
  </si>
  <si>
    <t xml:space="preserve">ELECTRONICS
FLEX &amp; RIGID FLEX CIRCUITS
FLEX CIRCUIT TYPES
DESIGN SPECIFICATIONS
TURNKEY SERVICES
MULTI-LAYER RIGID FLEX
STAGGERED LAYER FLEX
DUAL SIDE ACCESS
</t>
  </si>
  <si>
    <t>13Nov2017: Removed from Approved supplier list 13Nov2017, due to supplier no longer required.</t>
  </si>
  <si>
    <t>http://www.multiserve.com.tw/</t>
  </si>
  <si>
    <t>Multiserve Technology Co. Ltd</t>
  </si>
  <si>
    <t>http://www.pcbfast.com.au/</t>
  </si>
  <si>
    <t>PCB Fast Peninsular circuit boards</t>
  </si>
  <si>
    <t>ELECTRONICS</t>
  </si>
  <si>
    <t>27May2022: Strongly recommended NOT to use this supplier - No new business engagement - Refer to Purchasing for direction
26Feb2021: Added back to the register, rating under Critical category.
22Nov2017: Removed from Approved supplier list due to supplier no longer required. Rating changed from Critical to General.</t>
  </si>
  <si>
    <t>Precision Electronic Technologies Pty Ltd</t>
  </si>
  <si>
    <t>PRINTED CIRCUIT BOARDS (PCBS)
PCB ASSEMBLY
CABLE ASSEMBLY
BOX BUILD/FULL TURNKEY
PLASTIC &amp; METAL CASINGS
STENCILS
ELECTRONI
PCBA</t>
  </si>
  <si>
    <t>https://www.qflexinc.com/</t>
  </si>
  <si>
    <t>Q-Flex Inc</t>
  </si>
  <si>
    <t>ELECTRONICS
EXOTIC CONDUCTIVE LAYERS
OUR LIST OF UNCOMMON MATERIALS CONSIST OF:
INCONEL
CONSTANTAN
STAINLESS STEEL
ALUMINUM
PHOSPHOR BRONZE
RESISTIVE COPPER
MONEL
OHMEGA / TICER
COMPLEX PCBS*
UP TO 76 LAYER MULTI-CHIP MODULE RIGID FLEX.
FINE LINE DESIGN [3 MIL LINE, 3 MIL SPACE].
MICRO VIAS CAPABILITY [0.1 MM].
THIS INCLUDES:
 SMALL PCBS*
EXTREMELY SMALL FORM FACTOR DOWN TO 30 MIL DIMENSIONS.
LONG PCBS*
UP TO 15 FEET LONG MANUFACTURED AND DELIVERED.
CAPABILITY FOR EVEN LONGER FLEX.
READ MORE ABOUT COMPLEX PCBS…
AEROSPACE
OUR COMPLETED CONTRACTS INCLUDE- AIR FORCE, SBIR, (PHASE I AND PHASE II) AND STTR (PHASE I AND PHASE II).
POWER SPHERE.
QFLEX PAYLOAD ON RESE ROCKET LAUNCH.
NASA CONTRACT CURRENTLY UNDERWAY FOR OPTIMIZING WING DESIGN.</t>
  </si>
  <si>
    <t>https://www.speedy-circuits.com.tw/</t>
  </si>
  <si>
    <t>Speedy Circuits</t>
  </si>
  <si>
    <t>ELECTRONICS
HOMEABOUTSERVICES
PCB FABRICATION PROCESS
PRODUCT RANGE
LAMINATES IN STOCK
PCB ASSEMBLY</t>
  </si>
  <si>
    <t>https://www.emeraldems.com/</t>
  </si>
  <si>
    <t>Veris Manufacturing</t>
  </si>
  <si>
    <t>SURFACE MOUNT ASSEMBLY (SMT) PCB AND FLEX CIRCUIT ASSEMBLY
SOLDER PASTE INSPECTION
SMT PLACEMENT
OVEN AND HEATING TECHNOLOGY
COMPONENT STORAGE SOLUTIONS
ASSEMBLY &amp; MANUFACTURING
ELECTRONICS
PRINTED CIRCUIT BOARD (PCB) ASSEMBLY
SYSTEM INTEGRATION
PRODUCT TESTING</t>
  </si>
  <si>
    <t>18Nov2021: Alert in GT stating "Next time, a PO is raised, a supplier re-evaluation is required."
16Jan2015: rating changed from critical to critical traceable.</t>
  </si>
  <si>
    <t>https://www.usdigital.com/</t>
  </si>
  <si>
    <t>US DIGITAL</t>
  </si>
  <si>
    <t>ENCODERS</t>
  </si>
  <si>
    <t>US Digital Corporation</t>
  </si>
  <si>
    <t>https://www.hitachi.com/</t>
  </si>
  <si>
    <t>HITACHI CHEMICAL DIAGNOSTICS,</t>
  </si>
  <si>
    <t>ENGINEERING SERVICES</t>
  </si>
  <si>
    <t>https://arrowmps.com.au/</t>
  </si>
  <si>
    <t>Newbeach MPS P/L (T/A Arrow MPS)</t>
  </si>
  <si>
    <t>https://www.greyinnovation.com/</t>
  </si>
  <si>
    <t>Notus (grey Innovation)</t>
  </si>
  <si>
    <t>https://www.obt-eng.com/</t>
  </si>
  <si>
    <t>OBT Global</t>
  </si>
  <si>
    <t>ENGINEERING SERVICES,INJECTION MOULDING, CM</t>
  </si>
  <si>
    <t>ENVIRONMENTAL SOLUTIONS</t>
  </si>
  <si>
    <t>https://www.veolianorthamerica.com/</t>
  </si>
  <si>
    <t>Veolia North America</t>
  </si>
  <si>
    <t>Processing Stainless steel &amp; pressure vesselfs</t>
  </si>
  <si>
    <t>https://www.officialusa.com/</t>
  </si>
  <si>
    <t>OLLENDORFF EXHIBITION CONSULTA</t>
  </si>
  <si>
    <t>EXHIBITION CONSULTANTS</t>
  </si>
  <si>
    <t>9 Apr 2021: The project has been completed and supplier was removed from the register.</t>
  </si>
  <si>
    <t>http://www.allspecfasteners.com/</t>
  </si>
  <si>
    <t>All-Spec Fasteners</t>
  </si>
  <si>
    <t>FASTENERS</t>
  </si>
  <si>
    <t>Not an active supplier
26Apr2017: supplier rating changed from restricted to general, as supplier has not been used in last 24 months. Requires re-evaluation if use of supplier starts again.</t>
  </si>
  <si>
    <t>https://apexfasteners.com/fasteners/</t>
  </si>
  <si>
    <t>APEX FASTENERS</t>
  </si>
  <si>
    <t>https://www.bossard.com/</t>
  </si>
  <si>
    <t>Bossard Australia Pty Ltd</t>
  </si>
  <si>
    <t>FASTENERS,SCREWS, NUTS, INSERTS</t>
  </si>
  <si>
    <t>Tomi is a client for Thenard project; they will supply some components for production use.</t>
  </si>
  <si>
    <t>https://www.circlips.com.au/</t>
  </si>
  <si>
    <t>CIRCLIPS (Australia) Pty Ltd</t>
  </si>
  <si>
    <t xml:space="preserve">FASTENERS,CIRCLIPS, RETAINING RINGS, DISC SPRINGS, HANDY PACK, WAVE SPRINGS, ROLL PINS, </t>
  </si>
  <si>
    <t>https://www.essentracomponents.com/</t>
  </si>
  <si>
    <t>Essentra Components Pte Ltd</t>
  </si>
  <si>
    <t>FASTENERS,CABLE MANAGEMENT, PCB HARDWARE, FIBRE MANAGEMENT, CABLE TIES &amp; CLIPS, MOTION CONTROL &amp; POWER, CAPS, PLUGS, PIPE &amp; FLANGE PROTECTION, HOSE PROTECTION, HIGH TEMPERATURE MASKING, NUTS &amp; WASHERS, RIVETS &amp; PANEL FASTENING, RODS &amp; SCREWS, KNOBS, HINGES, LATCHES &amp; LOCKS, FEET, CASTORS &amp; GLIDES, GASKET &amp; SEALS, TOOLS &amp; ACCESSORIES, HANDLERS, GRIPS &amp; LEVERS</t>
  </si>
  <si>
    <t>https://www.keables.net.au/</t>
  </si>
  <si>
    <t>Keables Pty Ltd</t>
  </si>
  <si>
    <t xml:space="preserve">Manufacturer is Zhongshan Sanfeng. </t>
  </si>
  <si>
    <t>https://www.oetiker.com/</t>
  </si>
  <si>
    <t>Oetiker Far East Limited</t>
  </si>
  <si>
    <t>FASTENERS,TIES</t>
  </si>
  <si>
    <t>https://rageem.com.au/</t>
  </si>
  <si>
    <t>Rageem Fastener Co Pty Ltd</t>
  </si>
  <si>
    <t>https://www.rgafasteners-psm.com/</t>
  </si>
  <si>
    <t>RGA Fasteners (Radio and General Agencies Pty Ltd)</t>
  </si>
  <si>
    <t>https://www.unitedfasteners.com.au/</t>
  </si>
  <si>
    <t>United Fasteners VIC Pty Ltd</t>
  </si>
  <si>
    <t>e-mal sent: 14-Nov2022_cbc</t>
  </si>
  <si>
    <t>https://www.metricmcc.com/</t>
  </si>
  <si>
    <t>Metric Multistandard Component</t>
  </si>
  <si>
    <t>Automotive and industrial fasteners</t>
  </si>
  <si>
    <t>http://www.belmatic.com.au/</t>
  </si>
  <si>
    <t>Belmatic Industries Pty Ltd</t>
  </si>
  <si>
    <t>FASTENERS COATINGS</t>
  </si>
  <si>
    <t>FASTENERS COATINGS,FASTENERS THREAD LOCKING ADHESIVES,COLOUR CODING, DRY FINISH, LONG SHELF-LIFE, ANTI-FRICTION COATINGS, LUBRICANT, SEALANT</t>
  </si>
  <si>
    <t>28Nov18: honey well parts not being purchased form Essentra, removed Honeywell certificate
10Jan16: ISO certificate obtained for Honeywell parts expires 15 Sep 2018. Supplier is considered general for all other components.
20Mar2014: If purchasing critical parts that are not manufactured by Essentra, an ISO certificate from the manufacturer should be requested before purchasing. Please also note that Richco, Reid Supply Company, Skiffy, and Alliance are all grouped under Essentra Components. Essentra is also a distributor.</t>
  </si>
  <si>
    <t>https://www.fiberopticsystems.com/</t>
  </si>
  <si>
    <t>FIBEROPTIC SYSTEMS, INC.</t>
  </si>
  <si>
    <t>FIBER OPTICS</t>
  </si>
  <si>
    <t>https://norlandproducts.com/</t>
  </si>
  <si>
    <t>NORLAND PRODUCTS INC.</t>
  </si>
  <si>
    <t>Distributor for industrial fastener - bolts &amp; nuts</t>
  </si>
  <si>
    <t>https://www.solargard.com/</t>
  </si>
  <si>
    <t>Saint Gobain Solar Guard Australia</t>
  </si>
  <si>
    <t>FILMS</t>
  </si>
  <si>
    <t>https://www.culligan.com/</t>
  </si>
  <si>
    <t>Culligan Water</t>
  </si>
  <si>
    <t>FILTRATION</t>
  </si>
  <si>
    <t>17May2021: Confirmation of Transfer Audit to SGS from TUV - Audit has been completed, pending review of IATF 16949 reviewers.</t>
  </si>
  <si>
    <t>https://www.roirocket.com/</t>
  </si>
  <si>
    <t>Roi Rocket</t>
  </si>
  <si>
    <t>FINANCIAL ADVISORS</t>
  </si>
  <si>
    <t>12Nov2020: Supplier is working on their ISO 9001 Certification</t>
  </si>
  <si>
    <t>https://sago.com/</t>
  </si>
  <si>
    <t>Schlesinger Group</t>
  </si>
  <si>
    <t>Standard and specialiszed fasteners including screws, washers, nuts, bolts, rivets and products manufactured to drawing.</t>
  </si>
  <si>
    <t>https://sprayart.com/</t>
  </si>
  <si>
    <t>SPRAY ART FINISHERS, INC.</t>
  </si>
  <si>
    <t>FINISH AND COATING</t>
  </si>
  <si>
    <t xml:space="preserve">INDUSTRIAL FINISHING_x000D_
POWDER COATING_x000D_
CONFORMAL COATING_x000D_
SANDBLASTING_x000D_
CONVENTIONAL SPRAY_x000D_
STATIC DISSIPATIVE COATINGS_x000D_
EMI/RFI FINISHING_x000D_
VINYL LETTERING LOGOS STICKERS_x000D_
3D VAPOR DEPOSITION FULL COLOR _x000D_
</t>
  </si>
  <si>
    <t>http://www.industrialmetalprocessing.com/</t>
  </si>
  <si>
    <t>Industrial Metal Processing Inc. (IMP)</t>
  </si>
  <si>
    <t>FINISHING TECHNOLOGIES</t>
  </si>
  <si>
    <t>COATINGS</t>
  </si>
  <si>
    <t>28May2020: E-mail new SE form for completion. Follow-up on 22 Jul 2020 (Stef). Follow-up on 11Sep2020 (cbc), 23Feb2021 (Stef), 04Apr2022 (Cbc).
26May2017: Restricted due to not having an ISO certificate, but supplier has indicated that they have quality system on the supplier evaluation. Check suitability for the specific parts that are required.</t>
  </si>
  <si>
    <t>https://apexfiresys.com/</t>
  </si>
  <si>
    <t>APEX FIRE SYSTEMS INC.</t>
  </si>
  <si>
    <t>FIRE PROTECTION SYSTEMS</t>
  </si>
  <si>
    <t>https://firesafetyfirst.com/</t>
  </si>
  <si>
    <t>Fire Safety First</t>
  </si>
  <si>
    <t>http://www.bayswater.enzed.com.au/</t>
  </si>
  <si>
    <t>Enzed Bayswater (Hose Supplies Pty Ltd)</t>
  </si>
  <si>
    <t>FITTINGS, TUBINGS &amp; VALVES</t>
  </si>
  <si>
    <t>FITTINGS, TUBINGS &amp; VALVES,HYDRAULIC HOSES &amp; HIGH PRESSURE HOSES,HOSE FITTINGS &amp; QUICK COUPLINGS,SEALS &amp; O-RINGS,VALVES,TUBING,FILTERS, SEPARATORS &amp; PURIFIERS,HYDRAULIC CRIMPERS AND EQUIPMENT,OIL &amp; LUBRICANTS</t>
  </si>
  <si>
    <t>https://romynox.nl/</t>
  </si>
  <si>
    <t>Romynox</t>
  </si>
  <si>
    <t xml:space="preserve">
FITTINGS
124 PRODUCTS
MIXERS &amp; PUMPS
35 PRODUCTS
SEALS
24 PRODUCTS
TUBE SEALERS &amp; WELDERS
VALVES
SINGLE-USE
HOSES
TRANSFER PORTS</t>
  </si>
  <si>
    <t>https://www.specialtymfg.com/</t>
  </si>
  <si>
    <t>SPECIALTY MFG CO (SMC)</t>
  </si>
  <si>
    <t>https://www.nordsonmedical.com/</t>
  </si>
  <si>
    <t>Value Plastics dba Nordson Medical</t>
  </si>
  <si>
    <t>FITTINGS, TUBINGS &amp; VALVES,MEDICAL</t>
  </si>
  <si>
    <t>Market research</t>
  </si>
  <si>
    <t>VALUE PLASTICS, INC.</t>
  </si>
  <si>
    <t>FLUID MANAGEMENT COMPONENTS
QUICK CONNECT FITTINGS
COUPLINGS  HOSE BARB, PUSH-IN, THREADED, AND PTF.
MEDICAL TUBING
CATHETERS AND CANNULAE
HEAT SHRINK TUBING</t>
  </si>
  <si>
    <t>https://www.vfv.com.au/</t>
  </si>
  <si>
    <t>Victorian Fittings and Valves (VFV)</t>
  </si>
  <si>
    <t>Painting, powder coating, zinc plating, chem-film plating, passivation and electronice screen printing</t>
  </si>
  <si>
    <t>https://www.beswick.com/</t>
  </si>
  <si>
    <t>Beswick Engineering</t>
  </si>
  <si>
    <t>FITTINGS, TUBINGS &amp; VALVES,FITTINGS,QUICK DISCONNECTS,REGULATORS,VALVES,ORIFICE RESTRICTORS,FILTERS, MUFFLERS, &amp; BREATHERS,TUBING &amp; ACCESSORIES</t>
  </si>
  <si>
    <t>https://www.fluidbiosolutions.com.au/</t>
  </si>
  <si>
    <t>Fluid Biosolutions Pty Ltd</t>
  </si>
  <si>
    <t>FITTINGS, TUBINGS &amp; VALVES,HIGH PURITY TUBING AND BONDING, BIOPROCESS CONTAINERS, FITTINGS AND ACCESSORIES, TUBE SEALERS AND WELDERS, PUMPS AND SENSORS, CENTRIFUGES, CONTAINMENT SOLUTIONS</t>
  </si>
  <si>
    <t>https://www.pneulinesupply.com/</t>
  </si>
  <si>
    <t>PNEULINE SUPPLY, INC</t>
  </si>
  <si>
    <t>https://partnering.tecan.com/</t>
  </si>
  <si>
    <t>TECAN SYSTEMS / CAVRO (US)</t>
  </si>
  <si>
    <t>FLUID HANDLING</t>
  </si>
  <si>
    <t>https://www.idex-hs.com/</t>
  </si>
  <si>
    <t>IDEX Health &amp; Science LLC (US)</t>
  </si>
  <si>
    <t>FLUIDICS</t>
  </si>
  <si>
    <t>Distributor of the fluid transfer technology for aseptic processes</t>
  </si>
  <si>
    <t>IDS Imaging Development Systems Germany GmbH</t>
  </si>
  <si>
    <t>FLUIDICS,FLUIDICS, MICROFLUIDICS, OPTICS</t>
  </si>
  <si>
    <t>IDS Imaging Development Systems Inc - US</t>
  </si>
  <si>
    <t>https://www.industrialspec.com/</t>
  </si>
  <si>
    <t>Industrial Specialties Mfg. Inc</t>
  </si>
  <si>
    <t>FLUIDICS,PNEUMATIC, FLUIDICS, FITTINGS</t>
  </si>
  <si>
    <t>https://www.mkfluidicsystems.com/</t>
  </si>
  <si>
    <t>MK Fluidic Systems</t>
  </si>
  <si>
    <t>e-mail sent: 28-Nov2022_cbc</t>
  </si>
  <si>
    <t>https://www.tricontinent.com/</t>
  </si>
  <si>
    <t>TriContinent Scientific Inc.</t>
  </si>
  <si>
    <t>SYRINGE PUMPS &amp; ROTARY VALVES_x000D_
AIR DISPLACEMENT PUMPS_x000D_
AIR-Z PREMIERAIR-Z FLEXAIR-Z MINIAIR-Z LEGACY_x000D_
PRIME SYRINGES_x000D_
TRITON (XYZ)_x000D_
BOTTLE TOP DISPENSER STATMATIC 1 STAT 1 575_x000D_
MICROPLATE WASHERS &amp; DISPENSERS_x000D_
MULTIWASH IIISTATMATIC ISTATMATIC II_x000D_
MINIPET_x000D_
PIPETTES (MICROPIPETTES) &amp; PRECISION DISPENSERS</t>
  </si>
  <si>
    <t>https://www.ikea.com/</t>
  </si>
  <si>
    <t>IKEA</t>
  </si>
  <si>
    <t>FURNITURE</t>
  </si>
  <si>
    <t>global</t>
  </si>
  <si>
    <t>Email re ISO 9001 sent on 11 Jul 2022
18Aug2017 Rated restricted due to being distributor only. Evaluated for supplier of Parker manufactured products, suitable for purchase of Parker critical parts.
All other brand parts not evaluated, considered general. Parker ISO certificate expiry: 12 Sep 2020</t>
  </si>
  <si>
    <t>https://www.modernindesigns.com/</t>
  </si>
  <si>
    <t>MODERN IN DESIGNS</t>
  </si>
  <si>
    <t>https://www.nichegas.com.au/</t>
  </si>
  <si>
    <t>The NGP Unit Trust (T/A Niche Gas Products Pty Ltd)</t>
  </si>
  <si>
    <t>GAS CONTROL</t>
  </si>
  <si>
    <t>https://www.gasworld.com/</t>
  </si>
  <si>
    <t>PRAXAIR, INC./Linde Gas &amp; Equipment Inc.</t>
  </si>
  <si>
    <t>GAS MANAGEMENT EQUIPMENT</t>
  </si>
  <si>
    <t>https://www.alphadiecut.com/</t>
  </si>
  <si>
    <t>ALPHA DIE CUTTING</t>
  </si>
  <si>
    <t>GASKETS</t>
  </si>
  <si>
    <t>http://www.chaversgasket.com/index.htm</t>
  </si>
  <si>
    <t>CHAVERS GASKET CORPORATION</t>
  </si>
  <si>
    <t>prenumatic fluid components for industrial and medical application</t>
  </si>
  <si>
    <t>http://www.amgear.com/index.html</t>
  </si>
  <si>
    <t>American Precision Gear Company Inc</t>
  </si>
  <si>
    <t>GEARS</t>
  </si>
  <si>
    <t>https://corporate.walmart.com/</t>
  </si>
  <si>
    <t>WalMart Inc.</t>
  </si>
  <si>
    <t>GENERAL SUPPLIES</t>
  </si>
  <si>
    <t>Levitas Bio Pty Ltd</t>
  </si>
  <si>
    <t>http://www.allroundglass.com.au/</t>
  </si>
  <si>
    <t>Allround Glass and Glazing</t>
  </si>
  <si>
    <t>GLASS</t>
  </si>
  <si>
    <t xml:space="preserve">GLASS,WINDOWS, POOL FENCING, SHOWER PANELS, SPLASHBACKS, GLASS PROCESSING, GLASS CUTTING, </t>
  </si>
  <si>
    <t>https://fgsglass.com.au/</t>
  </si>
  <si>
    <t>FGS Glass Pty Ltd</t>
  </si>
  <si>
    <t>As requested by project bootcamp</t>
  </si>
  <si>
    <t>https://www.schott.com/en-au</t>
  </si>
  <si>
    <t>Schott North America, Inc</t>
  </si>
  <si>
    <t>https://hengshuilingyan.en.alibaba.com/</t>
  </si>
  <si>
    <t>LingYan Engineering (Hengshui Lingyan International Trade Co Ltd)</t>
  </si>
  <si>
    <t>GLASS TUBES</t>
  </si>
  <si>
    <t>GLASS TUBES,MEDICAL GLASS TUUBES</t>
  </si>
  <si>
    <t>https://www.conceptlatch.com.au/</t>
  </si>
  <si>
    <t>Concept Latch, Lock &amp; Hinge (Aust) Pty Ltd (McNaughtan's P/L)</t>
  </si>
  <si>
    <t>HARDWARE</t>
  </si>
  <si>
    <t>HARDWARE,ELECTRONIC ACCESS HARDWARE,GAS STRUTS &amp; DAMPERS,HANDLES,HINGES,,KNOBS,,LATCHES &amp; LOCKS,LID &amp; COVER DAMPERS,QUICK RELEASE SOLUTIONS,RUBBER &amp; SEALING TAPES,OVER CENTRE &amp; TOGGLE LATCHES,ACCURIDE DRAWER SLIDES &amp; SLIDING SOLUTIONS,,SOUTHCO PRODUCTS,ROLLON ,LINEAR RAILS, SLIDES &amp; GUIDES,HEGRA HEAVY DUTY RAILS,STEEL-SMITH HOLD DOWN ACTION &amp; TOGGLE CLAMPS,MISCELLANEOUS</t>
  </si>
  <si>
    <t>https://www.matterhackers.com/</t>
  </si>
  <si>
    <t>Matterhackers</t>
  </si>
  <si>
    <t>3D PRINTING
3D PRINTERS
3D PRINTER PARTS
3D PRINTER ACCESSORIES
3D PRINTERS
3D PRINTER FILAMENT
CNC MACHINES
LASER CUTTERS &amp; ENGRAVERS
ULTIMAKER 3D PRINTERS</t>
  </si>
  <si>
    <t>Custom die cuts, Fabricated and Molded Gaskets</t>
  </si>
  <si>
    <t>https://www.ehi.com.au/</t>
  </si>
  <si>
    <t>EHI Australia Pty Ltd</t>
  </si>
  <si>
    <t>HARDWARE,CASTORS,WHEELS,MATERIALS HANDLING,SANDING CUTTING AND GRINDING,WIRE &amp; NYLON BRUSHES,INDUSTRIAL TOOLS,PLASTIC STORAGE &amp; TOOL BOXES,PLASTIC STORAGE &amp; TOOL BOXES,SPRAYERS,JOBSITE EQUIPMENT,GAS SPRINGS,LUBRICATION ACCESSORIES,KEY STEEL &amp; SHIM</t>
  </si>
  <si>
    <t>https://kb-3d.com/</t>
  </si>
  <si>
    <t>KB3D LLC</t>
  </si>
  <si>
    <t xml:space="preserve">3D PRINTING
3D PRINTERS
3D PRINTER PARTS
3D PRINTER ACCESSORIES
</t>
  </si>
  <si>
    <t>https://www.penn-elcom.com/</t>
  </si>
  <si>
    <t>Penn Elcom Ltd</t>
  </si>
  <si>
    <t>HARDWARE SOLUTIONS</t>
  </si>
  <si>
    <t xml:space="preserve"> FLIGHT CASE HARDWARE, SPEAKER HARDWARE, 19 INCH RACKING ENCLOSURES AND ACCESSORIES, NEUTRIK CONNECTORS,CRATING COMPONENTS,
SAME DAY DELIVERY, CUSTOM MANUFACTURING,
METAL
LASER CUTTING
STAMPING
PUNCHING
CNC PUNCHING
DEEP DRAWING
WIRE FORMING
ROLL FORMING
WELDING
DIE CASTING
PRESS BRAKE
RUBBER/PLASTIC
INJECTION MOULDING
RUBBER CASTING
WOOD
LAMINATION
WOOD PANELS
LAMINATED PANELS
PHENOLIC FILM FACED PANELS
FINISHING
POWDER COATING
PLATING (ZINC, CHROME, NICKEL)
UV PRINTING
LASER ETCHING
STOVE ENAMELING
CHEMICAL BLACKING
OTHER SERVICES
ASSEMBLY
SUB ASSEMBLY
GRILL CLOTH BONDING
RIVETING
HARDWARE INSERTION
</t>
  </si>
  <si>
    <t>Only for LEXI OEM parts</t>
  </si>
  <si>
    <t>https://corp.nhg.com.sg/</t>
  </si>
  <si>
    <t>National Healthcare Group Pte Ltd</t>
  </si>
  <si>
    <t>HEALTHCARE PROVIDERS</t>
  </si>
  <si>
    <t>https://www.heater-elements.com/</t>
  </si>
  <si>
    <t>Jaye Heater Technology (Huizhou) Co Ltd</t>
  </si>
  <si>
    <t>HEATING / COOLING</t>
  </si>
  <si>
    <t>Supplier of glass door. Standardmark licensed AS/NZS 2208:1996.</t>
  </si>
  <si>
    <t>https://coolinnovations.com/</t>
  </si>
  <si>
    <t>COOL INNOVATIONS, INC.</t>
  </si>
  <si>
    <t>HEATING/COOLING</t>
  </si>
  <si>
    <t xml:space="preserve">GENERAL PURPOSE HEAT SINKS _x000D_
BGA HEAT SINKS _x000D_
LED HEAT SINKS _x000D_
HIGH POWER FAN SINKS _x000D_
LOW PROFILE FAN SINKS _x000D_
LED FAN SINKS _x000D_
</t>
  </si>
  <si>
    <t>https://nphheaters.com/</t>
  </si>
  <si>
    <t>NATIONAL PLASTIC HEATER</t>
  </si>
  <si>
    <t>Borosilicate glass tube, glass capillary tubes and other glass container</t>
  </si>
  <si>
    <t>https://zhitengfei.en.alibaba.com/</t>
  </si>
  <si>
    <t>Shenzhen Ambeyond Technology Co Ltd</t>
  </si>
  <si>
    <t>HEATING/COOLING,FANS, HEATERS, COOLERS</t>
  </si>
  <si>
    <t>Name Change to McNaughtans. Distributor only.</t>
  </si>
  <si>
    <t>https://tetech.com/</t>
  </si>
  <si>
    <t>TE TECHNOLOGY, INC. (US)</t>
  </si>
  <si>
    <t>https://temcool.com/</t>
  </si>
  <si>
    <t>Total Enviromental Managment Inc.</t>
  </si>
  <si>
    <t>Public healthcare cluster - DSRB study review</t>
  </si>
  <si>
    <t>Cool Innovations Inc</t>
  </si>
  <si>
    <t>HEATING/COOLING,GENERAL PURPOSE HEAT SINKS, BGA HEAT SINKS, LED HEAT SINKS, HIGH POWER FAN SINKS, LOW PROFILE FAN SINKS, LED FAN SINKS</t>
  </si>
  <si>
    <t>CANADA</t>
  </si>
  <si>
    <t>thermal management: heat sinks, fan sinks | Comprehensive coper and aluminum machinin</t>
  </si>
  <si>
    <t>https://koolance.com/</t>
  </si>
  <si>
    <t>Koolance, Inc.</t>
  </si>
  <si>
    <t>https://www.basstor.com/about-us</t>
  </si>
  <si>
    <t>Taizhou Best Electric Appliances Co Ltd</t>
  </si>
  <si>
    <t>HEATER CARTRIDGES</t>
  </si>
  <si>
    <t>https://www.thermoelectricdevices.co.uk/</t>
  </si>
  <si>
    <t>Thermo Electric Devices Ltd.</t>
  </si>
  <si>
    <t>https://www.phoenixthermalsupply.com/</t>
  </si>
  <si>
    <t>Phoenix Thermal Supply</t>
  </si>
  <si>
    <t>As requested by project 582-Bootcamp</t>
  </si>
  <si>
    <t>https://reell.com/</t>
  </si>
  <si>
    <t>REELL INNOVATIVE TORQUE SOLUTI</t>
  </si>
  <si>
    <t>HINGES</t>
  </si>
  <si>
    <t>INDUSTRIAL ELECTRIC CLUTCHES
FRICTION HINGES
POSITION HINGES
CLUTCH TORSION SPRINGS
\FULL TORQUE INSERTS</t>
  </si>
  <si>
    <t>https://www.briteraus.com.au/</t>
  </si>
  <si>
    <t>Briter Australasia (Cre8tech Image Solutions Pty L</t>
  </si>
  <si>
    <t>HMI MEMBRANES / OVERLAYS / KEYPADS / SCREENS</t>
  </si>
  <si>
    <t>HMI,SCREEN PRITNING, LABELS &amp; STICKERS, FASCIAS, MEMBRANE SWITCHES, POS SCREEN AND DIGITAL PRINTING</t>
  </si>
  <si>
    <t>https://www.idealjacobs.com.cn/</t>
  </si>
  <si>
    <t>Ideal Jacobs (Xiamen) Corporation</t>
  </si>
  <si>
    <t>HMI, HMI ASSEMBLIES_x000D_
NAMEPLATES_x000D_
METAL DOME ARRAYS_x000D_
DIE CUT COMPONENTS_x000D_
GRAPHIC OVERLAYS_x000D_
MEMBRANE SWITCHES_x000D_
SMARTOVERLAY_x000D_
PRINTED ELECTRONICS</t>
  </si>
  <si>
    <t>Thermoelectric assemblies</t>
  </si>
  <si>
    <t>https://microtipsusa.com/</t>
  </si>
  <si>
    <t>Microtips Technology LLC.</t>
  </si>
  <si>
    <t>CUSTOM LCD MODULE MANUFACTURER, DISPLAYS, CAPACITIVE TOUCH SCREENS, TFT,OLED,TOUCH PANELS,HDMI,E-PAPER</t>
  </si>
  <si>
    <t>https://newhavendisplay.com/</t>
  </si>
  <si>
    <t>Newhaven Display International</t>
  </si>
  <si>
    <t>DISPLAYS</t>
  </si>
  <si>
    <t>https://www.noritake-elec.com/</t>
  </si>
  <si>
    <t>NORITAKE COMPANY, INC.</t>
  </si>
  <si>
    <t>https://www.permark.com.au/</t>
  </si>
  <si>
    <t>Permark Industries (Aust) Pty Ltd</t>
  </si>
  <si>
    <t xml:space="preserve">HMI, ◦MEMBRANE KEYPADS_x000D_
TOUCH SCREENS_x000D_
GRAPHIC OVERLAYS_x000D_
METAL NAMEPLATES_x000D_
DOME RESIN LABELS_x000D_
SELF ADHESIVE LABELS_x000D_
AUTOMOTIVE &amp; PROMOTIONAL_x000D_
PLASTIC CARDS &amp; TAGS_x000D_
ENGRAVING_x000D_
SPECIALTY ADHESIVE &amp; GASKETS_x000D_
SCREEN &amp; DIGITAL PRINTING_x000D_
</t>
  </si>
  <si>
    <t>https://www.reachtech.com/</t>
  </si>
  <si>
    <t>Reach Technology Inc</t>
  </si>
  <si>
    <t>31JUN2014: Rating changed from General to Restricted . May be used for critical labels if appropriate controls and inspection criteria are applied._x000D_
14MAY2014: Supplier evaluation #10568. Rated general because this was sufficient for Gavi mfg.</t>
  </si>
  <si>
    <t>https://reidprinttechnologies.com.au/</t>
  </si>
  <si>
    <t>Reid Industrial Graphic Products</t>
  </si>
  <si>
    <t>HMI, _x000D_
INNOVATIVE PRINTED ELECTRONICS ..._x000D_
SEARCH ..._x000D_
PRINTED ELECTRONICS_x000D_
FLEXIBLE PRINTED SENSORS_x000D_
PTC HEATERS – WEARABLE AND FLEXIBLE_x000D_
FORCE SENSING RESISTORS_x000D_
FLEXIBLE PRINTED UHF AND RFID ANTENNAS_x000D_
WEARABLE TECHNOLOGY_x000D_
PRINTED NFC DESIGN AND DEVELOPMENT_x000D_
SCREEN PRINTING PROCESS &amp; COLLABORATION_x000D_
SCREEN PRINTING SIMULATIONS, OVATIVE PRINTED ELECTRONICS ..._x000D_
SEARCH ..._x000D_
_x000D_
PRINTED ELECTRONICS_x000D_
INTERFACE SOLUTIONS_x000D_
SMALL PRODUCTION RUNS_x000D_
GRAPHIC OVERLAYS_x000D_
MEMBRANE KEYPADS_x000D_
CAPACITIVE SWITCH_x000D_
VARIABLE DATA LABELS_x000D_
BACKLIGHTING TECHNOLOGIES_x000D_
TOUCHSCREEN PROTECTORS_x000D_
WATERPROOF KEYBOARD &amp; ENCODERS_x000D_
LENSED LABELS_x000D_
NAMEPLATES</t>
  </si>
  <si>
    <t>Supplier used for project 316 Theta project. No longer required, deactivated.</t>
  </si>
  <si>
    <t>https://www.seform.com.tw/</t>
  </si>
  <si>
    <t>SEFORM ELECTRONICS CO., LTD.</t>
  </si>
  <si>
    <t>IN-VEHICLE COMPUTER (EN50155)
EDGE COMPUTING
INDUSTRIAL MONITOR
HMI TOUCH MONITOR
RESISTIVE MONITOR
PCAP MONITOR
WATERPROOF MONITOR
ULTRA BRIGHTNESS (SUNLIGHT READABLE)
OPEN FRAME</t>
  </si>
  <si>
    <t>https://www.stevenlabel.com/</t>
  </si>
  <si>
    <t>STEVEN LABEL CORP</t>
  </si>
  <si>
    <t>Custom nameplate &amp; label, membrane switch/keypad, foam &amp; rubber fabrication</t>
  </si>
  <si>
    <t>https://www.zabel-technik.de/</t>
  </si>
  <si>
    <t>Zabel Technik GmbH</t>
  </si>
  <si>
    <t>Industrial Print, Badges, decals, plates, stickers</t>
  </si>
  <si>
    <t>https://www.acitechnology.com/</t>
  </si>
  <si>
    <t>ACI Technologies Inc.</t>
  </si>
  <si>
    <t xml:space="preserve">IN-PANEL PC, DISPLAYS, </t>
  </si>
  <si>
    <t>https://www.apollodisplays.com/</t>
  </si>
  <si>
    <t>APOLLO DISPLAY TECH. CORP.</t>
  </si>
  <si>
    <t>TFT DISPLAY MODULES
TFT DISPLAYS
COMPACT PANELS
COMPACT IOT PANELS
HIGH BRIGHTNESS TFT DISPLAYS
BAR TYPE TOUCH DISPLAYS
TOUCH DISPLAYS
SPECIAL FORMATS
TRANSFLECTIVE TFT DISPLAYS
TRANSPARENT TFT DISPLAYS
EMI/NVIS TFT DISPLAYS
MONITOR SOLUTIONS
PANEL PCS
TOUCH MONITORS
4K UHD MONITORS
IP PROTECTED
IOT MONITORS
FIRELOAD OPTIMIZED DISPLAY
POS-LINE SERIES
HIGH BRIGHT MONITORS
PRO SERIES
PLUS-LINE
ECO-LINE
XTRA-LINE
TOUCH SCREENS
PCAP TECHNOLOGY
INFINITE PCAP TOUCH DESIGN
HOVER TOUCH
ANTIBACTERIAL FILM
RESISTIVE TECHNOLOGY
OPTICAL BONDING
TFT DISPLAY KIT SOLUTIONS
WITH ARM RASPBERRY PI
WITH TFT CONTROLLER
WITH IPC PLATFORMS
CUSTOMIZED SOLUTIONS
TECHNICAL SERVICES
CASE STUDIES
EMBEDDED OEM/ODM SERVICE
EMBEDDED SOLUTIONS
SINGLE BOARD COMPUTER
2.5" PICO-ITX™
3.5" COMPACT SBCS
PC/104 CPU MODULES &amp; OTHER
MOTHERBOARDS
MINI-ITX
MICRO-ATX
ATX
COMPUTER-ON-MODULES
COM EXPRESS® BASIC
SMARC™
QSEVEN™
SPECIAL SOM
EMBEDDED ACCESSORIES
FLASH &amp; MEMORY PRODUCTS
EXTENSION CARDS
WINDOWS IOT
EMBEDDED SYSTEMS
EMBEDDED BOX PCS
INDUSTRIAL 19'' SERVERS &amp; IPCS
TFT CONTROLLERS
ARTISTA IOT / RASPBERRY PI
VIDEO POSTER MEDIA PLAYERS
PRISMA TFT-CONTROLLERS
PRISMA 4K UHD TFT-CONTROLLER
CONFIGURATION SOFTWARE
TFT CONTROLLER SERIAL GUI
TFT-ACCESSORIES
LED CONVERTER
INTERFACE BOARDS
SENSORS
POWER SUPPLIES
HDBASET™ LONG DISTANCE MULTIMEDIA
FROZEN SCREEN / REMOTE DIAGNOSTICS
SOFTWARE
CONTENT MANAGEMENT</t>
  </si>
  <si>
    <t>https://www.densitron.com/</t>
  </si>
  <si>
    <t>Densitron</t>
  </si>
  <si>
    <t>HMI,CONTROL PANELS, DISPLAYS, COMPUTERS, CONTROL SYSTEMS, DESIGN &amp; BUILD</t>
  </si>
  <si>
    <t>DENSITRON CORPORATION</t>
  </si>
  <si>
    <t>HMI, HUMAN MACHINE INTERFACE, CONTROL PANELS,, RACK MOUNTABLE CONTROL PANELS, TFT MONITORS_x000D_
  _x000D_
OLED DISPLAYS_x000D_
TFT DISPLAYS_x000D_
MONOCHROME DISPLAYS, MONOCHROME DISPLAYS, ARM COMPUTERS, X86 COMPUTERS</t>
  </si>
  <si>
    <t>16Sep2020: Removed from register. Records have been archive.
09Aug2017. Momentum do not have an official Quality System in place but information provided indicates a good understanding of Quality principles.
Software supplied by Momentum must undergo agreed testing and verification before deployment.</t>
  </si>
  <si>
    <t>https://www.momentumconsulting.com.au/</t>
  </si>
  <si>
    <t>Momemtun P/L</t>
  </si>
  <si>
    <t>HUMAN RESOURCES</t>
  </si>
  <si>
    <t>http://www.dnvllc.com/</t>
  </si>
  <si>
    <t>DIGITAL NETWORK VISION, LLC</t>
  </si>
  <si>
    <t>IMAGING</t>
  </si>
  <si>
    <t>https://pixelink.com/</t>
  </si>
  <si>
    <t>Pixelink Inc</t>
  </si>
  <si>
    <t>https://www.voltrium.com.sg/en/</t>
  </si>
  <si>
    <t>Voltrium Systems Pte Ltd.</t>
  </si>
  <si>
    <t>VISION SYSTEMS, MACHINE VISION SYSTEMS</t>
  </si>
  <si>
    <t>https://dcisiv.com.au/</t>
  </si>
  <si>
    <t>DCISIV Technologies Pty Ltd</t>
  </si>
  <si>
    <t>INDUSTRIAL AUTOMATION</t>
  </si>
  <si>
    <t>https://appliedmfg.com/</t>
  </si>
  <si>
    <t>Applied Manufacturing Technologies</t>
  </si>
  <si>
    <t xml:space="preserve">04Apr2022: re-evaluation|e-mail sent
12Nov2018: Distributor only. ISO certificate obtained for manufacturer Telergon. All other purchases considered general. </t>
  </si>
  <si>
    <t>https://claytoncontrols.com/</t>
  </si>
  <si>
    <t>CLAYTON CONTROLS</t>
  </si>
  <si>
    <t>Contract manufacturer - metal fabrication | Distributor - electron-pneumatic and fluid power products</t>
  </si>
  <si>
    <t>https://www.cognex.com/en-au</t>
  </si>
  <si>
    <t>Cognex Corp</t>
  </si>
  <si>
    <t>http://www.apsindustrial.com.au/</t>
  </si>
  <si>
    <t>APS Industrial Pty Ltd</t>
  </si>
  <si>
    <t>INDUSTRIAL AUTOMATION,POWER DISTRIBUTION,MOTOR CONTROL &amp; DRIVES,WIRING &amp; CONTROL,CABLE,ENCLOSURES</t>
  </si>
  <si>
    <t>http://www.arlin.com.au/</t>
  </si>
  <si>
    <t>Arlin Components &amp; Hardware</t>
  </si>
  <si>
    <t>INDUSTRIAL AUTOMATION,DIN RAIL POWER SUPPLIES,ALUMINIUM HOUSED WIRE WOUND RESISTORS,SWITCH PLATE ASSEMBLIES,CAM SWITCHES,BUZZERS &amp; SOUNDERS,CONNECTION - POWER,EMI MAINS FILTERS,ENCLOSURES,FUSES &amp; FUSEHOLDERS,HARDWARE,RELAYS,SENSORS,STORAGE SYSTEMS,SWITCHES,TERMINALS &amp; LUGS</t>
  </si>
  <si>
    <t>https://cathtip.com/</t>
  </si>
  <si>
    <t>Cathtip</t>
  </si>
  <si>
    <t>INDUSTRIAL AUTOMATION,AUTOMATED CATHETER TIPPING, BONDING, FLARING</t>
  </si>
  <si>
    <t xml:space="preserve">PIPL Only for Project Mystique </t>
  </si>
  <si>
    <t>https://motion-solutions.com.au/</t>
  </si>
  <si>
    <t>Motion Solutions Australia Pty Ltd</t>
  </si>
  <si>
    <t>https://treotham.com.au/</t>
  </si>
  <si>
    <t>Treotham Automation Pty Ltd</t>
  </si>
  <si>
    <t>Motion controllers, drives, robots and sensors. Added in PIPP 30May 2023 as a distributor for PI-0075966 Gearbox.</t>
  </si>
  <si>
    <t>https://www.tro.com.au/</t>
  </si>
  <si>
    <t>Tro Pacific Holdings</t>
  </si>
  <si>
    <t>Tro Pacific Holdings Pty Ltd</t>
  </si>
  <si>
    <t>19Jul2018 Rating changed from General to Restricted, supplier has achieved ISO certification
16Jun2014 Rating changed from Critical to General, due to being distributor only, no critical parts purchased from this distributor.</t>
  </si>
  <si>
    <t>https://gamma-sci.com/</t>
  </si>
  <si>
    <t>GAMMA SCIENTIFIC INC.</t>
  </si>
  <si>
    <t>https://www.bayat.com/</t>
  </si>
  <si>
    <t>Bay Advanced Technologies LLC</t>
  </si>
  <si>
    <t>INDUSTRIAL AUTOMATION,CONTROLLERS,HMIS,SENSING, ENCODERS, AND INSTRUMENTATION,SAFETY + SIGNAL TOWERS,TEMPERATURE CONTROL,, STATIC CONTROL,LINEAR BEARINGS,LINEAR BEARINGS,LEADSCREWS + BALLSCREWS,STEPPER ACTUATORS,ELECTRIC CYLINDERS,PRECISION LINEAR ACTUATORS AND STAGES,MOTORS + DRIVES,GEARHEADS,ROLLER PINION SYSTEMS</t>
  </si>
  <si>
    <t>https://www.pwb-encoders.com/</t>
  </si>
  <si>
    <t>PWB encoder GmbH</t>
  </si>
  <si>
    <t>HOLLOW SHAFT ENCODERS
SHAFT ENCODERS
KIT ENCODERS
LINEAR ENCODERS
ENCODER DISCS
ENCODER SCALES</t>
  </si>
  <si>
    <t>https://www.aektechnology.com/</t>
  </si>
  <si>
    <t>AEK TECHNOLOGY INC.</t>
  </si>
  <si>
    <t>INDUSTRIAL COMPONENTS</t>
  </si>
  <si>
    <t>AIRCRAFT  ENGINE MOUNTS
BALL &amp; PLUNGER STOPS
CASTERS WHEELS
CONICAL SEALS
FIXTURE &amp; TOOL LOCATING DEVICES
HYDRAULIC FITTINGS
KNOBS &amp; THUMBWHEELS</t>
  </si>
  <si>
    <t>https://www.essentracomponents.com/en-au</t>
  </si>
  <si>
    <t>ESSENTRA COMPONENTS</t>
  </si>
  <si>
    <t>PCB SPACERS, RIVETS, CABLE GROMMETS, WASHERS, LATCHES, KNOBS, BUTTONS, WASHERS</t>
  </si>
  <si>
    <t>https://www.fujikuracomposites.jp/en/</t>
  </si>
  <si>
    <t>Fujikura Composites Inc</t>
  </si>
  <si>
    <t>https://www.halderusa.com/</t>
  </si>
  <si>
    <t>Halder USA Inc.</t>
  </si>
  <si>
    <t>HALDER PINS
WORKHOLDING SOLUTIONS
CLAMPING PARTS OVERVIEW
HALDER PINS
SPRING PLUNGERS</t>
  </si>
  <si>
    <t>https://www.industrialcasterandwheel.com/</t>
  </si>
  <si>
    <t>INDUSTRIAL CASTER &amp; WHEEL CO.</t>
  </si>
  <si>
    <t>CASTERS &amp; WHEELS
FURNITURE CASTERS
LIGHT DUTY CASTERS
GENERAL DUTY CASTERS
LIGHT MEDIUM DUTY CASTERS
MEDIUM HEAVY DUTY CASTERS
HEAVY DUTY CASTERS
EXTRA HEAVY DUTY CASTERS
BUSINESS MACHINE CASTERS
SPECIALTY CASTERS
RUBBER WHEELS
POLYURETHANE WHEELS
METAL WHEELS
NYLON / PLASTIC WHEELS
HIGH HEAT WHEELS
PNEUMATIC / CUSHION WHEELS
TRACK WHEELS
LEVELERS &amp; FLOOR LOCKS
BUMPERS AND CASTER SOCKETS
CASTER BRAKES
CUSTOM WHEELS
CONVERTIBLE KINGPINLESS SWIVEL ASSEMBLY
DUAL TECH CASTERS
REFUSE AND RECYCLING CASTERS &amp; WHEELS</t>
  </si>
  <si>
    <t>https://sg.misumi-ec.com/</t>
  </si>
  <si>
    <t>MISUMI</t>
  </si>
  <si>
    <t>https://www.onlinecomponents.com/</t>
  </si>
  <si>
    <t>Online Components.com</t>
  </si>
  <si>
    <t>RS AMERICAS, Inc.</t>
  </si>
  <si>
    <t>https://au.rs-online.com/</t>
  </si>
  <si>
    <t>RS Components Pty Ltd</t>
  </si>
  <si>
    <t>https://www.sager.com/</t>
  </si>
  <si>
    <t>SAGER ELECTRONICS</t>
  </si>
  <si>
    <t>BATTERY
CAPACITORS
CHEMICALS
CIRCUIT PROTECTION
COMPUTER PRODUCTS
CONNECTORS
EMBEDDED SOLUTIONS
EMI FILTERS / EMI SUPPRESSION
ENCLOSURES
FASTENERS, HARDWARE AND FLUID TRANSFER
FREQUENCY CONTROLS
MAGNETICS
MATERIALS
MOTORS, CONTROLLERS, AND SOLENOIDS
OPTOELECTRONICS AND DISPLAYS
ADAPTERRELAYS AND I/O MODULES
RESISTORS
LOGORF AND WIRELESS
ELECTRONICSSEMICONDUCTORS
SENSORS AND TRANSDUCERS
SWITCHES
THERMAL MANAGEMENT
TOOLS AND SUPPLIES
WIRE AND CABLES</t>
  </si>
  <si>
    <t>https://www.seastrom-mfg.com/</t>
  </si>
  <si>
    <t>Seastrom Manufacturing Co, Inc</t>
  </si>
  <si>
    <t>10Mar2015: added Qualtek to list of brands which may be purchased as 'critical'.
4Feb2015: Distributor only. ISO certificates obtained for the following brands, which may be purchased as 'critical' :
Schurter (fuses only), Elektron (includes Arcolectric and Bulgin brands). All other brands from purchased from RS components are considered general.
ISO certificate expiry: RS Components: 15-Mar-2020, Bulgin-Arcolectric-Elekron: 9Sep2021, Wurth 03Sep2021, Neutrik 24Mar2021, Orion Fans 12Sep2020, Tesa: various</t>
  </si>
  <si>
    <t>https://spep.com/</t>
  </si>
  <si>
    <t>Sierra Pacific Engineering and Prod</t>
  </si>
  <si>
    <t>https://www.mcmaster.com/</t>
  </si>
  <si>
    <t>MCMASTER-CARR</t>
  </si>
  <si>
    <t>https://www.smallparts.com.au/</t>
  </si>
  <si>
    <t>Small Parts &amp; Bearings Pty Ltd (Minature Bearings)</t>
  </si>
  <si>
    <t>https://www.motion.com/</t>
  </si>
  <si>
    <t>MOTION INDUSTRIES</t>
  </si>
  <si>
    <t>ABRASIVES
ADHESIVES, SEALANTS AND TAPE
BEARINGS
CHEMICALS, LUBRICANTS &amp; EQUIPMENT
CUTTING TOOLS
ELECTRICAL
FACILITY MAINTENANCE
HAND &amp; POWER TOOLS
HOSE AND FITTINGS
HYDRAULICS
JANITORIAL
LINEAR MOTION
MATERIAL HANDLING
MECHANICAL POWER TRANSMISSION
PNEUMATICS
PROCESS PUMPS AND EQUIPMENT
RAW MATERIALS
SAFETY
SEALS AND GASKETS</t>
  </si>
  <si>
    <t>18Jan2019 Rated restricted due to distributor only</t>
  </si>
  <si>
    <t>RS Components Ltd.</t>
  </si>
  <si>
    <t>18Aug2020 - ISO cert is for Transcend</t>
  </si>
  <si>
    <t>https://www.tekdis.com.au/</t>
  </si>
  <si>
    <t>Tekdis</t>
  </si>
  <si>
    <t>INDUSTRIAL COMPUTING</t>
  </si>
  <si>
    <t>https://www.harting.com/</t>
  </si>
  <si>
    <t>Harting Pty Ltd</t>
  </si>
  <si>
    <t>INDUSTRIAL CONNECTIVITY</t>
  </si>
  <si>
    <t>CABLES
INDUSTRIAL CONNECTORS HAN
INTERFACE CONNECTORS
SPE: THE INFRASTRUCTURE FOR IIOT
INDUSTRIAL ETHERNET SOLUTIONS
FIELD WIREABLE CONNECTORS
PCB CONNECTORS
SYSTEM CABLING
CUSTOMISED SOLUTIONS
INDUSTRIAL ETHERNET SWITCHES
TOOLS
3D-MID EXPERTISE
CHARGING EQUIPMENT FOR ELECTROMOBILITY
SOLENOID SYSTEMS</t>
  </si>
  <si>
    <t>https://www.quadrangleproducts.com/</t>
  </si>
  <si>
    <t>QUADRANGLE PRODUCTS, INC.</t>
  </si>
  <si>
    <t>ADAPTER BOARDS
BULK CABLE AND SPECIALTY WIRE
CONNECTORS WE SUPPORT
CUSTOM CABLE SOLUTIONS (LVDS, BACKLIGHT, ETC)
CUSTOM USB CABLES
DEVELOPMENT KITS
EXTENSION CABLES
FFC (FLAT FLEXIBLE CABLE)
FFC/FPC TO ROUND WIRE
FPC (FLEXIBLE PRINTED CIRCUITS)
FPDI-1/VESA TYPE/DF9
MICRO COAX (ACES, IPEX, JAE)
MIL-SPEC CONNECTOR CABLES
OPEN-END / FLYING LEADS</t>
  </si>
  <si>
    <t>For Project 582-Bootcamp Hermetic Feed Through Connectors</t>
  </si>
  <si>
    <t>https://raycontech.com/</t>
  </si>
  <si>
    <t>RAYCON TECHNOLOGY, INC.</t>
  </si>
  <si>
    <t>CUSTOM CABLE ASSEMBLIES
D-SUB CONNECTORS
HEADERS
IDC CONNECTORS
BACKPLANE CONNECTORS
FLAT-RIBBON-CABLE-WITH-IDC-CONNECTORS-1024X819-RESIZED
IDC CONNECTORS
IC AND MEMORY SOCKETS
IC AND MEMORY SOCKETS
TERMINAL BLOCKS
TERMINAL BLOCKS
WIRE TO BOARD CONNECTORS
WIRE-TO-BOARD CONNECTORS
EDGCARD-CONNECTOR-SMALL-RESIZED
EDGECARD CONNECTORS</t>
  </si>
  <si>
    <t>http://www.molex.com/</t>
  </si>
  <si>
    <t>Molex de Mexico S.A. de C.V</t>
  </si>
  <si>
    <t>ANTENNAS
AUTOMOTIVE CONNECTIVITY
CABLE ASSEMBLY
INDUSTRIAL AUTOMATION
OPTICAL SOLUTIONS
PRINTED CIRCUIT SOLUTIONS
RFID PRODUCTS
SENSORS
WIRE AND CABLE
CONNECTORS
ADVANCED PACKAGING
APPLICATION TOOLING
BUILDING INFRASTRUCTURE
CAPILLARY TUBING - POLYMICRO
CONTACTLESS CONNECTIVITY
FPGA COMPUTING SYSTEMS
RF FILTERS
RF ISOLATORS AND CIRCULATORS</t>
  </si>
  <si>
    <t>MEXICO</t>
  </si>
  <si>
    <t>https://www.rojone.com.au/</t>
  </si>
  <si>
    <t>Rojone</t>
  </si>
  <si>
    <t>ANTENNAS
BASE STATION, MAST MOUNT, ANTENNAS
DEFENCE &amp; MILITARY ANTENNAS
DISCONE ANTENNA
GPS, SATELLITE &amp; IRIDIUM ANTENNAS
IBC- IN-BUILDING CELLULAR ANTENNAS
INTRODUCTION
LOG PERIODIC ANTENNA
LOW BAND LB – AVIATION &amp; VHF
MASTS
MIMO ANTENNA RANGE
MOBILE RADIO ANTENNAS CB,HF,VHF,UHF,AM-FM,DAB
MOBILE, VEHICLE CELLULAR ANTENNAS
MOUNTING BRACKETS, BASES &amp; LEADS
PARABOLIC DISH ANTENNAS 5.1-5.8GHZ
RFID 868MHZ WLAN &amp; SCADA
WAVEGUIDE HORN ANTENNAS
WIRELESS WLAN / WIMAX ANTENNAS
YAGI (BEAM) ANTENNAS
CABLE ASSEMBLIES
COAXIAL ASSEMBLIES
FIBER OPTIC ASSEMBLIES
HIGH PERFORMANCE &amp; TEST CABLE ASSEMBLIES
MULTI CORE/MULTI PIN CABLE ASSEMBLIES
SEMI RIGID CABLE ASSEMBLIES
CABLES
COAXIAL CABLES
ARMOURED CABLE
DATA CABLE – CAT 5, CAT 6, CAT 7
FIBRE OPTIC CABLES
INSTALLATION ACCESSORIES
LMR BUNDLED CABLE
MULTI CORE CABLES
SEMI RIGID COAX CABLES
SPECIAL APPLICATION CABLES
TRANSIT CABLES
CALIBRATION AND TEST KITS
COMMUNICATION HEADSETS
AVIATION HEADSETS
CONSUMABLES
INTERFACE LEADS
LIGHTWEIGHT HEADSETS
MILITARY HEADSETS
COMPONENTS – ACTIVE
ACTIVE OPTICS
AMPLIFIERS
MULTICOUPLERS
RADIO MODEMS
REPEATER KITS – GPS/CELLULAR
COMPONENTS – PASSIVE
ATTENUATORS
BIAS TEES
CIRCULATORS &amp; ISOLATORS
COMBINERS (NETWORK COMBINERS)
COUPLER &amp; HYBRID COUPLERS
DC BLOCKS
DIVIDERS – SPLITTERS
DUPLEX &amp; MULTI COUPLERS
FILTERS
IMPEDANCE MATCHING PADS
LIGHTNING PROTECTION
LIGHTNING PROTECTION – COAXIAL
LIGHTNING PROTECTION – DATA
LIMITERS
MIXERS, DOUBLE BALANCED
OTHER DEVICES
POE – POWER OVER ETHERNET DEVICES
RF DETECTORS
SWITCHES
TERMINATIONS
WAVEGUIDE PRODUCTS
CONNECTORS
4.3-10 LOW PIM NEW TELCOM SERIES
ACCESSORIES
WEATHER SEAL BOOTS
AUDIO PLUGS &amp; SWITCHES
7 – AND 10 – PIN WATERPROOF BREAKAWAY CONNECTORS
M55116 MIL-SPEC CONNECTORS
MICROPHONE PLUGS AND JACKS
PUSH-BUTTON SWITCHES
TAC CONNECTORS
TELEPHONE PLUGS AND JACKS
COAXIAL RF CONNECTORS &amp; ADAPTORS
DATA TRANSMISSION CONNECTORS
FIBRE OPTIC SOLUTIONS
INDUSTRIAL CIRCULAR CONNECTORS
INSTALLATION ACCESSORIES
MILITARY CIRCULAR CONNECTORS
NEX10™ SERIES
RECTANGULAR AEROSPACE CONNECTORS
GPS PRODUCTS
GPS AMPLIFIERS
GPS ANTENNAS
GPS FILTERS
GPS LIGHTNING &amp; SURGE PROTECTION
GPS OVER FIBRE
GPS RECEIVERS &amp; SMART ANTENNAS
GPS REPEATER
GPS SPLITTERS &amp; DIVIDERS
PRINT CATALOGUES
RF OVER FIBRE (RFOF)
GPS – RFOF
IRIDIUM – RFOF
SATCOM – RFOF
ROTARY JOINTS
SURPLUS STOCK
SURVEY PRODUCTS
TOOLING AND ACCESSORIES</t>
  </si>
  <si>
    <t>https://www.connectpositronic.com/</t>
  </si>
  <si>
    <t>Positronic Asia Pte Ltd</t>
  </si>
  <si>
    <t>CONNECTORS
POWER &amp; HYBRID
DSUB
D-SUB
RECTANGULAR CONNECTOR
RECTANGULAR
CIRCULAR CONNECTORS
CIRCULAR</t>
  </si>
  <si>
    <t>https://switchesplus.com.au/</t>
  </si>
  <si>
    <t>Switches Plus Components</t>
  </si>
  <si>
    <t>INDUSTRIAL ELECTRICAL COMPONENTS</t>
  </si>
  <si>
    <t>13DEC2018: Removed from register as no longer in use. Rating changed to General.</t>
  </si>
  <si>
    <t>https://www.bradyid.com.au/</t>
  </si>
  <si>
    <t>Brady Australia</t>
  </si>
  <si>
    <t xml:space="preserve">INDUSTRIAL EQUIPMENT </t>
  </si>
  <si>
    <t>INDUSTRIAL EQUIPMENT ,PRINTERS, SIGNAGE, FIRST AID</t>
  </si>
  <si>
    <t>Distributor for heaters: ONE-OFF purchase only. Once PO has been raised and processed, the suplier will be placed on hold.</t>
  </si>
  <si>
    <t>https://www.spray.com/</t>
  </si>
  <si>
    <t>Spraying Systems Co Pty Ltd</t>
  </si>
  <si>
    <t>INDUSTRIAL EQUIPMENT ,SPRAY NOZZLES</t>
  </si>
  <si>
    <t>Distributor of bearings, belts, fasteneers, and other industrial supplies.</t>
  </si>
  <si>
    <t>https://www.javac.com.au/</t>
  </si>
  <si>
    <t>Javac Pty Ltd</t>
  </si>
  <si>
    <t xml:space="preserve">INDUSTRIAL EQUIPMENT ,JVAC TOOLS, AUTOMOTIVE TOOLS, INDUSTRIAL TOOLS, </t>
  </si>
  <si>
    <t>https://www.l-com.com/</t>
  </si>
  <si>
    <t>L-Com Global Connectivity (Infinite Electronics)</t>
  </si>
  <si>
    <t>19Jul2018: Rated restricted due to has not provided supplier eval form. Approved for cables.</t>
  </si>
  <si>
    <t>https://mektronics.com.au/</t>
  </si>
  <si>
    <t>Mektronics Australia Pty Ltd</t>
  </si>
  <si>
    <t>14Nov2018: General because they are distributor only.</t>
  </si>
  <si>
    <t>https://www.rshughes.com/</t>
  </si>
  <si>
    <t>R.S. HUGHES (US)</t>
  </si>
  <si>
    <t>21Aug2018: Removed from Approved supplier list 21Aug2018, due to supplier no longer required. Rating changed from Restricted to General.
29Jan2015: changed from critical to restricted due to supplier being a distributor only. Only Keystone brand items can be purchased as critical, all other brands from this supplier considered general._x000D_</t>
  </si>
  <si>
    <t>https://www.gordosales.com/</t>
  </si>
  <si>
    <t>Gordo Sales, Inc</t>
  </si>
  <si>
    <t>INDUSTRIAL EQUIPMENT ,INDUSTRIAL HEATERS, DRUMS</t>
  </si>
  <si>
    <t>Loctite 3311</t>
  </si>
  <si>
    <t>https://industrialbearings.com.au/</t>
  </si>
  <si>
    <t>Industrial &amp; Bearing Supplies (Naada Pty Ltd)</t>
  </si>
  <si>
    <t>INDUSTRIAL EQUIPMENT ,BEARINGS, POWER TRANSMISSION, INDUSTRIAL SUPPLIES</t>
  </si>
  <si>
    <t>https://www.npa.com.au/</t>
  </si>
  <si>
    <t>NPA Pty Ltd</t>
  </si>
  <si>
    <t>Email re ISO 9001 sent on 11 Jul 2022 (follow up on July 19)</t>
  </si>
  <si>
    <t>https://locker.com.au/</t>
  </si>
  <si>
    <t>Webforge Locker (The Mesh Store)</t>
  </si>
  <si>
    <t>INDUSTRIAL FLOORING</t>
  </si>
  <si>
    <t>https://trinityii.com/</t>
  </si>
  <si>
    <t>Trinity International Industries</t>
  </si>
  <si>
    <t>INDUSTRIAL FURNITURE</t>
  </si>
  <si>
    <t>ALL BY PRODUCT
SHELVING RACKS
TOOL STORAGE + WORKBENCHES
GARAGE CABINETS
UTILITY SINKS
WORK TABLES
PREP TABLES
JOB SITE BOXES
KITCHEN ISLANDS + CARTS
CABINET + WALL ORGANIZERS
CANISTERS
COOLERS
PATIO CHAIRS/SETS
DECK BOXES
CLOSET ORGANIZERS
MIRRORS
WALL RACKS
WALL SHELVING
LAUNDRY ORGANIZERS
SHOE ORGANIZERS
PET CRATES + ENCLOSURES
BINS
CARTS
STOOLS</t>
  </si>
  <si>
    <t>https://www.biscoind.com/</t>
  </si>
  <si>
    <t>BISCO INDUSTRIES</t>
  </si>
  <si>
    <t>INDUSTRIAL HARDWARE</t>
  </si>
  <si>
    <t>https://www.uesint.com/</t>
  </si>
  <si>
    <t>UES International Pty Ltd</t>
  </si>
  <si>
    <t>development of automation systems and components, the energy automations and custom specific solutions</t>
  </si>
  <si>
    <t>https://www.hms-networks.com/</t>
  </si>
  <si>
    <t>HMS Industrial Networks Pty Ltd</t>
  </si>
  <si>
    <t>INDUSTRIAL IOT</t>
  </si>
  <si>
    <t>INDUSTRIAL IOT,IOT</t>
  </si>
  <si>
    <t>HMS Networks Inc (HMS Industrial Networks Inc)</t>
  </si>
  <si>
    <t>HMS Technology (HMS Networks)</t>
  </si>
  <si>
    <t>23FEB2018: Distributor only. Certificate obtained for Meanwell parts only. All other parts from this supplier considered General. ADM ISO certificate expiry 19SEP2021, Meanwell 13485 expiry 21Jun2022</t>
  </si>
  <si>
    <t>https://www.admtech.com.au/</t>
  </si>
  <si>
    <t>ADM Instrument Engineering</t>
  </si>
  <si>
    <t>INDUSTRIAL PRODUCTS</t>
  </si>
  <si>
    <t>INDUSTRIAL PRODUCTS,LED DRIVERS AND LIGHTING CONTROLS, INDUSTRIAL POWER SUPPLIES, INDUSTRIAL PROCESS AUTOMATION, NUCLEAR TECHNOLOGIES AND OHSE, PCA ENCODERS, POWER SUPPLIES, LED SUPPLIES</t>
  </si>
  <si>
    <t>https://www.viaircorp.com/</t>
  </si>
  <si>
    <t>Viair Corporation</t>
  </si>
  <si>
    <t>INDUSTRIAL PRODUCTS,COMPRESSORS</t>
  </si>
  <si>
    <t>https://www.vortexdoors.com/</t>
  </si>
  <si>
    <t>VORTEX INDUSTRIES</t>
  </si>
  <si>
    <t>DOORS</t>
  </si>
  <si>
    <t xml:space="preserve">12V/24V DC Air Compressors and accessories </t>
  </si>
  <si>
    <t>https://dynatect.com/</t>
  </si>
  <si>
    <t>DYNATECT EQUIPMENT PROTECTION</t>
  </si>
  <si>
    <t>https://na.industrial.panasonic.com/</t>
  </si>
  <si>
    <t>Panasonic Electronic Devices</t>
  </si>
  <si>
    <t>BATTERIES
BUILDING &amp; APPLIANCE PRODUCTS &amp; DEVICES
COMPONENTS &amp; DEVICES
ELECTRONIC MATERIALS
INDUSTRIAL AUTOMATION
MATERIAL MANAGEMENT SOLUTIONS</t>
  </si>
  <si>
    <t>https://www.fastenal.com/</t>
  </si>
  <si>
    <t>FASTENAL (AU)</t>
  </si>
  <si>
    <t>INDUSTRIAL SOLUTIONS</t>
  </si>
  <si>
    <t>INDUSTRIAL SOLUTIONS,FASTENERS, SAFETY, JANITORIAL AND CLEANING, TOOLS &amp; EQUIPMENT, CUTTING TOOLS AND METALWORKING, MATERIAL HANDLING, LIFTING AND RIGGING, ABRASIVES, ELECTRICAL, ADHESIVES, SEALANTS, TAPES, PNEUMATICS, PLUMBING, HVAC AND REFRIGERATION, HARDWARE AND BUILDING SUPPLIES, LUBRICANTS, COLORANTS, FLUIDS</t>
  </si>
  <si>
    <t>https://www.barcodesinc.com/</t>
  </si>
  <si>
    <t>Barcodes Inc</t>
  </si>
  <si>
    <t>INDUSTRIAL SUPPLIES</t>
  </si>
  <si>
    <t>INDUSTRIAL SUPPLIES,HANDHELD COMPUTERS, BARCODE PRINTERS, BARCODE SCANNERS, TABLET COMPUTERS, RECEIPT PRINTERS, BARCODE LABELS, RDIF READERS, AUTONOMOUS MOBILE ROBOTICS</t>
  </si>
  <si>
    <t>Distributor only (Henkel Loctite)</t>
  </si>
  <si>
    <t>https://www.blackwoods.com.au/</t>
  </si>
  <si>
    <t>Blackwoods  (J. Blackwood &amp; Son Pty. Ltd)</t>
  </si>
  <si>
    <t>INDUSTRIAL SUPPLIES,SAFETY PPE,WORKPLACE SAFETY,CLOTHING &amp; FOOTWEAR,LIFTING &amp; MANUAL HANDLING,TOOLS,ELECTRICAL &amp; AUTOMOTIVE,MECHANICAL ENGINEERING,CLEANING, PACKAGING AND OFFICE SUPPLIES,BUILDING &amp; HARDWARE,FABRICATION,FASTENERS &amp; FIXINGS</t>
  </si>
  <si>
    <t>Labels &amp; Signs</t>
  </si>
  <si>
    <t>https://www.clarionsafety.com/</t>
  </si>
  <si>
    <t>Clarion Safety Systems, LLC</t>
  </si>
  <si>
    <t>INDUSTRIAL SUPPLIES,FACILITY SIGNAGE, FACILITY LABELS, CUSTOM SIGNAGE, MACHINERY RISK SOLUTIONS</t>
  </si>
  <si>
    <t>https://ipdgroup.com.au/</t>
  </si>
  <si>
    <t>Control Logic Pty Ltd</t>
  </si>
  <si>
    <t>INDUSTRIAL SUPPLIES,INDUSTRIAL USB HUBS, SERIAL DEVICES, CUSTOM SOLUTIONS, USB CABLES, POWER ON ETHERNET</t>
  </si>
  <si>
    <t>https://www.grainger.com/</t>
  </si>
  <si>
    <t>GRAINGER</t>
  </si>
  <si>
    <t>SAFETY &amp; SECURITY
LIGHTING &amp; ELECTRICAL
LIGHTING &amp; ELECTRICAL
TOOLS &amp; TEST INSTRUMENTS
TOOLS &amp; TEST INSTRUMENTS
CLEANING &amp; JANITORIAL
CLEANING &amp; JANITORIAL
HVAC
HVAC
PIPES, HOSE, TUBE &amp; FITTINGS
PIPES, HOSE, TUBE &amp; FITTINGS
PLUMBING &amp; PUMPS
PLUMBING &amp; PUMPS
METALWORKING &amp; FABRICATION
METALWORKING &amp; FABRICATION
MOTORS &amp; POWER TRANSMISSION
MOTORS &amp; POWER TRANSMISSION
PNEUMATICS &amp; HYDRAULICS
PNEUMATICS &amp; HYDRAULICS
MATERIAL HANDLING
MATERIAL HANDLING
PACKAGING &amp; SHIPPING
PACKAGING &amp; SHIPPING
FASTENERS, HARDWARE &amp; RAW MATERIALS
FASTENERS, HARDWARE &amp; RAW MATERIALS
BUILDING &amp; GROUNDS MAINTENANCE
BUILDING &amp; GROUNDS MAINTENANCE
TAPES, ADHESIVES &amp; LUBRICANTS
TAPES, ADHESIVES &amp; LUBRICANTS
FLEET &amp; VEHICLE MAINTENANCE
FLEET &amp; VEHICLE MAINTENANCE
LAB, OFFICE &amp; HOSPITALITY SUPPLIES
LAB, OFFICE &amp; HOSPITALITY SUPPLIES</t>
  </si>
  <si>
    <t>https://www.hisco.com/</t>
  </si>
  <si>
    <t>HISCO / ALL-SPEC INDUSTRIES</t>
  </si>
  <si>
    <t>ALCOHOLS (2)
ANTI-STATIC POLYETHYLENE BAGS (3)
BOUFFANT CAPS &amp; BEARD COVERS (1)
CAUTION LABELS 
CHEMICAL RESISTANT SHELVES (31)
CHEMICAL RESISTANT WORKBENCHES (33)
CIRCUIT BOARD ASSEMBLY &amp; REPAIR KITS (2)
CLEANROOM WIPES (2)
CLEARANCE (19)
CPU HOLDERS (1)</t>
  </si>
  <si>
    <t>https://www.jwwinco.com/</t>
  </si>
  <si>
    <t>J.W. Winco Inc</t>
  </si>
  <si>
    <t>https://www.refast.com.au/</t>
  </si>
  <si>
    <t>Refast Pty Ltd</t>
  </si>
  <si>
    <t>https://www.remtron.com.au/</t>
  </si>
  <si>
    <t>Remtron Pty Ltd</t>
  </si>
  <si>
    <t>11Sep2020: E-mail new SE form for completion. Follow-up on 23 Jul 2020 (Stef). Follow up on 18Dec2020 (cbc), 23Feb2021 (Stef).
19Mar2014: Supplier is a wholesaler only, no ISO certificate. ISO certificate is provided for Elesa Ganter manufactured products. Supplier considered general for all other products, request an ISO certificate if required for other brands.</t>
  </si>
  <si>
    <t>https://www.mcnaughtans.com.au/</t>
  </si>
  <si>
    <t>McNaughtans Pty Ltd</t>
  </si>
  <si>
    <t>Distributor for bearing, fastener, and engineering supplier</t>
  </si>
  <si>
    <t>https://www.mscdirect.com/</t>
  </si>
  <si>
    <t>MSC INDUSTRIAL SUPPLY</t>
  </si>
  <si>
    <t>Distributor</t>
  </si>
  <si>
    <t>https://www.rcsproducts.com.au/</t>
  </si>
  <si>
    <t>RCS Products Pty Ltd</t>
  </si>
  <si>
    <t>small crane lifter</t>
  </si>
  <si>
    <t>https://www.fallshaw.com.au/</t>
  </si>
  <si>
    <t>Richmond Wheel &amp; Castor Co</t>
  </si>
  <si>
    <t>https://www.grizzly.com/</t>
  </si>
  <si>
    <t>Grizzly Industrial Inc.</t>
  </si>
  <si>
    <t>INDUSTRIAL TOOLS</t>
  </si>
  <si>
    <t>https://www.guhring.com.au/</t>
  </si>
  <si>
    <t>Guhring Pty Ltd</t>
  </si>
  <si>
    <t>MACHINE BITS, CUTTING TOOLS, DRILL BITS</t>
  </si>
  <si>
    <t>https://www.oritech.com.au/</t>
  </si>
  <si>
    <t>Oritech Pty Ltd</t>
  </si>
  <si>
    <t>INDUSTRIAL TOOLS,ELECTRONICS</t>
  </si>
  <si>
    <t>OEM supplier for Neutral Earth Bar</t>
  </si>
  <si>
    <t>https://www.quador.com.au/</t>
  </si>
  <si>
    <t>Quador (Aust) Pty Ltd</t>
  </si>
  <si>
    <t>https://www.swiftsupplies.com.au/</t>
  </si>
  <si>
    <t>Swift Supplies Online Pty Ltd</t>
  </si>
  <si>
    <t>https://eshop.wurth.com.au/</t>
  </si>
  <si>
    <t>Wurth Electronics Australia Pty Ltd</t>
  </si>
  <si>
    <t>Wurth Service Supply</t>
  </si>
  <si>
    <t>https://www.soldermastersupply.com/</t>
  </si>
  <si>
    <t>Solder Master Supply Co.</t>
  </si>
  <si>
    <t>SOLDERING EQUIPMENT</t>
  </si>
  <si>
    <t>05Sep2022: e-mail sent</t>
  </si>
  <si>
    <t>https://www.stelvio-kontek.com/</t>
  </si>
  <si>
    <t>Stelvio Kontek</t>
  </si>
  <si>
    <t>Wurth Electronics (Singapore)</t>
  </si>
  <si>
    <t>https://www.we-online.com/en</t>
  </si>
  <si>
    <t>WURTH ELEKTRONICS MIDCOM, INC.</t>
  </si>
  <si>
    <t>13Nov2017: Removed from Approved supplier list 13Nov2017, due to supplier no longer required. Rating changed from restricted to General.
1May2012: Approved for pre-production prototype parts and tooling for production. Not approved for production critical parts</t>
  </si>
  <si>
    <t>http://www.ortech.co.kr/</t>
  </si>
  <si>
    <t>Ortech Inc</t>
  </si>
  <si>
    <t>IR DRYING SOLUTIONS</t>
  </si>
  <si>
    <t>Prototype samples packaging</t>
  </si>
  <si>
    <t>https://www.adlinktech.com/</t>
  </si>
  <si>
    <t>ADLINK Technology, Inc.</t>
  </si>
  <si>
    <t>IT</t>
  </si>
  <si>
    <t>IT,COMPUTER ON MODULE, GPU SOLUTIONS, HEALTHCARE COMPUTING, INDUSTRIAL DISPLAYS, RUGGED COMPUTING, AUTOMOTOVIE COMPUTING, GAMING PLATFORMS</t>
  </si>
  <si>
    <t>mould making</t>
  </si>
  <si>
    <t>https://aws.amazon.com/</t>
  </si>
  <si>
    <t>AWS (Amazon Web Services)</t>
  </si>
  <si>
    <t>IT,WEB SERVICES</t>
  </si>
  <si>
    <t>https://azure.microsoft.com/</t>
  </si>
  <si>
    <t>Azure (Microsoft Azure)</t>
  </si>
  <si>
    <t>13Nov2017: Removed from Approved supplier list 13Nov2017, due to supplier no longer required. Rating changed from Restricted to General.</t>
  </si>
  <si>
    <t>https://www.blackberry.com/</t>
  </si>
  <si>
    <t>Blackberry</t>
  </si>
  <si>
    <t>https://ctrl.co/</t>
  </si>
  <si>
    <t>CTRL Group</t>
  </si>
  <si>
    <t>IT,BLUE NODE, PENETRATION TESTING, GOVERNANCE RISK AND COMPLIANCE, CYBER ADVISORY</t>
  </si>
  <si>
    <t>https://www.cultureamp.com/</t>
  </si>
  <si>
    <t>Culture Amp</t>
  </si>
  <si>
    <t>IT,EMPLOYEE WELLBEING</t>
  </si>
  <si>
    <t>Do Not Use. Supplier does not meet performance requirements - counterfeit raw materials used in mouldings
10Apr2015: Rating changed from restricted to general. Supplier did not meet performance requirements.
9Dec2013:_x000D_ If a moulded part is being ordered, purchaser should request a COC for the raw material used for the order, and a photo of original packaging showing the batch number. Risk of counterfeit material.</t>
  </si>
  <si>
    <t>https://cybercx.com.au/</t>
  </si>
  <si>
    <t>CyberCX Pty Ltd</t>
  </si>
  <si>
    <t>IT,PENETRATION TESTING, CLOUD SECURITY SOLUTIONS, IDENTITY AND ACCESS MANAGEMENT</t>
  </si>
  <si>
    <t>https://www.definium.net/</t>
  </si>
  <si>
    <t>Definium Technologies Pty Ltd</t>
  </si>
  <si>
    <t>IT,IOT, INDUSTRIAL GATEWAY, LORAWAN NODE, LTE CAT M1 NODE, LTE NB-IOT NODE, LEO SATELLITE NODE</t>
  </si>
  <si>
    <t>https://fedevel.com/</t>
  </si>
  <si>
    <t>Fedevel s.r.o</t>
  </si>
  <si>
    <t>IT,ELECTRONICS KNOWLEDGE COURSES ONLINE</t>
  </si>
  <si>
    <t>SLOVAKIA</t>
  </si>
  <si>
    <t>https://www.4cabling.com.au/</t>
  </si>
  <si>
    <t>4Cabling Pty Ltd</t>
  </si>
  <si>
    <t>IT,CABLING, NETWORK CABLES, VIDEO CABLES, AUDIO CABLES, POWER CABLES, PHONE CABLES, COMPUTER CABLES, SERVER RACKS_x000D_
STORAGE &amp; SHELVING_x000D_
FIBRE CABLES_x000D_
SFP</t>
  </si>
  <si>
    <t>https://www.advantech.com/</t>
  </si>
  <si>
    <t>Advantech Australia &amp; New Zealand</t>
  </si>
  <si>
    <t>IT,EMBEDDED SOLUTIONS, IHEALTHCARE, INDUSTRIAL EQUIPMENT MANUFACTURING, IRETAIL, ILOGISTICS, INTELLIGENT TRANSPORT SYSTEMS, VIDEO SOLUTIONS, IFACTORY, INDUSTRIAL AND TELECOM SERVICES</t>
  </si>
  <si>
    <t>https://business.amazon.com/</t>
  </si>
  <si>
    <t>Amazon</t>
  </si>
  <si>
    <t>IT,WEB SERVICE PROVIDER</t>
  </si>
  <si>
    <t>Global</t>
  </si>
  <si>
    <t>21Aug2018: Removed from Approved supplier list 21Aug2018, due to supplier no longer required. Rating changed from Restricted to General.</t>
  </si>
  <si>
    <t>AMAZON.COM</t>
  </si>
  <si>
    <t>https://www.antaira.com.tw/</t>
  </si>
  <si>
    <t>Antaira Technologies Co Ltd</t>
  </si>
  <si>
    <t>IT,INDUSTRIAL ETHERNET SWITCHES, SERIAL COMMUNICATION, SFP MODULES, INDUSTRIAL WIRELESS, INDUSTRIAL USB, ETHERNET MEDIA CONVERTERS</t>
  </si>
  <si>
    <t>https://www.aspsys.com/</t>
  </si>
  <si>
    <t>Aspen Systems Inc</t>
  </si>
  <si>
    <t>IT,CLUSTERS, SERVERS, STORAGE, WORKSTATIONS</t>
  </si>
  <si>
    <t>https://www.avalue.com.tw/</t>
  </si>
  <si>
    <t>Avalue Technology Inc</t>
  </si>
  <si>
    <t>IT,INDUSTRIAL AND EMBEDDED MOTHERBOARDS, COMPUTING SYSTEMS, PANEL PC, COMPUTER ON MODULE, POS TERMINAL, TABLET, DEVICE MANAGEMENT, E-INK</t>
  </si>
  <si>
    <t>22Dec2020: E-mail communication request for ISO 9001 certificate.</t>
  </si>
  <si>
    <t>https://www.bitfenix.com/</t>
  </si>
  <si>
    <t>BitFenix</t>
  </si>
  <si>
    <t>IT,WORKSTATION PCS, LAPTOPS, COMPUTING PRODUCTS</t>
  </si>
  <si>
    <t>https://www.bpctech.com.au/</t>
  </si>
  <si>
    <t>Budget PC</t>
  </si>
  <si>
    <t>IT,WORKSTATIONS, PC, LAPTOP, COMPUTERS</t>
  </si>
  <si>
    <t>18Jul2022: Supplier is restricted to existing PIP projects only. No new business to be quoted for both PI and PIP.
17Dec2015:  PMT rating changed from critical to restricted. PMT sometimes outsources work to molding suppliers in China. Purchasers need to confirm if this matches their quality requirement before placing orders with PMT.
19Jan15: rating changed from general to critical.</t>
  </si>
  <si>
    <t>https://www.cdw.com/</t>
  </si>
  <si>
    <t>CDW Direct</t>
  </si>
  <si>
    <t>https://www.centrecom.com.au/</t>
  </si>
  <si>
    <t>Centre Com Sunshine Pty Ltd</t>
  </si>
  <si>
    <t>IT,COMPUTER PRODUCTS</t>
  </si>
  <si>
    <t>30Apr2014: Evaluation changed form Critical to Critical Traceable on 30/4/14.</t>
  </si>
  <si>
    <t>https://www.dell.com/</t>
  </si>
  <si>
    <t>Dell Australia</t>
  </si>
  <si>
    <t>IT,COMPUTER, LAPTOPS, IT INFRASTRACTURE</t>
  </si>
  <si>
    <t>Plastic mold design</t>
  </si>
  <si>
    <t>Dell Marketing L.P.</t>
  </si>
  <si>
    <t>https://www.flashbay.com.au/</t>
  </si>
  <si>
    <t>Flashbay Pty Ltd</t>
  </si>
  <si>
    <t>IT,CUSTOM USB STICKS</t>
  </si>
  <si>
    <t>15Sep2021: ISO13485 is for Hochuen Medical (not supplying parts to PI).
03DEC2018 Rating changed from restricted to critical as supplier meets criteria.</t>
  </si>
  <si>
    <t>https://www.onlogic.com/</t>
  </si>
  <si>
    <t>OnLogic Inc (Logic Supply Inc)</t>
  </si>
  <si>
    <t>IT,IOT</t>
  </si>
  <si>
    <t>https://au.ingrammicro.com/</t>
  </si>
  <si>
    <t>Bright Point (Ingram) North America</t>
  </si>
  <si>
    <t>14 Jan 2022: Supplier removed from register.</t>
  </si>
  <si>
    <t>https://www.ironmountain.com/</t>
  </si>
  <si>
    <t>Iron Mountain Australia Group Pty Ltd</t>
  </si>
  <si>
    <t>https://www.kontron.com/</t>
  </si>
  <si>
    <t>Kontron America Inc</t>
  </si>
  <si>
    <t>IT,EMBEDDED BOX, IOT</t>
  </si>
  <si>
    <t>https://www.mwave.com.au/</t>
  </si>
  <si>
    <t>Mwave</t>
  </si>
  <si>
    <t>IT,GAMING COMPUTERS</t>
  </si>
  <si>
    <t>Supplier has been visited and audited (refer A15-22) and determined to be suitable for critical parts.
17Apr2023 - Topwell are NOT approved to quote for New Projects either in PI Design (PIPL) or in PI Manufacturing (PIPP) until further notice. Existing PI Manufacturing (PIPP) Components used on existing Projects, e.g. Regen, Belle, Black Cav are Ok to remain being ordered either by direct PO or via MRP PO.</t>
  </si>
  <si>
    <t>https://www.networktigers.com/</t>
  </si>
  <si>
    <t>NetworkTigers.com</t>
  </si>
  <si>
    <t>NETWORK SOLUTIONS</t>
  </si>
  <si>
    <t>https://www.paritynetworks.com/</t>
  </si>
  <si>
    <t>Parity Network Solutions, LLC</t>
  </si>
  <si>
    <t>https://www.qnap.com/</t>
  </si>
  <si>
    <t>Qnap Direct</t>
  </si>
  <si>
    <t>https://www.scorptec.com.au/</t>
  </si>
  <si>
    <t>Scorptec Computers</t>
  </si>
  <si>
    <t>https://www.sybausa.com/</t>
  </si>
  <si>
    <t>Syba Multimedia Inc</t>
  </si>
  <si>
    <t xml:space="preserve">IT,IT PRODUCTS, PERIPHERAL CARDS, </t>
  </si>
  <si>
    <t>Check website for certiificates https://www.adlinktech.com/en/Quality-Policy-and-Resources</t>
  </si>
  <si>
    <t>https://www.trenz-electronic.de/</t>
  </si>
  <si>
    <t>Trenz Electronic GmbH</t>
  </si>
  <si>
    <t>https://www.variscite.com/</t>
  </si>
  <si>
    <t>Variscite Ltd</t>
  </si>
  <si>
    <t>ISRAEL</t>
  </si>
  <si>
    <t xml:space="preserve">For non-critical low risk parts, if deemed appropriate and suitable for the end use, Amazon may be used as a supplier if no other alternatives. If supply risk is identified, to be managed via inspections or other processes if deemed necessary. </t>
  </si>
  <si>
    <t>https://visits.com.au/</t>
  </si>
  <si>
    <t>VISITS</t>
  </si>
  <si>
    <t>IT,CYBER SECURITY</t>
  </si>
  <si>
    <t>https://www.ipsec.com.au/</t>
  </si>
  <si>
    <t>IPSec Pty Ltd</t>
  </si>
  <si>
    <t>https://www.provantage.com/</t>
  </si>
  <si>
    <t>Provantage LLC</t>
  </si>
  <si>
    <t>https://simplynuc.com/</t>
  </si>
  <si>
    <t>Simply NUC</t>
  </si>
  <si>
    <t>https://www.timg.com/</t>
  </si>
  <si>
    <t>TIMG Databank Technologies</t>
  </si>
  <si>
    <t>08 Sep 2020: Data Privacy and GDPR service provider. ISO 17021-1 &amp; ISO 27001 global certified.</t>
  </si>
  <si>
    <t>https://www.volkis.com.au/</t>
  </si>
  <si>
    <t>Volkis</t>
  </si>
  <si>
    <t>08 Sep 2020: Data Privacy and GDPR service provider. ISO20000 (01 Jun 2023), ISO 27001 (19 Dec 2022), ISO/IEC 27001 (31 Oct 2022)</t>
  </si>
  <si>
    <t>https://www.wavelinkuae.com/</t>
  </si>
  <si>
    <t>Wavelink LLC</t>
  </si>
  <si>
    <t>IT,CCTV SURVEILLANCE, ACCESS CONTROL SYSTEMS, FACE &amp; FINGERPRINT SYSTEMS</t>
  </si>
  <si>
    <t>Computer Hardware</t>
  </si>
  <si>
    <t>https://zadarma.com/</t>
  </si>
  <si>
    <t>Zadarma</t>
  </si>
  <si>
    <t>IT,VIRTUAL NUMBERS</t>
  </si>
  <si>
    <t>Bulgaria</t>
  </si>
  <si>
    <t>Software and software services</t>
  </si>
  <si>
    <t>https://minarismedical.com/</t>
  </si>
  <si>
    <t>Minaris Medical America, Inc</t>
  </si>
  <si>
    <t>IVD</t>
  </si>
  <si>
    <t>https://www.gilson.com/</t>
  </si>
  <si>
    <t>IVF</t>
  </si>
  <si>
    <t>https://monashivf.com/</t>
  </si>
  <si>
    <t>IVF Australia</t>
  </si>
  <si>
    <t>computer equipment provider, an IT hardware retain chain in VIC, and IT-enable services provider</t>
  </si>
  <si>
    <t>http://www.abacusdx.com/</t>
  </si>
  <si>
    <t>Abacus dx Pty Ltd</t>
  </si>
  <si>
    <t>LAB EQUIPMENT</t>
  </si>
  <si>
    <t>LAB EQUIPMENT,DIAGNOSTIC PATHOLOGY, MEDICAL RESEARCH, AND INNOVATIVE LABORATORY EQUIPMENT SOLUTIONS</t>
  </si>
  <si>
    <t>Cybersecurity services</t>
  </si>
  <si>
    <t>https://amscope.com/</t>
  </si>
  <si>
    <t>Amscope (United Scope)</t>
  </si>
  <si>
    <t>LAB EQUIPMENT,MICROSCOPES</t>
  </si>
  <si>
    <t>Software platform services (employee engagement, retention and performance)</t>
  </si>
  <si>
    <t>https://www.ch2.net.au/</t>
  </si>
  <si>
    <t>Clifford Hallam Healthcare</t>
  </si>
  <si>
    <t>LAB EQUIPMENT,PHARMACEUTICALS, MEDICAL CONSUMABLES, NUTRITIONAL, OTC, MEDICAL EQUIPMENT AND MEDICAL SUPPLIES</t>
  </si>
  <si>
    <t>Cyber security products and services</t>
  </si>
  <si>
    <t>https://www.eppendorf.com/</t>
  </si>
  <si>
    <t>Eppendorf South Pacific Pty Ltd</t>
  </si>
  <si>
    <t>LAB EQUIPMENT,MANUAL LIQUID HANDLING, LABORATORY CONSUMABLES, CENTRIFUGATION, AUTOMATED PIPETTING, PCR</t>
  </si>
  <si>
    <t>Not approved for PIPP. ISO 9001 is expected to be in place for 31/04/23, then can be re-evaluated.</t>
  </si>
  <si>
    <t>https://www.gbo.com/</t>
  </si>
  <si>
    <t>Greiner Bio-One</t>
  </si>
  <si>
    <t>https://www.adaptas.com/</t>
  </si>
  <si>
    <t>Adaptas Solutions LLC.</t>
  </si>
  <si>
    <t>http://www.aesenvironmental.com.au/</t>
  </si>
  <si>
    <t>AES Environmental (AMCCS)</t>
  </si>
  <si>
    <t>LAB EQUIPMENT,HEPA FILTERS, HVAC FILTRATION, LAB EQUIPMENT, DUST COLLECTION, SEMI ABSOLUTE FILTERS, UV DECONTAMINATION, ASBESTOS REMOVAL EQUIPMENT</t>
  </si>
  <si>
    <t>Altium Training Course provider</t>
  </si>
  <si>
    <t>https://www.biotools.com.au/</t>
  </si>
  <si>
    <t>BioTools Pty Ltd</t>
  </si>
  <si>
    <t xml:space="preserve">LAB EQUIPMENT,LIQUID HANDLING, BIOSPECIMEN STORAGE, PCR EQUIPMENT, AUTOMATED INSTRUMENTS &amp; ROBOTIC INTEGRATION PLATFORMS, </t>
  </si>
  <si>
    <t>Sales of customised promotional products (USB, Powerbank, Audio, Gadgets, Mask, Drinkware)</t>
  </si>
  <si>
    <t>https://www.amtintlgroup.com.au/</t>
  </si>
  <si>
    <t>C&amp;C Science Factory Pty Ltd (AMT Group Australasia)</t>
  </si>
  <si>
    <t>LAB EQUIPMENT,BIOLOGICAL SAFETY WORKSTATION, COMBINATION PCR WORKSTATION, LAMINAR FLOW CLEAN BENCH, MICROSCOPE ENCLOSURE, MICROSCOPE ENCLOSURE, DEAD AIR BOX, CHEMICAL WORKSTATION, FUME HOOD, ROBOTIC SAFETY ENCLOSURE, CYANOACRYLATE FUMING CHAMBER, PRINT DUSTING STATION, CARBON FILTRARION, HEPA, ULPA &amp; PRE-FILTERS</t>
  </si>
  <si>
    <t xml:space="preserve">20July2022 - Ingram Micro Mobility absorbed by parent company, Ingram Micro.
23Dec2016: Restricted rating due to being distributor only. Products manufactured by Gemalto may be purchased as critical. </t>
  </si>
  <si>
    <t>Clfford Hallam Healthcare</t>
  </si>
  <si>
    <t xml:space="preserve">PPE, </t>
  </si>
  <si>
    <t>9Nov2020: Supplier is working on getting ISO27001 Certificate. Due to COVID-19 issue, the completion is expected mid-2021</t>
  </si>
  <si>
    <t>https://www.coleparmer.com/</t>
  </si>
  <si>
    <t>COLE PARMER INSTRUMENT COMPANY</t>
  </si>
  <si>
    <t>Document storage services for PIP.</t>
  </si>
  <si>
    <t>https://www.coregas.com.au/</t>
  </si>
  <si>
    <t>Coregas Pty Ltd</t>
  </si>
  <si>
    <t>LAB EQUIPMENT,COMPRESSED AIR, ACETYLENE GAS, CARBON DIOXIDE GAS, HELIUM</t>
  </si>
  <si>
    <t>http://www.thermofisher.com.au/</t>
  </si>
  <si>
    <t>Fisher Biotech Australia</t>
  </si>
  <si>
    <t>LAB EQUIPMENT,ASSAY KITS &amp; DEVELOPMENT TOOLS,BIOSAFETY EQUIPMENT &amp; ACCESSORIES,CELL &amp; TISSUE CULTURE,CENTRIFUGATION &amp; ACCESSORIES,PROTEIN ANALYSIS, CLONING, EXPRESSION AND PURIFICATION,COOLING &amp; REFRIGERATION EQUIPMENT,DNA/RNA EXTRACTION/PURIFICATION &amp; SAMPLING KITS,ELECTROPHORESIS EQUIPMENT &amp; ACCESSORIES,ELECTROPORATION &amp; ELECTROFUSION,HEATING &amp; DRYING EQUIPMENT,IMAGING &amp; GEL DOCUMENTATION SYSTEMS,INSTRUMENTS &amp; LABORATORY EQUIPMENT,LIQUID HANDLING &amp; AUTOMATION,PCR INSTRUMENTATION, REAGENTS &amp; CONSUMABLES,PLASTIC LABWARE &amp; CONSUMABLES,PROMOTIONS</t>
  </si>
  <si>
    <t>24Jul2018: Supplier is distributor only. Manufacturer certificates obtained for Intel (expiry 31Dec2022), Western Digital (expiry 17Apr2024), Startech (expiry 5Sep2021)</t>
  </si>
  <si>
    <t>https://www.thermofisher.com/</t>
  </si>
  <si>
    <t>FISHER SCIENTIFIC</t>
  </si>
  <si>
    <t>https://formaspace.com/</t>
  </si>
  <si>
    <t>Formaspace</t>
  </si>
  <si>
    <t>Industrial computer systems and components</t>
  </si>
  <si>
    <t>https://www.hettweb.com/</t>
  </si>
  <si>
    <t>Hettich Instruments, LP</t>
  </si>
  <si>
    <t>https://snco.com/</t>
  </si>
  <si>
    <t>SCIENTIFIC NOTEBOOK COMPANY</t>
  </si>
  <si>
    <t>SCIENTIFIC NOTEBOOKS</t>
  </si>
  <si>
    <t>26Feb2021: Removed from register.
Restricted due to Distributor only. ISO9001 certificate provided for Startech brand components</t>
  </si>
  <si>
    <t>https://www.merieuxnutrisciences.com/</t>
  </si>
  <si>
    <t>Sillikerr Australia Pty Ltd</t>
  </si>
  <si>
    <t>https://www.jeiotech.com/</t>
  </si>
  <si>
    <t>JEIO TECH INC.</t>
  </si>
  <si>
    <t>13Aug2021: Emailed SE form.
Distributor only. Manufacturer certification required for critical parts</t>
  </si>
  <si>
    <t>https://labec.com.au/</t>
  </si>
  <si>
    <t>Labec (Laboratory Equipment Pty Ltd)</t>
  </si>
  <si>
    <t>LAB EQUIPMENT,STERILIZATION EQUIPEMTN</t>
  </si>
  <si>
    <t>Computers and laptops</t>
  </si>
  <si>
    <t>https://proscitech.com.au/</t>
  </si>
  <si>
    <t>ProSciTech</t>
  </si>
  <si>
    <t>https://www.fishersci.com/</t>
  </si>
  <si>
    <t>THERMO SCIENTIFIC</t>
  </si>
  <si>
    <t>https://www.dwk.com/</t>
  </si>
  <si>
    <t>WHEATON INDUSTRIES, INC.</t>
  </si>
  <si>
    <t>Certificate Link: https://shop.trenz-electronic.de/de/Download/?path=Trenz_Electronic/-corporate</t>
  </si>
  <si>
    <t>https://www.gbo.com/en-int/</t>
  </si>
  <si>
    <t>Greiner Bio-One GmbH</t>
  </si>
  <si>
    <t>LAB EQUIPMENT &amp; CONSUMABLES</t>
  </si>
  <si>
    <t>https://astralscientific.com.au/</t>
  </si>
  <si>
    <t>Astral Scientific P/L</t>
  </si>
  <si>
    <t>LAB SUPPLIES</t>
  </si>
  <si>
    <t>LAB SUPPLIES,DNA / RNA COLLECTION,LABORATORY CHEMICALS,CHEMICALS,PREMIUM PCR ESSENTIALS,LABORATORY CONSUMABLES ,PLASTICWARE,SPECIALTY LABORATORY LABELS,SPECIALTY LABORATORY LABELS,STORAGE SYSTEMS,SAMPLE IDENTIFICATION AND INVENTORY MANAGEMENT FOR LABORATORIES ,CONSUMABLES,CLINICAL DIAGNOSTICS BY LC-MS AND HPLC,CLINICAL DIAGNOSTICS BY LC/MS-MS &amp; HPLC,MOLECULAR BIOLOGY ,MOLECULAR BIOLOGY</t>
  </si>
  <si>
    <t>Reworker/ Distributor of Dell PC's</t>
  </si>
  <si>
    <t>https://amsde.com/en</t>
  </si>
  <si>
    <t>AMS Software &amp; Electronik GmBH</t>
  </si>
  <si>
    <t>LABEL PRINTERS</t>
  </si>
  <si>
    <t>BARCODES, INC. (US)</t>
  </si>
  <si>
    <t>https://www.bradyid.com/</t>
  </si>
  <si>
    <t>BRADY WORLDWIDE, INC.</t>
  </si>
  <si>
    <t>Telecom services in Bulgaria</t>
  </si>
  <si>
    <t>https://www.dal.com.au/</t>
  </si>
  <si>
    <t>Dial A Label Pty Ltd</t>
  </si>
  <si>
    <t>LABEL PRINTERS,LABELS, THERMAL LABELS, DYMO LABELS, PRINTERS, THERMAL PRINTERS, TSC PRINTERS</t>
  </si>
  <si>
    <t>https://www.labellab.com/</t>
  </si>
  <si>
    <t>LabelLab (Smartsign Store)</t>
  </si>
  <si>
    <t>LABELS</t>
  </si>
  <si>
    <t>As the legal manufacturer, Genea Biomedix supplies some components required for manufacture direct to PI.</t>
  </si>
  <si>
    <t>https://www.mavericklabel.com/</t>
  </si>
  <si>
    <t>MAVERICK LABEL.COM</t>
  </si>
  <si>
    <t>Assisted Reproductive Services</t>
  </si>
  <si>
    <t>https://www.peacocks.com.au/</t>
  </si>
  <si>
    <t>Peacock Bros. Pty Ltd</t>
  </si>
  <si>
    <t>02Sep2020: ISO13485 is for manufacturer SeraCare</t>
  </si>
  <si>
    <t>https://www.case-badges.com/</t>
  </si>
  <si>
    <t>Techiant LLC</t>
  </si>
  <si>
    <t>https://www.snap.com.au/</t>
  </si>
  <si>
    <t>Snap Dandenong (GN Corporate Holdings Pty Ltd)</t>
  </si>
  <si>
    <t>Snap Box Hill</t>
  </si>
  <si>
    <t>https://www.arrowlaser.com.au/</t>
  </si>
  <si>
    <t>Arrow Laser</t>
  </si>
  <si>
    <t>LASER CUTTING</t>
  </si>
  <si>
    <t>2May2014: Rated restricted due to distributor only. Authorised distributor of critical equipment - Artel equipment and calibration reference standards. Considered general for all other purchases</t>
  </si>
  <si>
    <t>https://www.lightningboltlaser.com.au/</t>
  </si>
  <si>
    <t>Lightning Bolt Laser</t>
  </si>
  <si>
    <t>Requested by PIPP</t>
  </si>
  <si>
    <t>https://www.newtouchfab.com.au/</t>
  </si>
  <si>
    <t>New Touch Industries Pty Ltd</t>
  </si>
  <si>
    <t>https://www.rmslaser-group.com/</t>
  </si>
  <si>
    <t>RMS Laser Group</t>
  </si>
  <si>
    <t>Distributor for ICU Medical (for poject 582-Bootcamp)</t>
  </si>
  <si>
    <t>https://accugroup.com.au/</t>
  </si>
  <si>
    <t>Accu Limited (Accu Group)</t>
  </si>
  <si>
    <t>https://mallard-signs.com.au/</t>
  </si>
  <si>
    <t>Deminks Pty Ltd (T/A Mallard Signs and Engraving)</t>
  </si>
  <si>
    <t>LASER CUTTING,ENGRAVINGS, LASER MARKINGS, CNC ROUTING, VYNIL PRINTING</t>
  </si>
  <si>
    <t>Supplier for Industrial, Speciality Cylinder and Bulk Gas/ TGA licence, Melbourne, Rev 20-09-10  (valid until replaced)</t>
  </si>
  <si>
    <t>https://www.inscribe.com.au/</t>
  </si>
  <si>
    <t>Inscribe Australia Pty Ltd</t>
  </si>
  <si>
    <t>Refer to NATA scope of accreditation 15592</t>
  </si>
  <si>
    <t>https://laser3d.com.au/</t>
  </si>
  <si>
    <t>Laser Imaging Pty Ltd</t>
  </si>
  <si>
    <t>14Mar2017. Distributor only. Individual products need to be assessed for suitability based on criticality category before purchase, purchasing controls put in place and manufacturer evaluations obtained if required.</t>
  </si>
  <si>
    <t>https://www.lni.com.au/</t>
  </si>
  <si>
    <t>Luna Nameplate Industries Pty Ltd</t>
  </si>
  <si>
    <t>LASER CUTTING,NAMEPLATES, BADGES</t>
  </si>
  <si>
    <t>https://www.mastercut.com.au/</t>
  </si>
  <si>
    <t>Mastercut Technologies Pty Ltd</t>
  </si>
  <si>
    <t>http://www.optotech.com.au/</t>
  </si>
  <si>
    <t>OptoTech Pty Ltd</t>
  </si>
  <si>
    <t>LASER SYSTEMS</t>
  </si>
  <si>
    <t>10June2020: remove from register (de-activated) because they are no longer in use, and will be re-evaluated if required again.</t>
  </si>
  <si>
    <t>https://www.egismos.com/</t>
  </si>
  <si>
    <t>Egismos Technology Corp.</t>
  </si>
  <si>
    <t>LASERS</t>
  </si>
  <si>
    <t>LASERS,LASER SENSING, LASER MODULE, LASER DIODE, LASER DRIVER IC, LASER OPTICS</t>
  </si>
  <si>
    <t>https://www.oxxius.com/</t>
  </si>
  <si>
    <t>Oxxius</t>
  </si>
  <si>
    <t>https://www.rpmclasers.com/</t>
  </si>
  <si>
    <t>RPMC Lasers</t>
  </si>
  <si>
    <t>http://www.lcdmaker.com/</t>
  </si>
  <si>
    <t>ThingWell Electronics Company Limited</t>
  </si>
  <si>
    <t>LCD</t>
  </si>
  <si>
    <t>https://us.vwr.com/store/</t>
  </si>
  <si>
    <t>VWR INTERNATIONAL</t>
  </si>
  <si>
    <t>LIFE SCIENCE</t>
  </si>
  <si>
    <t>https://www.meridianbioscience.com/</t>
  </si>
  <si>
    <t>MERIDIAN BIOSCIENCE, INC.</t>
  </si>
  <si>
    <t xml:space="preserve">Scientific Service - Clean-room EM testing and Microbiological testing. </t>
  </si>
  <si>
    <t>https://www.abcam.com/</t>
  </si>
  <si>
    <t>Abcam Australia Pty Ltd</t>
  </si>
  <si>
    <t>LIFE SCIENCES</t>
  </si>
  <si>
    <t>BIOLOGY,PRIMARY ANTIBODIES,SECONDARY ANTIBODIES,BIOCHEMICALS,ISOTYPE CONTROLS,FLOW CYTOMETRY MULTI-COLOR SELECTOR,KITS,LOADING CONTROLS,LYSATES,PEPTIDES,PROTEINS,SLIDES,TAGS AND CELL MARKERS,TOOLS &amp; REAGENTS</t>
  </si>
  <si>
    <t>https://www.agenabio.com/</t>
  </si>
  <si>
    <t>AGENA BIOSCIENCE</t>
  </si>
  <si>
    <t>https://anchormolecular.com/</t>
  </si>
  <si>
    <t>Anchor Molecular</t>
  </si>
  <si>
    <t>BIOLOGY,CFDNA STANDARDS FOR MOLECULAR TESTING,DNA-DEPLETED PLASMA,NIPT TRISOMY 13, 18 &amp; 21 CONTROLS,AM NORMAL CELL FREE GDNA,AM VARIANT CELL FREE GDNA,RNA FUSIONS CONTROLS,MASS SPEC ZERO,CUSTOMIZED INFECTIOUS DISEASE CONTROLS,CUSTOM COIVD19/INFLUENZA/RSV QUALITY CONTROLS,ANCHOR SARS-COV-2 QUALITY CONTROL,ANCHOR SARS-COV-2 REFERENCE PANEL,CFDNA EXTRACTION SENSITIVITY CONTROLS,CFDNA EXTRACTION SPECIFICITY CONTROLS</t>
  </si>
  <si>
    <t>https://www.ansto.gov.au/</t>
  </si>
  <si>
    <t>ANSTO Australian Nuclear Science and Technology Organisation</t>
  </si>
  <si>
    <t>BIOLOGY,NUCLEAR MEDICINE,  RADIOPHARMACEUTICALS, RADIOCHEMICALS, ACCESSORIES, DETECTION AND IMAGING CORIS360</t>
  </si>
  <si>
    <t>https://www.assaymatrix.com/</t>
  </si>
  <si>
    <t>Assay Matrix</t>
  </si>
  <si>
    <t>BIOLOGY,ANTIBODIES,ANTIBODIES FOR IHC WERTERN BLOTTING &amp; IMMUNOFLUORESENCE,ANTIBODIES FOR NEUROSCIENCE RESEARCH,APOPTOSIS,CELL CULTURE,CELL-BASED ASSAYS,CELL-BASED VALIDATED ASSAYS,CRISPR COMPLETE KITS,ELISA KITS,EPIGENETICS,EXOSOME RESEARCH,FLUORESCENCE,FLUORESCENT PROBES,IN VIVO ANTIBODIES,INHIBITORS,LIQUID BIOPSY,MAGNETIC BEADS/ PURIFICATIONS,METABOLISM ASSAYS,MULTIPLEX IMMUNOASSAY FOR FLOW CYTOMETRY,NANOPARTICLES (MAGNETIC, GOLD, SILVER),NEURODEGENERATIVE FIBRILLIZED PROTEINS,OTHER ,RODUCTS,PRIMARY CELLS/ REAGENTS,PROTEIN CROSS LINKERS/ REAGENTS FOR MASS SPEC.,PROTEIN ISOLATION &amp; ANALYSIS,PROTEINS,RECOMBINANT PROTEINS,RNAI,SAM &amp; METHYLATION INDEX,STABLE CELL LINES,STEM CELLS,TUNR FLEXIBLE GENE EDITOR</t>
  </si>
  <si>
    <t>https://www.biospacific.com/</t>
  </si>
  <si>
    <t>Biospacific</t>
  </si>
  <si>
    <t>BIOLOGY,CANCER,CARDIOVASCULAR,DRUGS,ENDOCRINE THYROID,HUMAN SERUM PROTEINS,INFECTIOUS DISEASES,MISCELLANEOUS,STEROIDS</t>
  </si>
  <si>
    <t>https://www.drewscientific.com/</t>
  </si>
  <si>
    <t>DREW SCIENTIFIC/JAS DIAGNOSTIC</t>
  </si>
  <si>
    <t>https://eastcoastbio.com/</t>
  </si>
  <si>
    <t>East Coast Bio</t>
  </si>
  <si>
    <t>BIOLOGY,ANTIBODIES, ANTIGENS, MATCHED PAIRS</t>
  </si>
  <si>
    <t>https://embryotech.com/</t>
  </si>
  <si>
    <t>Embryotech Laboratories, Inc</t>
  </si>
  <si>
    <t>BIOLOGY,TOXICITY TESTING,MOUSE EMBRYO ASSAYS,BACTERIAL ENDOTOXIN TESTING,HUMAN SPERM ASSAYS,EMBRYOS &amp; OVA,MOUSE MEDIUM,CRO</t>
  </si>
  <si>
    <t>https://www.geneabiomedx.com/</t>
  </si>
  <si>
    <t>Gene Target Solutions Pty Ltd</t>
  </si>
  <si>
    <t>BIOLOGY,BIOLOGICAL</t>
  </si>
  <si>
    <t>https://www.thgeyer.com/</t>
  </si>
  <si>
    <t>GEYER GMBH</t>
  </si>
  <si>
    <t>https://www.akadeum.com/</t>
  </si>
  <si>
    <t>Akadeum LIfe Sciences Inc</t>
  </si>
  <si>
    <t>Printing and Design services</t>
  </si>
  <si>
    <t>https://www.bbisolutions.com/</t>
  </si>
  <si>
    <t>BBI Solutions OEM Ltd</t>
  </si>
  <si>
    <t>https://www.eurofins.com.au/</t>
  </si>
  <si>
    <t>Eurofins AMS</t>
  </si>
  <si>
    <t>BIOLOGY,DISINFEXCTANT &amp; BIOCIDES, STERILE PRODUCTS &amp; MEDICAL DEVICES, ENVIRONMENTAL MONITORING, NON-STERILE PRODUCTS &amp; COMP. MEDICINES, PROBIOTICS, SIMILARITY PHARMACEUTICAL EQUIVALENCE, GENETIC TOXICOLOGY, STABILITY &amp; STORAGE, MICROBIAL IDENTIFICATION, COSMETIC &amp; PERSONAL CARE, PLUMBING PRODUCTS, METHOD DEVELOPMENT / VALIDATION, MEDICINAL CANNABIS, PHARMACEUTICALS &amp; VETERINARY PRODUCTS, RAW MATERIALS &amp; EXCIPIENTS, TECHNICAL CONSULTING</t>
  </si>
  <si>
    <t>06Oct2020 - Fin Code in the form is incorrect, TECL00 is the corrected one.</t>
  </si>
  <si>
    <t>https://www.ascentialtech.com/</t>
  </si>
  <si>
    <t>Kinematic Automation</t>
  </si>
  <si>
    <t>BIOLOGY,LIFE SCIENCE, MEDICAL DEVICES</t>
  </si>
  <si>
    <t xml:space="preserve">Precision components, specializing in fasteners, hardware, actuation components and tooling.  </t>
  </si>
  <si>
    <t>https://www.merckmillipore.com/</t>
  </si>
  <si>
    <t>Merck Millipore</t>
  </si>
  <si>
    <t>BIOLOGY,PATHOLOGY, LIFE SCIENCE, MEDICAL</t>
  </si>
  <si>
    <t>https://www.rndsystems.com/</t>
  </si>
  <si>
    <t>R&amp;D SYSTEMS, INC.</t>
  </si>
  <si>
    <t>Sheet Metal Printing for Lexus</t>
  </si>
  <si>
    <t>https://www.sartorius.com/</t>
  </si>
  <si>
    <t>Sartorius Australia Pty Ltd</t>
  </si>
  <si>
    <t>Alternative supplier for sourcing labels</t>
  </si>
  <si>
    <t>Sigma-Aldrich Pty Ltd</t>
  </si>
  <si>
    <t>https://www.marken.com/</t>
  </si>
  <si>
    <t>BIOLOGY,MEDICAL</t>
  </si>
  <si>
    <t>Millipore Sigma (EMD Millipore Corporation)</t>
  </si>
  <si>
    <t>Chemical Etching and Ultra Precision Laser Cutting.</t>
  </si>
  <si>
    <t>https://www.neb.com/</t>
  </si>
  <si>
    <t>New England Biolabs (Australia) Pty Ltd</t>
  </si>
  <si>
    <t>https://www.pharmalex.com/</t>
  </si>
  <si>
    <t>PharmaLex Pty Ltd</t>
  </si>
  <si>
    <t>BIOLOGY</t>
  </si>
  <si>
    <t>https://somalogic.com/</t>
  </si>
  <si>
    <t>Proteomics International Pty Ltd</t>
  </si>
  <si>
    <t>https://www.resolvingimages.com/</t>
  </si>
  <si>
    <t>Resolving Images P/L</t>
  </si>
  <si>
    <t>Laser diode</t>
  </si>
  <si>
    <t>https://www.sapphirebioscience.com/</t>
  </si>
  <si>
    <t>Sapphire Bioscience Pty Ltd</t>
  </si>
  <si>
    <t>https://allanson.com/</t>
  </si>
  <si>
    <t>Allanson International Inc</t>
  </si>
  <si>
    <t>LIGHTING</t>
  </si>
  <si>
    <t>LIGHTING,LED LIGHTING, HVAC, AIR PURIFICATION</t>
  </si>
  <si>
    <t>https://www.boscolighting.com.au/</t>
  </si>
  <si>
    <t>Bosco Lighting</t>
  </si>
  <si>
    <t>LIGHTING SOLUTIONS</t>
  </si>
  <si>
    <t xml:space="preserve">LIGHTING SOLUTIONS,LED </t>
  </si>
  <si>
    <t>18Jan2019 - General due to not having a quality system</t>
  </si>
  <si>
    <t>https://www.made-in-china.com/</t>
  </si>
  <si>
    <t>Shenzhen JLC Electronics Co., LTD.</t>
  </si>
  <si>
    <t>https://www.luckylight.cn/</t>
  </si>
  <si>
    <t>Lucky Light Electronics Asia Co Ltd</t>
  </si>
  <si>
    <t>https://luxeonstar.com/</t>
  </si>
  <si>
    <t>Luxeon Star LEDs</t>
  </si>
  <si>
    <t>https://www.ledshoponline.com.au/</t>
  </si>
  <si>
    <t>LED Shop Australia</t>
  </si>
  <si>
    <t>https://lockfocus.com.au/</t>
  </si>
  <si>
    <t>Lock Focus (Safecorp Financial Services)</t>
  </si>
  <si>
    <t>LOCKS</t>
  </si>
  <si>
    <t>https://www.saleae.com/</t>
  </si>
  <si>
    <t>Saleae Inc</t>
  </si>
  <si>
    <t>LOGIC ANALYZER</t>
  </si>
  <si>
    <t>Manufacturing and distribution of quality controls, reference materials, and reagents for diagnostic assays.</t>
  </si>
  <si>
    <t>https://www.ableelectronics.com/</t>
  </si>
  <si>
    <t>Able Electronics Inc.</t>
  </si>
  <si>
    <t>LOGISTICS</t>
  </si>
  <si>
    <t>Note: not direct supplier to PI, managed by Romar.
3JUL2013: Scope: Provision of sterilisation services by Gamma irradiation of therapeutic goods
30 Jul 2020: Deactivate/ remove from register</t>
  </si>
  <si>
    <t>https://freightfolio.com/</t>
  </si>
  <si>
    <t>888freight.net Pty Ltd</t>
  </si>
  <si>
    <t>LOGISTICS,FREIGHT FORWARDER, GENERAL CARGO BY SEA AND BY AIR, PROJECT CARGO INCLUDING AIR CHARTERING AND VESSEL SLOT CHARTERS, AND PERISHABLE CARGO AND HAZARDOUS CARGO BY SEA AND BY AIR</t>
  </si>
  <si>
    <t>https://www.dhl.com/</t>
  </si>
  <si>
    <t>DHL Global Forwarding (Australia)</t>
  </si>
  <si>
    <t>As per Allison Lockwood and Grant Hatamosa</t>
  </si>
  <si>
    <t>https://www.fs.com/au</t>
  </si>
  <si>
    <t>FS.com Inc.</t>
  </si>
  <si>
    <t>https://www.jetcouriers.com.au/</t>
  </si>
  <si>
    <t>Jet Couriers Pty Ltd</t>
  </si>
  <si>
    <t>LOGISTICS,GENERAL COURIER, EXPRESS COURIER, DIRECT COURIER</t>
  </si>
  <si>
    <t>https://kerrylogisticsoceania.com/</t>
  </si>
  <si>
    <t>Kerry Logistics Ocenania Pty Ltd</t>
  </si>
  <si>
    <t>https://www.kingcompaniesusa.com/</t>
  </si>
  <si>
    <t>King Van &amp; Storage</t>
  </si>
  <si>
    <t>17025 scope includes MEA. NOTE: Supplier not used directly by PI. Supplier is a contractor to Geri dish manufacturer. 
30Jul2020: Deactivate - Remove from register, cbc</t>
  </si>
  <si>
    <t>http://www.lockelogistics.com.au/</t>
  </si>
  <si>
    <t>Locke Logistics Pty Ltd</t>
  </si>
  <si>
    <t>16Nov2020: Supplier status re-instated and new Finance Code assigned. Used for Endotoxin Testing.</t>
  </si>
  <si>
    <t>https://www.saturnfreight.com/</t>
  </si>
  <si>
    <t>SATURN FREIGHT SYSTEMS INC.</t>
  </si>
  <si>
    <t>Molecular biology instruments and reagents</t>
  </si>
  <si>
    <t>https://www.klueber.com/</t>
  </si>
  <si>
    <t>Kluber Lubrication Australia Pty Ltd</t>
  </si>
  <si>
    <t>LUBRICANTS</t>
  </si>
  <si>
    <t>http://www.atlastooling.com.au/</t>
  </si>
  <si>
    <t>Atlas Tooling Pty Ltd</t>
  </si>
  <si>
    <t>MACHINING</t>
  </si>
  <si>
    <t>CNC MILLING 3 &amp; 4 AXIS MACHINING
INJECTION MOULDS AND DIES
JIGS AND FIXTURES
CUSTOM MACHINING SOLUTIONS
SPARK EDM MACHINING
PROJECT MANAGEMENT
CMM INSPECTION &amp; METROLOGY SOLUTIONS</t>
  </si>
  <si>
    <t>https://www.campbellcnc.com/</t>
  </si>
  <si>
    <t>Campbell Engineering</t>
  </si>
  <si>
    <t>CNC MACHINING</t>
  </si>
  <si>
    <t>https://www.glocom.com/</t>
  </si>
  <si>
    <t>Global Hi-Tek Precision (Tunxon)</t>
  </si>
  <si>
    <t>Merck is a client of PI.</t>
  </si>
  <si>
    <t>http://www.masonmachine.com/</t>
  </si>
  <si>
    <t>Mason Machine &amp; Tool</t>
  </si>
  <si>
    <t>PI's client who will be supplying some components</t>
  </si>
  <si>
    <t>https://www.mrgtoolanddie.com/</t>
  </si>
  <si>
    <t>MRG Tool and Die Corp.</t>
  </si>
  <si>
    <t>HYDRAULIC WORKHOLDING, JIGS &amp; FIXTURES,CONTRACT MACHINING,DESIGN AND BUILD 
SPECIAL MACHINES,PRODUCTION STAMPING,METAL STAMPING DIES,WATERJET CUTTING</t>
  </si>
  <si>
    <t>https://sossecinc.com/</t>
  </si>
  <si>
    <t>Plethora Corp</t>
  </si>
  <si>
    <t>Regulatory consulting</t>
  </si>
  <si>
    <t>https://afabcnc.com/</t>
  </si>
  <si>
    <t>AFAB Precision Machining</t>
  </si>
  <si>
    <t>PRODUCTION MACHINING
MULTI-TASK MACHINING
VERTICAL &amp; HORIZONTAL MILLING
KITTING AND ASSEMBLY
PROCESSING AND FINISHING
DEBURRING
INDUSTRIAL MACHINING MATERIALS</t>
  </si>
  <si>
    <t>NATA Accredited Lab - Certificate Issue: 21 Feb &amp; 6 Mar 2020</t>
  </si>
  <si>
    <t>AHG Enterprises Pty Ltd</t>
  </si>
  <si>
    <t>https://www.alphaomegaswiss.com/</t>
  </si>
  <si>
    <t>Alpha Omega Swiss Inc.</t>
  </si>
  <si>
    <t>Australian distributor for kits made by https://www.mybiosource.com/ and https://www.reddotbiotech.ca/</t>
  </si>
  <si>
    <t>https://aptengineering.com/</t>
  </si>
  <si>
    <t>Australian Precision Technologies Pty Ltd</t>
  </si>
  <si>
    <t xml:space="preserve">CNC MACHINING
PRECISION MACHINING
ASSEMBLY
MICRO-VU
</t>
  </si>
  <si>
    <t>Australian distributor for kits made by https://www.caymanchem.com/</t>
  </si>
  <si>
    <t>https://www.campagnoengineering.com.au/</t>
  </si>
  <si>
    <t>Campagno Engineering</t>
  </si>
  <si>
    <t>CNC MACHINING
ASSEMBLY
PRECISION MACHINING
MICRO MACHINING</t>
  </si>
  <si>
    <t>Directive 93/42/EEC (CE mark) expires 16Jun2022.</t>
  </si>
  <si>
    <t>https://dsmachining.com/</t>
  </si>
  <si>
    <t>DESIGN SOLUTION &amp; MACHINING</t>
  </si>
  <si>
    <t>https://www.ssprecisionmfg.com/contact.html</t>
  </si>
  <si>
    <t>S&amp;S PRECISION MFG,INC</t>
  </si>
  <si>
    <t>https://schengineering.com.au/</t>
  </si>
  <si>
    <t>SCH Engineering (Harrison Engineering)</t>
  </si>
  <si>
    <t>High voltage power supplies,neon transformer, ballast, ignition transformers and electronics ignitors, LED's and LED power suppliers, LED systems nd controls, UVC air purification systems, retrofit lighting solutions</t>
  </si>
  <si>
    <t>https://hilltop21.com/</t>
  </si>
  <si>
    <t>Hilltop Technology Laboratory</t>
  </si>
  <si>
    <t>https://www.stug.com.au/</t>
  </si>
  <si>
    <t>Sedyme t/a Leopoldo Victoriano Valencia</t>
  </si>
  <si>
    <t>https://www.hofmannengineering.com/</t>
  </si>
  <si>
    <t>Hoffman Engineering</t>
  </si>
  <si>
    <t>For Project 210-Loren Jig</t>
  </si>
  <si>
    <t>IMI Australia Pty Ltd</t>
  </si>
  <si>
    <t>MACHINING,AUTOMATION</t>
  </si>
  <si>
    <t>High brightness LED modules and supporting components</t>
  </si>
  <si>
    <t>Kewder Engineering</t>
  </si>
  <si>
    <t>https://metalfabsi.com/</t>
  </si>
  <si>
    <t>Metal Fab Services Industries INC.</t>
  </si>
  <si>
    <t>https://www.nesmalltube.com/</t>
  </si>
  <si>
    <t>New England Small Tube Corporation</t>
  </si>
  <si>
    <t>https://total-precision.com.au/</t>
  </si>
  <si>
    <t>Total Precision Pty Ltd</t>
  </si>
  <si>
    <t>Ningbo Incote Precision Machinery Co Ltd</t>
  </si>
  <si>
    <t>MACHINING,SHEET METAL</t>
  </si>
  <si>
    <t>http://www.pmeincorp.com/</t>
  </si>
  <si>
    <t>Planetary Machine &amp; Engineering,Inc</t>
  </si>
  <si>
    <t>https://www.plc.com.sg/</t>
  </si>
  <si>
    <t>PLC Industries Pte Ltd</t>
  </si>
  <si>
    <t>https://www.dnb.com/</t>
  </si>
  <si>
    <t>Pro Cut Engineering Pty Ltd</t>
  </si>
  <si>
    <t>https://pyramidprecision.com/</t>
  </si>
  <si>
    <t>Pyramid Precision Machine Inc.</t>
  </si>
  <si>
    <t>https://www.yannengineering.com.au/</t>
  </si>
  <si>
    <t>Yann Engineering Pty Ltd</t>
  </si>
  <si>
    <t>https://queenscrew.com/</t>
  </si>
  <si>
    <t>Queen Screw &amp; Mfg Inc</t>
  </si>
  <si>
    <t>Warehousing &amp; Logistics</t>
  </si>
  <si>
    <t>http://www.rigear.com.au/</t>
  </si>
  <si>
    <t>R&amp;I Instrument &amp; Gear</t>
  </si>
  <si>
    <t>https://semtooleng.com.au/</t>
  </si>
  <si>
    <t>Semtool Engineering Pty Ltd</t>
  </si>
  <si>
    <t>Specialty lubricants</t>
  </si>
  <si>
    <t>http://www.stug.com.au/</t>
  </si>
  <si>
    <t>Stug Australia</t>
  </si>
  <si>
    <t>https://www.teammetal.com/</t>
  </si>
  <si>
    <t>Team-Metal (S) Pte Ltd</t>
  </si>
  <si>
    <t>Team-Metal (SuZhou) Co., Ltd.</t>
  </si>
  <si>
    <t>https://www.totaltooling.com.au/</t>
  </si>
  <si>
    <t>Total Tooling Co Pty Ltd</t>
  </si>
  <si>
    <t>27Oct2020: Supplier does not have a calibration program. Do not use for critical parts</t>
  </si>
  <si>
    <t>https://www.vpg-innovation.com/</t>
  </si>
  <si>
    <t>Valley Precise Global Pty Ltd</t>
  </si>
  <si>
    <t>https://crimptube.com/</t>
  </si>
  <si>
    <t>Zhejiang Kedu Hardware Co Ltd</t>
  </si>
  <si>
    <t>MACHINING,METAL TUBING</t>
  </si>
  <si>
    <t>https://www.alphamagnetics.com.au/</t>
  </si>
  <si>
    <t>Alpha Magnetics</t>
  </si>
  <si>
    <t>MAGNETS</t>
  </si>
  <si>
    <t>https://magnet.com.au/</t>
  </si>
  <si>
    <t>AMF Magnetics</t>
  </si>
  <si>
    <t>Aussie Magnets</t>
  </si>
  <si>
    <t>7June2019: removed from register as no longer required</t>
  </si>
  <si>
    <t>https://ibsmagnet.com/</t>
  </si>
  <si>
    <t>IBS Magnet</t>
  </si>
  <si>
    <t>https://www.intemag.com/</t>
  </si>
  <si>
    <t>Integrated Magnetics Inc</t>
  </si>
  <si>
    <t>Waiting for certification audit in August 2022</t>
  </si>
  <si>
    <t>https://www.kjmagnetics.com/</t>
  </si>
  <si>
    <t>K&amp;J Magnetics Inc</t>
  </si>
  <si>
    <t>Multiple ISO certiticates, check annually on website</t>
  </si>
  <si>
    <t>K&amp;J MAGNETICS, INC. (US)</t>
  </si>
  <si>
    <t>19Jan2022: e-mail sent</t>
  </si>
  <si>
    <t>https://www.stanfordmagnets.com/</t>
  </si>
  <si>
    <t>STANFORD MAGNETS</t>
  </si>
  <si>
    <t>https://www.linkedin.com/company/maintenance-technology-llc/about/</t>
  </si>
  <si>
    <t>Maintenance Tec LLC.</t>
  </si>
  <si>
    <t>MAINTENANCE</t>
  </si>
  <si>
    <t>https://recknerhealthcare.com/</t>
  </si>
  <si>
    <t>Reckner Healthcare</t>
  </si>
  <si>
    <t>MARKET RESEARCH</t>
  </si>
  <si>
    <t>https://tkwresearch.com.au/</t>
  </si>
  <si>
    <t>TKW Collective Pty Ltd (J &amp; S Research)</t>
  </si>
  <si>
    <t>fabrication and precision machining of stainless-steel tubular assemblies</t>
  </si>
  <si>
    <t>TKW Research Group (The Knowledge Warehouse)</t>
  </si>
  <si>
    <t>https://www.burke.com/</t>
  </si>
  <si>
    <t>Burke, Inc.</t>
  </si>
  <si>
    <t>MARKETING AGENCY</t>
  </si>
  <si>
    <t>https://decisionpointresearch.ca/</t>
  </si>
  <si>
    <t>Decision Point Research Inc.</t>
  </si>
  <si>
    <t>MARKETING AGENCY,MARKET RESEARCH</t>
  </si>
  <si>
    <t>Precision machining</t>
  </si>
  <si>
    <t>https://www.noiseconsult.com.au/</t>
  </si>
  <si>
    <t>Acoustic &amp; Audiometric Services</t>
  </si>
  <si>
    <t>MEASURING TESTING CALIBRATION</t>
  </si>
  <si>
    <t>TESTING,ACOUSTIC TESTING, AUDIO TESTING, DBL TESTING</t>
  </si>
  <si>
    <t>Follow up email sent on 21-Sep-2022. Email re ISO 9001 sent on 12 Sep 2022</t>
  </si>
  <si>
    <t>https://www.atecorp.com/</t>
  </si>
  <si>
    <t>Advanced Test Equipment Rentals</t>
  </si>
  <si>
    <t>https://www.analyte-ms.com/</t>
  </si>
  <si>
    <t>Analyte Measurement &amp; Solutions Pte Ltd</t>
  </si>
  <si>
    <t>TESTING,GAS METERS, SPECTROMETERS, MOISTURE ANALYZER, OXYGEN ANALYZER, LIQUID ANALYZER, PARTICULATE MONITORING CONTROL SOLUTIONS, GAS SAFETY DETECTORS</t>
  </si>
  <si>
    <t>https://au.linkedin.com/</t>
  </si>
  <si>
    <t>Analytical Insight Pty Ltd</t>
  </si>
  <si>
    <t>MEASURING EQUIPMENT,SPECTROMETERS</t>
  </si>
  <si>
    <t>Machined parts that uses plastic (polycarbonate)</t>
  </si>
  <si>
    <t>https://www.azom.com/</t>
  </si>
  <si>
    <t>ANMAR METROLOGY, INC.</t>
  </si>
  <si>
    <t>precision gear and instrument components and assembly of electro-mechanical power transmission components</t>
  </si>
  <si>
    <t>https://cirris.com/</t>
  </si>
  <si>
    <t>CIRRIS SYSTEMS CORPORATION</t>
  </si>
  <si>
    <t>http://www.metrology.com.au/</t>
  </si>
  <si>
    <t>CMM Inspection &amp; Metrology Services</t>
  </si>
  <si>
    <t>METROLOGY,METROLOGY</t>
  </si>
  <si>
    <t>27Apr2017: Removed from Approved supplier list, due to supplier no longer required. Rating changed to General</t>
  </si>
  <si>
    <t>https://celectronics.com/</t>
  </si>
  <si>
    <t>COMPATIBLE ELECTRONICS, INC.</t>
  </si>
  <si>
    <t>TESTING,COMPLIANCE TESTING SERVICES,EMI AND EMC COMPLIANCE TESTING,WIRELESS DEVICE COMPLIANCE TESTING,PRODUCT SAFETY TESTING,TELECOMMUNICATION PRODUCT TESTING</t>
  </si>
  <si>
    <t>Prototype machine resoure and approved for prototype orders only</t>
  </si>
  <si>
    <t>https://emctech.com.au/</t>
  </si>
  <si>
    <t>EMC Technologies Pty Ltd</t>
  </si>
  <si>
    <t>TESTING,EMC COMPLIANCE, RADIO &amp; WIRELESS TESTING, PRODUCT ELECTRICAL SAFETY, ENVIRONMENTAL TESTING, IP TESTING, VIBRATION TESTING, SAR, EMF, EMR, TELECOMS, CELLULAR IOT, AUTOMOTIVE TESTING, MILITARY &amp; AEROSPACE, RAILWAY INFRASTRACTURE, COMPLIANCE CONSULTING, CERTIFICATIONS, TEST EQUIPMENT CALIBRATION</t>
  </si>
  <si>
    <t>09Sep2020: Evaluated for critical supplier, reinstated. New supplier folder created.
13Nov2017: Removed from Approved supplier list due to supplier no longer required.</t>
  </si>
  <si>
    <t>https://emona.com.au/</t>
  </si>
  <si>
    <t>Emona Instruments Pty Ltd</t>
  </si>
  <si>
    <t>TESTING,ELECTRONIC TEST &amp; MEASUREMENT, TEST &amp; TAG ELECTRICAL INSTRUMENTS, 3D PRINTERS AND ADDITIVE MANUFACTURING, ENGINEERING TEACHING &amp; RESEARCH EQUIPMENT, CALIBRATION</t>
  </si>
  <si>
    <t>machining and fabrication of plastic and metal products</t>
  </si>
  <si>
    <t>Eurofins AMS Laboratories</t>
  </si>
  <si>
    <t>TESING</t>
  </si>
  <si>
    <t>https://metlabs.com/</t>
  </si>
  <si>
    <t>Eurofins MET Laboratories</t>
  </si>
  <si>
    <t>TESING,PRODUCT SAFETY TESTING &amp; CERTIFICATION, ENERGY EFFICIENCY TESTING &amp; CERTIFICATION, EMC TESTING, EXPERT SERVICES, ENVIRONMENTAL SIMULATION TESTING, ON-SITE FIELD TESTING &amp; EVALUATION, TELECOM NEBS TESTING, WIRELESS RF TESTING</t>
  </si>
  <si>
    <t>http://www.falcontestengineers.com.au/</t>
  </si>
  <si>
    <t>Falcon Test Engineers</t>
  </si>
  <si>
    <t>TESTING,PACKAGING TESTING, DG PACKAGE TESTING, PRODUCT TESTING, PALLET TESTING, DROP TESTING, SHOCK TESTING</t>
  </si>
  <si>
    <t>Supplier for use in  Project-Notus only. Supplier selected by client.
18Nov2020: Deactivated.</t>
  </si>
  <si>
    <t>https://www.ncrunch.net/</t>
  </si>
  <si>
    <t>FastSpring (Ncrunch.NET)</t>
  </si>
  <si>
    <t>TESTING,SOFTWARE TESTING, LIVE VISUAL STUDIO TESTING</t>
  </si>
  <si>
    <t>Manufacture of stamping tools, CNC machined, pressed and welded components, precision sheet metal, welding assemblies and surface finishing (powder coating)</t>
  </si>
  <si>
    <t>https://www.firetaildaq.com.au/</t>
  </si>
  <si>
    <t>Firetail DAQ (Roger Bruce Cawsey)</t>
  </si>
  <si>
    <t>MEASURING EQUIPMENT,DATA ACQUISITION, GPIB, LOGGERS</t>
  </si>
  <si>
    <t xml:space="preserve">thin stainless steel plate </t>
  </si>
  <si>
    <t>https://www.higherprecision.com/</t>
  </si>
  <si>
    <t>Higher Precision</t>
  </si>
  <si>
    <t>MEASURING EQUIPMENT,PRECISE TOOLS, JIGS, FIXTURES</t>
  </si>
  <si>
    <t>https://www.intertek.com/</t>
  </si>
  <si>
    <t>Intertek Testing Services (AU)</t>
  </si>
  <si>
    <t>TESTING,QUALITY ASSURANCE TESTING, MATERIAL TESTING, CERTIFICATIONS</t>
  </si>
  <si>
    <t>INTERTEK TESTING SERVICES NA</t>
  </si>
  <si>
    <t>https://www.nitto.com/</t>
  </si>
  <si>
    <t>Nitto Denko (Australia) Pty Ltd</t>
  </si>
  <si>
    <t>MEASURING EQUIPMENT,FLOW METERS</t>
  </si>
  <si>
    <t>https://www.acmlab.com.au/</t>
  </si>
  <si>
    <t>ACM Laboratory Pty Ltd</t>
  </si>
  <si>
    <t>TESTING,CALIBRATION SERVICES</t>
  </si>
  <si>
    <t>Supplier for magnets</t>
  </si>
  <si>
    <t>TESTING,LED DRIVERS AND LIGHTING CONTROLS, INDUSTRIAL POWER SUPPLIES, INDUSTRIAL PROCESS AUTOMATION, NUCLEAR TECHNOLOGIES AND OHSE, PCA ENCODERS, POWER SUPPLIES, LED SUPPLIES</t>
  </si>
  <si>
    <t>https://www.ati.com.au/</t>
  </si>
  <si>
    <t>ATI Australia (formerly Power Parameters Pty Ltd)</t>
  </si>
  <si>
    <t>TESTING EQUIPMENT,ELECTRICAL TEST &amp; MEASUREMENT, DATA LOGGERS, OSCILLOSCOPES, APPLIANCE TESTING, BATTERY TESTING, CALIBRATORS, CIRCUIT IDENTIFIERS, CLAMP METERS, CURRENT SENSORS, EARTH TESTERS, ENVIRONMENTAL TESTING, EV &amp; EVSE TESTING, INFRARED THERMOMETERS, INSULATION TESTERSMEDICAL EQUIPMENT TESTING, MULTIFUNCTION TESTERS, MULTIMETERS, NETWORK TESTERS, OPTICAL POWER METERS, PV TESTERS, PHASE ROTATION, RESISTANCE METERS, VOLTAGE DETECTORS, MICROWAVE RADIO EQUIPMENT</t>
  </si>
  <si>
    <t>http://www.austest.com.au/</t>
  </si>
  <si>
    <t>Austest Laboratories</t>
  </si>
  <si>
    <t>TESTING,ACCELERATED AGING, CLIMATIC TESTING, EARTHQUAKE VIBRATION TESTING, ELECTRICAL PRODUCT SAFETY TESTING, ELECTRO-MAGNETIC COMPATIBILITY, ENCLOSURE PROTECTION, ENERGU EFFICIENCY TESTING, MEPS, GEMS, MECHANICAL DYNAMIC TESTING, PRESSURE ALTITUDE TESTING, SALT CORROSION, TELECOMMUNICATIONS, TOY TESTING, UV SOLAR RADIATION, VIBRATION SHOCK TESTING, WIRELESS TESTING</t>
  </si>
  <si>
    <t xml:space="preserve">webstore recommended by client - sourcing block magnet BX0C8-N52 </t>
  </si>
  <si>
    <t>http://www.auspressurelab.com.au/</t>
  </si>
  <si>
    <t>Australian Pressure Laboratory</t>
  </si>
  <si>
    <t>TESTING,PRESSURE CALIBRATION, VACUUM CALIBRATION, ELECTRICAL CALIBRATION , NATA ACCREDITED</t>
  </si>
  <si>
    <t>http://www.bb-sensors.com/</t>
  </si>
  <si>
    <t>B + B Thermo-Technik GmbH</t>
  </si>
  <si>
    <t>MEASURING EQUIPMENT,HUMIDITY SENSORS, PRESSURE SENSORS, BRIGHTNESS  SENSORS, MOTION SENSORS</t>
  </si>
  <si>
    <t>https://www.balluff.com/</t>
  </si>
  <si>
    <t>Balluff Pty Ltd</t>
  </si>
  <si>
    <t>MEASURING EQUIPMENT,SENSORS AND SYSTEMS FOR POSITION MEASUREMENT, IDENTIFICATION, OBJECT DETECTION, PROCESS MEDIA MONITORING AND A COMPREHENSIVE PORTFOLIO FOR INDUSTRIAL IMAGE PROCESSING</t>
  </si>
  <si>
    <t>https://www.ddltesting.com/</t>
  </si>
  <si>
    <t>DDL Incorporated</t>
  </si>
  <si>
    <t>https://www.ecefast.com.au/</t>
  </si>
  <si>
    <t>ECEFast (Electro Chemical Engineering Pty Ltd</t>
  </si>
  <si>
    <t>MEASURING EQUIPMENT,AIR VELOCITY,CO2 / AIR QUALITY MEASUREMENT,CONTROLLERS &amp; INDICATORS,DATA LOGGERS &amp; RECORDERS,DISPLACEMENT SENSORS,ENVIRONMENTAL MONITORING SOLUTIONS,FLOW SENSORS &amp; SWITCHES,HAND HELD TEST &amp; MEASUREMENT METERS,HMI &amp; IO MODULES,HUMIDITY, DEW POINT, MOISTURE,LEVEL SENSING,LOAD CELLS &amp; FORCE GAUGES,OVENS &amp; FURNACES,PRESSURE,SIGNAL CONDITIONING DEVICES &amp; TRANSMITTERS,TEMPERATURE – INFRARED,TEMPERATURE – SENSORS,TEMPERATURE – THERMOMETERS &amp; PROBES,THERMOCOUPLE CABLE,THERMAL VALIDATION SOLUTIONS</t>
  </si>
  <si>
    <t>Market research Services</t>
  </si>
  <si>
    <t>https://www.acoem.com/</t>
  </si>
  <si>
    <t>Ecotech Pty Ltd</t>
  </si>
  <si>
    <t>MEASURING EQUIPMENT,ENVIRONMENTAL MONITORING, INDUSTRIAL RELIABILITY, SECURITY SOLUTIONS</t>
  </si>
  <si>
    <t>https://www.gardnerdenver.com/</t>
  </si>
  <si>
    <t>Gage Crib Worldwide, Inc.</t>
  </si>
  <si>
    <t>METROLOGY,GAUGES, GAGES, THREAD MEASUREMENT TOOLS, GAGES AND SERVICES, LIKE HARD TO FIND ACME, API, BEFORE-COATING, BEFORE-PLATE, BUTTRESS, BRITISH, KNUCKLE, LEFT HAND, LIGHT-BULB, MEDICAL, METRIC, OILFIELD, PIPE, TRAPEZOIDAL AND OTHER GAUGES</t>
  </si>
  <si>
    <t>https://www.hitechmetrology.com.au/</t>
  </si>
  <si>
    <t>Hi-Tech Metrology Pty Ltd</t>
  </si>
  <si>
    <t>METROLOGY,METROLOGY SERVICES</t>
  </si>
  <si>
    <t>Market Research Services (recruitment)</t>
  </si>
  <si>
    <t>https://irtsys.com.au/</t>
  </si>
  <si>
    <t>Industrial Research Technology Pty Ltd</t>
  </si>
  <si>
    <t>TESTING,IP TESTING, LEAK TESTING EQUIPMENT</t>
  </si>
  <si>
    <t>https://www.instrumentchoice.com.au/</t>
  </si>
  <si>
    <t>Instrument Choice (Synotronics Pty Ltd)</t>
  </si>
  <si>
    <t>MEASURING EQUIPMENT,DATA LOGGERS, WEATHER STATIONS, SENSORS, LAB, IOT, CALIBRATION</t>
  </si>
  <si>
    <t>Acoustic consultant</t>
  </si>
  <si>
    <t>http://www.johnmorris.com.au/</t>
  </si>
  <si>
    <t>John Morris Scientific Pty Ltd</t>
  </si>
  <si>
    <t>CALIBRATION</t>
  </si>
  <si>
    <t>https://www.omicronenergy.com/en/</t>
  </si>
  <si>
    <t>OMICRON</t>
  </si>
  <si>
    <t>https://www.smdsensors.com/</t>
  </si>
  <si>
    <t>Strain Measurement Devices Ltd</t>
  </si>
  <si>
    <t>MEASURING EQUIPMENT</t>
  </si>
  <si>
    <t>Project Bootcamp - Design Only</t>
  </si>
  <si>
    <t>https://microprecision.com/</t>
  </si>
  <si>
    <t>Micro Precision Inc.</t>
  </si>
  <si>
    <t>METROLOGY TOOLS AND SERVICES</t>
  </si>
  <si>
    <t>Statistical Data Science consulting</t>
  </si>
  <si>
    <t>https://www.mtiqualos.com.au/</t>
  </si>
  <si>
    <t>MTI Qualos Pty Ltd</t>
  </si>
  <si>
    <t>https://nts.com/</t>
  </si>
  <si>
    <t>NTS TECHNICAL SYSTEMS</t>
  </si>
  <si>
    <t>Calibration service provider, critical traceable rated, NATA. Reduced to Critical (RM23329).  Change of name certificate received 30May2023</t>
  </si>
  <si>
    <t>https://www.omega.com/en-us/</t>
  </si>
  <si>
    <t>OMEGA ENGINEERING, INC.</t>
  </si>
  <si>
    <t>24Jul2018: refer to 17025 scope for testing services</t>
  </si>
  <si>
    <t>https://performancetestinglabs.com/</t>
  </si>
  <si>
    <t>PERFORMANCE TESTING LABORATORY</t>
  </si>
  <si>
    <t>ISTA AND ASTM TESTING
BENCHTOP TESTING
ENVIRONMENTAL TESTING</t>
  </si>
  <si>
    <t>Refer to NATA scope for calibration services</t>
  </si>
  <si>
    <t>https://powerparameters.com.au/</t>
  </si>
  <si>
    <t>Power Parameters Pty Ltd</t>
  </si>
  <si>
    <t>ELECTRONICS MEASUREMENT INSTRUMENTS</t>
  </si>
  <si>
    <t>169 - Geri Temperature sensors for tester/development</t>
  </si>
  <si>
    <t>https://www.renishaw.com/</t>
  </si>
  <si>
    <t>RENISHAW, INC.</t>
  </si>
  <si>
    <t>https://prittie.com.au/</t>
  </si>
  <si>
    <t>S.G. Prittie Precision Gauges Pty Ltd</t>
  </si>
  <si>
    <t>MEASURING EQUIPMENT,PRECISION COMPONENTS, GAUGES, CALIBRATION TOOLS, TOUCH PROBES</t>
  </si>
  <si>
    <t>http://www.scan-xpress.com.au/</t>
  </si>
  <si>
    <t>Scan-Xpress Pty Ltd</t>
  </si>
  <si>
    <t>METROLOGY,3D SCANNING,  REVERSE ENGINEERING3D SCANNERS, HANDHELD METROLOGY, AUTOMATED METROLOGY, CT &amp; X-RAY METROLOGY, 3D PRINTERS</t>
  </si>
  <si>
    <t>13Nov2017: Removed from Approved supplier list due to supplier no longer required.
Feb2020: re-evaluaiton request by project team, but CMM was uncoperative with providing claibraitn information. Evaluation stopped, supplier not approved.</t>
  </si>
  <si>
    <t>https://www.sgs.com/</t>
  </si>
  <si>
    <t>SGS Testing &amp; Control Services Singapore Pte Ltd</t>
  </si>
  <si>
    <t>TESTING,MATERIAL TESTING,  AUDITING CERTIFICATION, MEDICAL DEVICE REGULATORY COMPLIANCE, SGS ASSURANCE SERVICES, SUPPLY CHAIN ASSURANCE</t>
  </si>
  <si>
    <t>https://techsafety.com/</t>
  </si>
  <si>
    <t>Technical Safety Services (TSS)</t>
  </si>
  <si>
    <t>TESTING &amp; CERTIFICATION
BIOSAFETY CABINET
COMPRESSED GAS SYSTEMS
CLEANROOM
AIRFLOW VISUALIZATION
FUME HOOD / ASHRAE-110
VIVARIUM BIOSAFETY ENCLOSURES
CLEAN BENCH
DECONTAMINATION
RADIATION SAFETY
MICROBIOLOGICAL SERVICES
CALIBRATION
HIGH PURITY WATER SERVICES
COMMISSIONING
DECOMMISSIONING
PHARMACY COMPLIANCE
VALIDATION
GMP DOCUMENTATION</t>
  </si>
  <si>
    <t>https://www.testequity.com/</t>
  </si>
  <si>
    <t>TestEquity LLC</t>
  </si>
  <si>
    <t>THERMAL CHAMBERS</t>
  </si>
  <si>
    <t>https://www.threadcheck.com/</t>
  </si>
  <si>
    <t>Thread Check Inc.</t>
  </si>
  <si>
    <t>ISO 9001 scope: Design, manufacturing, supply, operations and maintenance of environmental monitoring and equipment systems_x000D_
ISO 17025 scope: refer to NATA website</t>
  </si>
  <si>
    <t>https://www.trescal.com.au/</t>
  </si>
  <si>
    <t>Trescal (ex Aust Calibration Services, ACS)</t>
  </si>
  <si>
    <t xml:space="preserve">TESTING,CALIBRATION, MEASURING TOOLS REPAIR, </t>
  </si>
  <si>
    <t>https://www.ul.com/</t>
  </si>
  <si>
    <t>UL LLC</t>
  </si>
  <si>
    <t>TESTING,CERTIFICATIONS, TESTING, EMC TESTING, ENERGY EFFICIENCY TESTING, ENVIRONMENTAL TESTING, INDOOR AIR QUALITY TESTING, INTEROPERABILITY TESTING, PERFORMANCE AND QUALITY TESTING, 'SAFET TESTING, WIRELESS TESTING</t>
  </si>
  <si>
    <t>25Feb2021: re-activate supplier for PI use only. General rating.
02 Jul 2020: remove from register. Cbc
16Jan2016: ISO 9001 scope: Supply, distribution, servicing and calibration of electrical/electronic measuring and test equipment and technical teaching equipment. NOT NATA certified
Reduced to Critical (RM23329)</t>
  </si>
  <si>
    <t>https://www.uscalibration.com/</t>
  </si>
  <si>
    <t>US CALIBRATION, INC.</t>
  </si>
  <si>
    <t>16Sep2020: Removed from register. Archive record.
Refer to NATA scope of accreditation.</t>
  </si>
  <si>
    <t>usCalibration Inc</t>
  </si>
  <si>
    <t>Product Safety Testing (Limpet)</t>
  </si>
  <si>
    <t>https://www.vicam.com/</t>
  </si>
  <si>
    <t>Vicam. Waters Technologies Corp</t>
  </si>
  <si>
    <t>AFLATOXIN TESTINGBISPHENOL A TESTINGCITRININ TESTINGDEOXYNIVALENOL TESTINGFUMONISIN TESTINGGLYPHOSATE TESTINGMULTI-ANALYTE TESTINGOCHRATOXIN TESTINGSOLVENT FREE TESTINGT2 AND HT-2 TESTINGZEARALENONE TESTINGPREMIXED METHANOLMYCO 5-IN-1 PLUS</t>
  </si>
  <si>
    <t>Service provider for product testing</t>
  </si>
  <si>
    <t>https://nvms.com.au/</t>
  </si>
  <si>
    <t>Noise &amp; Vibration Measurement Systems (T/A NVMS)</t>
  </si>
  <si>
    <t>Service provider for financial transaction for Ncrunch.</t>
  </si>
  <si>
    <t>https://www.presens.de/</t>
  </si>
  <si>
    <t>PreSens Precision Sensing GmbH</t>
  </si>
  <si>
    <t>USB OEM parts</t>
  </si>
  <si>
    <t>https://www.zedflo.com.au/</t>
  </si>
  <si>
    <t>Process Control Instrumentation Pty Ltd (T/A Zedflo Australia)</t>
  </si>
  <si>
    <t>For One Off purchase of gauges for GERI project ONLY</t>
  </si>
  <si>
    <t>https://www.ptglobal.com/</t>
  </si>
  <si>
    <t>PT Limited</t>
  </si>
  <si>
    <t xml:space="preserve">MEASURING EQUIPMENT,INDICATORS &amp; DISPLAYS, CONDITIONERS &amp; TRANSMITTERS, LOAD CELLS, TANK/SILO WEIGHTING ASSEMBLIES, SPECIAL PURPOSE AND SHACKLE PINS, </t>
  </si>
  <si>
    <t>NZ</t>
  </si>
  <si>
    <t>http://www.qstarz.com/</t>
  </si>
  <si>
    <t>Qstarz International Co., Ltd.</t>
  </si>
  <si>
    <t>https://snlabs.com/</t>
  </si>
  <si>
    <t>S&amp;N LABS</t>
  </si>
  <si>
    <t>https://simbol.ca/</t>
  </si>
  <si>
    <t>Simbol Test Systems, Inc.</t>
  </si>
  <si>
    <t>ELECTRONICS TESTING FIXTURES, MECHANICAL TESTING FIXTURES</t>
  </si>
  <si>
    <t>UL GmbH</t>
  </si>
  <si>
    <t>https://www.vaisala.com/</t>
  </si>
  <si>
    <t>Vaisala Pty Ltd</t>
  </si>
  <si>
    <t>Parts: John Morris distribute Cole-Palmer products. Cole Palmer distributes products from Value Plastics (fittings and adapters). Zeus Industrial Products (PTFE Tubing) and Saint-Gobain (Masterflex tubing). Any critical parts from other manufacturers will require assessment, therefore John Morris has been categorised as Restricted.
Certificate expiry dates: Value Plastics 17/4/2024, Zeus 29May2024, , Saint Gobain 22/10/2023, John Morris 9/11/2023
Test and Calibration ISO117025: Refer to NATA scope of accreditation 4283. Rating considered Critical as a calibration supplier.
2May2014: Changed from critical to restricted 2/5/2014</t>
  </si>
  <si>
    <t>https://color.xrite.com/</t>
  </si>
  <si>
    <t>X-Rite</t>
  </si>
  <si>
    <t>MEASURING EQUIPMENT,COLORIMETER</t>
  </si>
  <si>
    <t>McMaster-Carr Supply Company</t>
  </si>
  <si>
    <t>MECHANICAL COMPONENTS</t>
  </si>
  <si>
    <t>19Jul2018: Supplier evaluation form not provided. Restricted as distributor for Mitutoyo products only.</t>
  </si>
  <si>
    <t>McNaughtan's Pty Ltd</t>
  </si>
  <si>
    <t>Misumi South East Asia Pte Ltd</t>
  </si>
  <si>
    <t xml:space="preserve">582 - Bootcamp </t>
  </si>
  <si>
    <t>https://www.kyotokagaku.com/</t>
  </si>
  <si>
    <t>Kyoto Kagaku</t>
  </si>
  <si>
    <t>MEDICAL DEVICES</t>
  </si>
  <si>
    <t>MEDICAL DEVICES,RADIOLOGY PHANTOM, ULTRASOUND PHANTOM, SIMULATOR, ANATOMICAL MODELS</t>
  </si>
  <si>
    <t>https://www.diagnostictechnology.com.au/</t>
  </si>
  <si>
    <t>Diagnostic Technology Pty Ltd</t>
  </si>
  <si>
    <t>MEDICAL EQUIPMENT</t>
  </si>
  <si>
    <t>MEDICAL EQUIPMENT,CLINICAL DIAGNOSTIC, LIFE SCIENCE, PATHOLOGY</t>
  </si>
  <si>
    <t>https://dravon.com/</t>
  </si>
  <si>
    <t>Dravon Medical Inc</t>
  </si>
  <si>
    <t>MEDICAL EQUIPMENT,IV BAGS, A-CLAMPS, T-CLAMPS</t>
  </si>
  <si>
    <t>https://www.demaxmedical.com/</t>
  </si>
  <si>
    <t>Demax Medical Australia Pty Ltd</t>
  </si>
  <si>
    <t>MEDICAL EQUIPMENT,BALLOON CATHETER,INFLATION DEVICES,Y CONNECTOR KIT,INTRODUCER SHEATH,ACCESSORIES,TOURNIQUET,PEELABLE INTRODUCER</t>
  </si>
  <si>
    <t>https://escoindustries.com.au/</t>
  </si>
  <si>
    <t>Esco Industries Pty Ltd</t>
  </si>
  <si>
    <t>MEDICAL EQUIPMENT,MEDICAL SERVICES PANELS (MSPS),MEDICAL GAS OUTLETS,MEDICAL GAS ISOLATION VALVE BOXES,RESIDUAL CURRENT DEVICES (RCDS),MEDICAL GENERAL PURPOSE OUTLETS (GPOS),LINE ISOLATION DEVICES AND MONITORING,MEDICAL LIGHTING,UPS STATUS INDICATOR,MEDICAL SERVICES PENDANTS,EQUIPOTENTIAL JUNCTION (EPJ) PANELS &amp; TEST POINTS,SOLID PLATE SWITCHGEAR – TAMPER PROOF,MEDICAL GAS HOSE ASSEMBLIES &amp; FITTINGS,MEDICAL AREA SIGNS</t>
  </si>
  <si>
    <t>https://www.koalamedical.com.au/</t>
  </si>
  <si>
    <t>Koala Medical Pty Ltd</t>
  </si>
  <si>
    <t>MEDICAL EQUIPMENT,ANAESTHESIA SYSTEM,VENTILATOR SYSTEM,ENDOSCOPY, DEFIBRILLATORS, PATIENT MONITORING</t>
  </si>
  <si>
    <t>PIPL Only for project Bootcamp.  Advised if required for PPU or validation/verification needs full assessment</t>
  </si>
  <si>
    <t>https://www.qosina.com/</t>
  </si>
  <si>
    <t>Qosina Corp</t>
  </si>
  <si>
    <t>MEDICAL EQUIPMENT,MEDICAL</t>
  </si>
  <si>
    <t>For Project 518 - Opus</t>
  </si>
  <si>
    <t>https://sdr.com.au/</t>
  </si>
  <si>
    <t>SDR Scientific Pty Ltd</t>
  </si>
  <si>
    <t>Electronic force and load measurement equipment</t>
  </si>
  <si>
    <t>https://tristantech.com/</t>
  </si>
  <si>
    <t>Tristan Technologies</t>
  </si>
  <si>
    <t>MEDICAL IMAGING</t>
  </si>
  <si>
    <t>15Sep2020: removed from register and records archived.
11Nov2014 Qstarz is distributor only. ISO9001 certificate for contract manufacture Transysytem has been provided (eg product BT-Q1300ST). All other products from Qstarz not manufactured by Transystem are considered General</t>
  </si>
  <si>
    <t>https://www.cellmed.com.au/</t>
  </si>
  <si>
    <t>Cellmed Pty Ltd</t>
  </si>
  <si>
    <t>MEDICAL INSTRUMENTS</t>
  </si>
  <si>
    <t>MEDICAL INSTRUMENTS,ANAESTHESIA SYSTEM,VENTILATOR SYSTEM,ENDOSCOPY, DEFIBRILLATORS, PATIENT MONITORING</t>
  </si>
  <si>
    <t>https://macawi.demcon.com/</t>
  </si>
  <si>
    <t>DEMCON macawi Respiratory Systems B.V.</t>
  </si>
  <si>
    <t>MEDICAL INSTRUMENTS,RESPIRATORY DEVICE</t>
  </si>
  <si>
    <t>Trajan Scientific Australia Pty Ltd</t>
  </si>
  <si>
    <t>MEDICAL PRODUCTS</t>
  </si>
  <si>
    <t>http://www.tuta.com.au/</t>
  </si>
  <si>
    <t>ICU Medical Australia Pty</t>
  </si>
  <si>
    <t xml:space="preserve">MEDICAL PRODUCTS,MEDICAL </t>
  </si>
  <si>
    <t>Laboratory Testing - Chemical &amp; Microbiological</t>
  </si>
  <si>
    <t>https://www.hycorbiomedical.com/</t>
  </si>
  <si>
    <t>Hycor Biomedical LLC</t>
  </si>
  <si>
    <t>https://miroculus.com/</t>
  </si>
  <si>
    <t>Miroculus Corporation, Inc.</t>
  </si>
  <si>
    <t>GEONMIC ANALYSIS</t>
  </si>
  <si>
    <t>Requested by project Bootcamp to add PIPL Code, added PIPL 13Apr2023.</t>
  </si>
  <si>
    <t>Planet Innovation, Inc</t>
  </si>
  <si>
    <t>https://procisedx.com/</t>
  </si>
  <si>
    <t>ProciseDx Inc</t>
  </si>
  <si>
    <t>MEDICAL PRODUCTS,PATHOLOGY, LIFE SCIENCE, MEDICAL</t>
  </si>
  <si>
    <t>NATA calibration services supplier, refer to NATA scope 123. Reduced to Critical (RM23329)</t>
  </si>
  <si>
    <t>Tecan Australia Pty Ltd</t>
  </si>
  <si>
    <t>https://spencerhealthsolutions.com/</t>
  </si>
  <si>
    <t>Spencer Machine</t>
  </si>
  <si>
    <t>https://www.orbostregionalhealth.com.au/</t>
  </si>
  <si>
    <t>Orbost Regional Health</t>
  </si>
  <si>
    <t>MEDICAL SERVICES</t>
  </si>
  <si>
    <t>https://www.hksurgical.com/</t>
  </si>
  <si>
    <t>HK Surgical.  Inc</t>
  </si>
  <si>
    <t>MEDICAL SUPPLIES</t>
  </si>
  <si>
    <t>https://mcfarlanemedical.com.au/</t>
  </si>
  <si>
    <t>McFarlane Medical</t>
  </si>
  <si>
    <t>22 Mar 2021: Remove from register (supplier is not in GT).
NOTE: Supplier not used directly by PI. Supplier is managed by Black Caviar client.</t>
  </si>
  <si>
    <t>https://www.wellmien.com/</t>
  </si>
  <si>
    <t>Wellmien Suzhou</t>
  </si>
  <si>
    <t>MEDICAL SUPPLIES,SURGICAL MASKS</t>
  </si>
  <si>
    <t>General due to distributor only, catalogue parts specs may change without notice.</t>
  </si>
  <si>
    <t>https://www.alliance-connect.com.au/</t>
  </si>
  <si>
    <t>Alliance Connect</t>
  </si>
  <si>
    <t>METAL CASTING</t>
  </si>
  <si>
    <t>DIE CASTING,ALUMINIUM DIE CASTING, PRESSURE CASTING, GRAVITY CASTING</t>
  </si>
  <si>
    <t>Concept Latch Lock &amp; Hinge transferred the business to McNaughtans Pty Ltd.</t>
  </si>
  <si>
    <t>https://www.henrymachine.com/</t>
  </si>
  <si>
    <t>HENRY MACHINE, INC</t>
  </si>
  <si>
    <t>SAND CASTING
VACUUM SAND (VACUUM TIGHT/LOW POROSITY) CASTING
PERMANENT MOLD CASTING
RUBBER PLASTER CASTING
V-PROCESS CASTING
INVESTMENT (NET SHAPE ZERO DRAFT) CASTING
DIE CASTING</t>
  </si>
  <si>
    <t>Restricted due to Distributor only. Refer 158_1199_01_TAR for approved parts</t>
  </si>
  <si>
    <t>https://www.lesueurinc.com/</t>
  </si>
  <si>
    <t>Le Sueur Incorporated</t>
  </si>
  <si>
    <t xml:space="preserve">ALUMINUM CASTINGS
PERMANENT MOLD CASTING
DIE CASTING
SAND CASTING
CORE MAKING
COMPLEX &amp; PRESSURE TIGHT CASTINGS
PLASTIC INJECTION MOLDING
PRECISION CASTING MACHINING
QUALITY CONTROL
</t>
  </si>
  <si>
    <t>https://www.senadiecasting.com.my/</t>
  </si>
  <si>
    <t>Sena Diecasting Industries SDN BHD</t>
  </si>
  <si>
    <t>DIE CASTING</t>
  </si>
  <si>
    <t>PIPL for Project Rhoid</t>
  </si>
  <si>
    <t>https://www.genplex.com/</t>
  </si>
  <si>
    <t>GENPLEX</t>
  </si>
  <si>
    <t>METAL EXTRUSIONS</t>
  </si>
  <si>
    <t xml:space="preserve">PLASTIC TUBING_x000D_
PLASTIC TUBING PRODUCTS_x000D_
FLEXIBLE PLASTIC TUBING_x000D_
CUSTOM PLASTIC EXTRUDED PROFILES_x000D_
RIGID AND SEMI-RIGID PLASTIC TUBING_x000D_
MINIATURE PLASTIC TUBING_x000D_
THIN-WALL PLASTIC TUBING_x000D_
SPECIALTY TUBING_x000D_
LAYFLAT TUBING_x000D_
</t>
  </si>
  <si>
    <t>Medical Diagnostics</t>
  </si>
  <si>
    <t>https://www.pa-international.com.au/</t>
  </si>
  <si>
    <t>PA International</t>
  </si>
  <si>
    <t>EXTRUSIONS</t>
  </si>
  <si>
    <t>https://paramountextrusions.com/</t>
  </si>
  <si>
    <t>PARAMOUNT EXTRUSION COMPANY</t>
  </si>
  <si>
    <t>ALUMINUM EXTRUSIONS,CUSTOM EXTRUSIONS, , ALUMINUM FABRICATION WELDING</t>
  </si>
  <si>
    <t>https://fotofab.com/</t>
  </si>
  <si>
    <t>Fotofab</t>
  </si>
  <si>
    <t>METAL STAMPING</t>
  </si>
  <si>
    <t>CRYSTAL MASKS &amp; SPACERS_x000D_
ELECTRICAL CONTACTS_x000D_
EMI &amp; RFI SHIELDS_x000D_
ENCODERS_x000D_
FLAT SPRINGS_x000D_
FUEL CELL PLATES_x000D_
LOW PROFILE SHIELDS_x000D_
SCREENS AND FILTERS_x000D_
SEMICONDUCTOR_x000D_
STEP LIDS_x000D_
STANDARD RF SHIELDS_x000D_
PROTOTYPE SHIELD KITS</t>
  </si>
  <si>
    <t>Distributor which specialises in Anaesthetic devices and Airway Management.</t>
  </si>
  <si>
    <t>https://smtnet.com/</t>
  </si>
  <si>
    <t>Tatly Technology (Suzhou)</t>
  </si>
  <si>
    <t>Distributor of SU disposable components.  Added as PIPL approved as requested by Project bootcamp</t>
  </si>
  <si>
    <t>http://tromfg.com/</t>
  </si>
  <si>
    <t>Tro Manufacturing</t>
  </si>
  <si>
    <t>https://www.ocean-metal.com/</t>
  </si>
  <si>
    <t>Ocean Springs Metal Manufacture Limited</t>
  </si>
  <si>
    <t>STAMPING</t>
  </si>
  <si>
    <t>https://precisioncuttertool.com/</t>
  </si>
  <si>
    <t>Precision Cutter &amp; Tool</t>
  </si>
  <si>
    <t>Distributor of medical equipment</t>
  </si>
  <si>
    <t>https://lairdthermal.com/</t>
  </si>
  <si>
    <t>Laird Thermal Systems Shenzhen Limited</t>
  </si>
  <si>
    <t>MICRO PELTIER</t>
  </si>
  <si>
    <t>16Nov2020: MDD 93/42/EEC certificate for others. Restricted category as per DXL advice and to be considered as Critical Traceable in the future. (refer to e-mail in supplier folder)</t>
  </si>
  <si>
    <t>https://www.fluigent.com/</t>
  </si>
  <si>
    <t>Fluigent SAS</t>
  </si>
  <si>
    <t>MICROFLUIDICS</t>
  </si>
  <si>
    <t>MICROFLUIDICS,OMI, AUTOMATED ORGAN-ON-CHIP PLATFORM
AUTOMATED SEQUENTIAL INJECTION SYSTEM
MICROFLUIDIC PRESSURE BASED FLOW CONTROLLER
MICROFLUIDIC SENSORS,MICROFLUIDIC VALVES,SAMPLE RESERVOIRS,MICROFLUIDIC PRESSURE SOURCES,MICROFLUIDIC CHIPS,MICROFLUIDIC ACCESSORIES,ENCAPSULATION PLATFORM FOR FACS,MICROFLUIDIC COMPLEX EMULSION PRODUCTION PLATFORM,MICROFLUIDIC APPLICATION PACKS,MICROFLUIDIC STARTER PACKS</t>
  </si>
  <si>
    <t>https://labsmith.com/</t>
  </si>
  <si>
    <t>Labsmith, Inc.</t>
  </si>
  <si>
    <t>7Feb2022: Remove from register (DVA-000178/DVA-000179)</t>
  </si>
  <si>
    <t>https://www.dolomite-microfluidics.com/</t>
  </si>
  <si>
    <t>The Dolomite Centre (Blacktrace Holdings)</t>
  </si>
  <si>
    <t>https://www.altramotionaustralia.com/</t>
  </si>
  <si>
    <t>Altra Industrial Motion Australia Pty Ltd</t>
  </si>
  <si>
    <t>MOTION CONTROL</t>
  </si>
  <si>
    <t>MOTION CONTROL,COUPLINGS, HEAVY DUTY CLUTCHES, BRAKES, LIMIT SWITCHES, OVERRUNNING CLUTCHES, BACKSTOPS</t>
  </si>
  <si>
    <t>https://www.anaheimautomation.com/</t>
  </si>
  <si>
    <t>Anaheim Automation, Inc.</t>
  </si>
  <si>
    <t>MOTION CONTROL,STEPPER MOTORS, BRUSHLESS DC, GEARBOXES, SERVO MOTORS, LINEAR COMPONENTS, LINEAR ACTUATOR, AC, HMI, PLC, BRUSH DC, ENCODERS, COUPLINGS, INTEGRATED CIRCUIT</t>
  </si>
  <si>
    <t>https://www.gagecrib.com/</t>
  </si>
  <si>
    <t>G.Z. Pneumatic P/L</t>
  </si>
  <si>
    <t>MOTION CONTROL,PNEUMATICS, SOLENOID, RELAYS</t>
  </si>
  <si>
    <t>internal transfer of materials</t>
  </si>
  <si>
    <t>https://hitecrcd.com/</t>
  </si>
  <si>
    <t>Hitec Group USA</t>
  </si>
  <si>
    <t>https://www.ineedmotors.com/</t>
  </si>
  <si>
    <t>Ineed Electronics HK</t>
  </si>
  <si>
    <t>MOTION CONTROL,HAPTIC MOTORS, VIBRATION MOTORS</t>
  </si>
  <si>
    <t>https://j2sourcing.com/</t>
  </si>
  <si>
    <t>J2 Sourcing AB</t>
  </si>
  <si>
    <t>SWEDEN</t>
  </si>
  <si>
    <t>Email re ISO 14485 sent on 11 July
18Dec2020: Email sent.</t>
  </si>
  <si>
    <t>https://www.allmotion.com/</t>
  </si>
  <si>
    <t>ALLMOTION</t>
  </si>
  <si>
    <t>http://www.appliedau.com.au/</t>
  </si>
  <si>
    <t>Applied Industrial Technologies Pty Ltd</t>
  </si>
  <si>
    <t>MOTION CONTROL,ADHESIVES, SEALANTS &amp; TAPE,AUTOMOTIVE,BEARINGS,CHEMICALS, COATINGS AND COMPOUNDS,ELECTRIC MOTORS,FASTENERS &amp; FIXINGS,FILTRATION,GENERAL INDUSTRIAL PRODUCTS,HOSE AND FITTINGS,HYDRAULIC PRODUCTS,LINEAR MOTION,LUBRICATION AND EQUIPMENT,MATERIAL HANDLING,PNEUMATICS,POWER TRANSMISSION,PROCESS EQUIPMENT,SEALS, GASKETS AND ACCESSORIES,TOOLS</t>
  </si>
  <si>
    <t>https://www.reliance.co.uk/</t>
  </si>
  <si>
    <t>RELIANCE PRECISION LIMITED</t>
  </si>
  <si>
    <t>GEARS AND GEARED SYSTEMS
QUADRUPOLE MASS FILTERS
OPTO-MECHANICAL ASSEMBLIES
CLEAN/HIGH VACUUM ASSEMBLY</t>
  </si>
  <si>
    <t>http://www.automotsys.com.au/</t>
  </si>
  <si>
    <t>Automated Motion Systems Pty Ltd</t>
  </si>
  <si>
    <t>Not an Active Supplier. Was used for Mars Project, removed when project has finished.</t>
  </si>
  <si>
    <t>https://www.thomsonlinear.com/</t>
  </si>
  <si>
    <t>Ball Screws &amp; Actuators Co Inc (Thomson Linear)</t>
  </si>
  <si>
    <t>MOTION CONTROL,LINEAR BEARINGS AND GUIDES,BALL BUSHING® BEARINGS,ROUNDRAIL SHAFTING,PROFILE RAIL LINEAR GUIDES,ROUNDRAIL LINEAR GUIDE SYSTEMS,SCREWS,LEAD SCREWS,BALL SCREWS,BALL SPLINES,ACTUATORS,ELECTRIFICATION,LINEAR ACTUATORS,PRECISION LINEAR ACTUATORS,STEPPER MOTOR LINEAR ACTUATORS,COMPACT LINEAR SYSTEMS,LINEAR MOTION SYSTEMS,SCREW JACKS,LIFTING COLUMNS,OTHER THOMSON COMPONENTS,PRECISION BALLS,API DELEVAN ELECTRICAL COMPONENTS,API DELEVAN RESOLVERS</t>
  </si>
  <si>
    <t>https://bsc.com.au/</t>
  </si>
  <si>
    <t>Bearing and Power Transmission Solutions</t>
  </si>
  <si>
    <t>MOTION CONTROL,AUTOMOTIVE BEARINGS,BALL BEARINGS,CYLINDRICAL ROLLER BEARINGS,TAPERED ROLLER BEARINGS,NEEDLE ROLLER BEARINGS,BEARING HOUSINGS,LINEAR MOTION BEARINGS,SELF-ALIGNING PLAIN BEARINGS,BEARING BUSHES
,</t>
  </si>
  <si>
    <t>https://conbear.com.au/</t>
  </si>
  <si>
    <t>CBC Australia Pty Ltd</t>
  </si>
  <si>
    <t>https://sdp-si.com/</t>
  </si>
  <si>
    <t>STOCK DRIVE PRODUCTS /STERLING</t>
  </si>
  <si>
    <t>Trinamic Motion Control</t>
  </si>
  <si>
    <t>Metal Foundry/ Castings and Machining</t>
  </si>
  <si>
    <t>https://www.designatronics.com/</t>
  </si>
  <si>
    <t>Designatronics Inc (Stock Drive Products)</t>
  </si>
  <si>
    <t>MOTION CONTROL,GEARS, DRIVES, BELTS</t>
  </si>
  <si>
    <t>https://dingsmotionusa.com/</t>
  </si>
  <si>
    <t>DINGS' Motion USA</t>
  </si>
  <si>
    <t>https://www.haoruimotor.com/</t>
  </si>
  <si>
    <t>Dongguan Haorui Motor Tech(ex Haosheng Electron T)</t>
  </si>
  <si>
    <t>http://www.dovermotion.com/</t>
  </si>
  <si>
    <t>Dover Motion</t>
  </si>
  <si>
    <t>MOTION CONTROL,STAGES</t>
  </si>
  <si>
    <t>https://www.e-jpc.com/</t>
  </si>
  <si>
    <t>ELINCO INTERNATIONAL JPC, INC.</t>
  </si>
  <si>
    <t>12 Jan 2022: Supplier removed from register.</t>
  </si>
  <si>
    <t>http://www.festo.com.au/</t>
  </si>
  <si>
    <t>Festo Pty Ltd</t>
  </si>
  <si>
    <t>MOTION CONTROL,PNEUMATIC</t>
  </si>
  <si>
    <t>20July2022. Tro Manufacturing confirmed PI never placed any orders with them.
Sent follow up email re ISO 9001 on 11 July 2002 (follow up on July 19)
Sent an email re ISO9001 certification on 28/06/22</t>
  </si>
  <si>
    <t>https://www.haydonkerkpittman.com/</t>
  </si>
  <si>
    <t>HAYDON KERK MOTION SOL</t>
  </si>
  <si>
    <t>https://www.helixlinear.com/</t>
  </si>
  <si>
    <t>Helix Linear Technologies</t>
  </si>
  <si>
    <t>Fluid control devices and services</t>
  </si>
  <si>
    <t>https://www.hiwin.com/</t>
  </si>
  <si>
    <t>HIWIN CORPORATION</t>
  </si>
  <si>
    <t>sensors</t>
  </si>
  <si>
    <t>https://www.igus.com.au/</t>
  </si>
  <si>
    <t>IGUS</t>
  </si>
  <si>
    <t>POLYMERIC COMPONENTS</t>
  </si>
  <si>
    <t>Follow up email sent on 21-Sep-2022. Email re ISO 9001 sent on 12 Sep 2022. Scientific Equipment, products and technologies</t>
  </si>
  <si>
    <t>https://www.ikont.com/</t>
  </si>
  <si>
    <t>IKO International (US)</t>
  </si>
  <si>
    <t>Client of Regen to supply cardboard packaging</t>
  </si>
  <si>
    <t>IKO International Inc</t>
  </si>
  <si>
    <t>https://industrialdynamics.com.au/</t>
  </si>
  <si>
    <t>Industrial Dynamics Pty Ltd</t>
  </si>
  <si>
    <t>electromechanical and hydraulic brake systems, electromechanical clutch systems, and moment of inertia measuring device</t>
  </si>
  <si>
    <t>https://www.johnsonelectric.com/</t>
  </si>
  <si>
    <t>Johnson Electric Industrial Manufactory Limited</t>
  </si>
  <si>
    <t>MOTION CONTROL,AC MOTOR
ACTUATOR-AUTOMOTIVE
ACTUATORS (AUTOMOTIVE)
AUTOMOTIVE-SWITCH
AUTOMOTIVE SWITCHES AND SUBSYSTEMS
BLOWER_MAIN_FILE_1
BLOWERS
100X50_PRODUCT-ICONS_CARGO-BIKE
CARGO BIKES
DC-MOTOR
DC MOTORS
EC-MOTOR-BRUSHLESS_4
EC MOTORS (BRUSHLESS)
100X50_PRODUCT-ICON_EDRIVE_1
EDRIVES
EMI-CIRCUIT_5
EMI SHIELDED FLEXIBLE CIRCUITS
FLEX-CIRCUITS_2
FLAT FLEXIBLE CABLE (FFC)
MICROSOFTTEAMS-IMAGE_3_
FLEX CIRCUITS
GEAR-BOX
GEARBOXES
GEAR-MOTOR
GEARMOTORS
HAPTIC-MOTION-PRODUCT
HAPTIC MOTION PRODUCTS
MANUALLY-OPERATING-SWITCH
MANUALLY OPERATED SWITCHES
MICROELECTRONICS
MICROELECTRONICS
MICROSWITCHES
MICROSWITCHES (SNAP ACTION SWITCHES)
PIEZO-ROTARY-SHUTTER-WITH-TACK_2
PIEZO MOTORS AND SUBSYSTEMS
PIEZO-STAGES
PIEZO STAGES
POWDER-METAL-COMPONENTS
POWDER METAL COMPONENTS
PRINTED-ELECTRONICS
PRINTED ELECTRONICS (PE)
PUMPS
PUMPS
SMART-METER-RELAY
RELAYS
SECURITY-CIRCUITS
SECURITY CIRCUITS
SOLENOIDS
SOLENOIDS
STARTERS_1
STARTERS
STEPPER-MOTOR
STEPPER MOTORS
TIPPMATIC-SWITCH
TIPPMATIC AUTO POWER-OFF</t>
  </si>
  <si>
    <t>Motion control products</t>
  </si>
  <si>
    <t>https://www.linengineering.com/</t>
  </si>
  <si>
    <t>Lin Engineering</t>
  </si>
  <si>
    <t>MOTION CONTROL,MOTORS</t>
  </si>
  <si>
    <t>LIN ENGINEERING (US)</t>
  </si>
  <si>
    <t>STEPPER MOTORS_x000D_
HYBRID STEPPERS_x000D_
GEARED STEPPER MOTORS_x000D_
PM STEPPERS_x000D_
LINEAR ACTUATORS_x000D_
PM LINEAR STEPPER MOTORS_x000D_
CAPTIVE LINEAR STEPPER MOTORS_x000D_
INTEGRATED STEPPERS_x000D_
DC AND BLDC MOTORS_x000D_
STANDARD NEMA BLDC_x000D_
GEARED BLDC MOTORS_x000D_
FRAMELESS BLDC_x000D_
SERVO BLDC_x000D_
SLOTLESS BLDC_x000D_
MOTORIZED TRACTION WHEELS_x000D_
OUTER ROTOR MOTORS_x000D_
BRUSHED CORELESS DC MOTORS_x000D_
VALUE ADD &amp; ASSEMBLIES_x000D_
DRIVERS &amp; CONTROLLERS_x000D_
GEARBOXES_x000D_
ENCODERS_x000D_
WIRE HARNESS_x000D_
SPECIALTY MOTORS_x000D_
IP RATED/SEALED MOTORS_x000D_
VACUUM/LOW OUTGASSING_x000D_
LOW AND HIGH TEMP_x000D_
AGV DRIVE WHEELS_x000D_
LOW PROFILE MOTORS</t>
  </si>
  <si>
    <t>Australian distributor for RTA. RTA certificate has been submitted.</t>
  </si>
  <si>
    <t>https://www.lineartechnik.com.au/</t>
  </si>
  <si>
    <t>Linear Technik Pty Ltd</t>
  </si>
  <si>
    <t>https://www.maxiloc.com.au/</t>
  </si>
  <si>
    <t>Maxiloc Industrial Pty Ltd</t>
  </si>
  <si>
    <t xml:space="preserve">16Feb2021: re-evaluation|e-mail sent. FF: 04Apr2022
16FEB2018: restricted because distributor. Henkel products may be purchased as critical. BSC ISO certificate expiry 12JUN20, Henkel certificate expiry 30AUG2021 </t>
  </si>
  <si>
    <t>https://www.maxongroup.net.au/</t>
  </si>
  <si>
    <t>Maxon Motor Australia Pty Ltd</t>
  </si>
  <si>
    <t>MOTION CONTROL,DC MOTORS</t>
  </si>
  <si>
    <t>https://maytech.cn/</t>
  </si>
  <si>
    <t>Maytech Electronics Co Ltd</t>
  </si>
  <si>
    <t>https://mighty-corp.co.jp/</t>
  </si>
  <si>
    <t>Mighty Corporation Ltd</t>
  </si>
  <si>
    <t>COUPLINGS, UNIVERSAL JOINTS_x000D_
TORQUE LIMITERS</t>
  </si>
  <si>
    <t>https://motiontech.com.au/</t>
  </si>
  <si>
    <t>Motion Technologies Pty Ltd</t>
  </si>
  <si>
    <t>21Sep2020: Change name (from Haoshen Electron Technology --&gt; Dongguan Haorui Motor Technology)</t>
  </si>
  <si>
    <t>http://www.naismith.com.au/</t>
  </si>
  <si>
    <t>Naismith Engineering &amp; Manufacturing Co P/L</t>
  </si>
  <si>
    <t>MOTION CONTROL,COUPLINGS, UNIVERSAL JOINTS, TIMING PULLEYS BELTS, V-PULLEYS</t>
  </si>
  <si>
    <t>https://www.nanotec.com/</t>
  </si>
  <si>
    <t>Nanotec Electronic GmbH &amp; Co. KG</t>
  </si>
  <si>
    <t xml:space="preserve">MOTION CONTROL,SMART SERVOS, </t>
  </si>
  <si>
    <t>http://www.nationalaperture.com/</t>
  </si>
  <si>
    <t>National Aperture Inc</t>
  </si>
  <si>
    <t>MOTION CONTROL,STAGES, MICRO APERTURE</t>
  </si>
  <si>
    <t>https://www.nipponpulse.com/</t>
  </si>
  <si>
    <t>Nippon Pulse America Inc</t>
  </si>
  <si>
    <t>Kuhnke electronic and pneumatic equipment</t>
  </si>
  <si>
    <t>https://nmbtc.com/</t>
  </si>
  <si>
    <t>NMB Technologies Corporation</t>
  </si>
  <si>
    <t>https://www.orientalmotor.com/</t>
  </si>
  <si>
    <t>Oriental Motor USA Corp.</t>
  </si>
  <si>
    <t>ΑSTEP
STEPPER MOTORS
BRUSHLESS DC MOTORS
SERVO MOTORS
AC GEAR MOTORS
LINEAR ACTUATORS
ROTARY ACTUATORS
NETWORK PRODUCTS
COOLING FANS</t>
  </si>
  <si>
    <t>https://www.chd.hk/</t>
  </si>
  <si>
    <t>Power HD (HuiDa RC International Inc)</t>
  </si>
  <si>
    <t>Manufacturer of servo, radio, accessories and parts model for hobby related products</t>
  </si>
  <si>
    <t>https://www.ruland.com/</t>
  </si>
  <si>
    <t>Ruland Manufacturing Co</t>
  </si>
  <si>
    <t xml:space="preserve">COUPLINGS, SHAFT COLLARS_x000D_
RIGID COUPLINGS _x000D_
BEAM COUPLINGS _x000D_
BELLOWS COUPLINGS _x000D_
CONTROLFLEX COUPLINGS _x000D_
DISC COUPLINGS _x000D_
JAW COUPLINGS _x000D_
OLDHAM COUPLINGS _x000D_
SHAFT COLLARS WITH LEVERS _x000D_
UNIVERSAL JOINTS _x000D_
CLAMP UNIVERSAL JOINTS - NEW _x000D_
MODULAR MOUNTING SYSTEMS_x000D_
</t>
  </si>
  <si>
    <t>https://www.ammeraalbeltech.com/</t>
  </si>
  <si>
    <t>Rydell Beltech Pty Ltd</t>
  </si>
  <si>
    <t>https://www.statewidebearings.com.au/</t>
  </si>
  <si>
    <t>Statewide Linear Bearings (Partout Pty Ltd)</t>
  </si>
  <si>
    <t>BEARINGS &amp; POWER TRANSMISSION</t>
  </si>
  <si>
    <t>https://www.york-ind.com/</t>
  </si>
  <si>
    <t>York Industries Inc</t>
  </si>
  <si>
    <t>MOTION CONTROL,GEARS, PULLEYS, BELTS</t>
  </si>
  <si>
    <t>Bearing, linear way components</t>
  </si>
  <si>
    <t>https://www.zaber.com/</t>
  </si>
  <si>
    <t>Zaber Technologies Inc</t>
  </si>
  <si>
    <t>ISO 9001 Certificates are available for Japan, Singapore and USA. Date recorded is for the one with the nearest expiry (Japan).
Distributor only. ISO 9001 certificate is for Oriental Motor</t>
  </si>
  <si>
    <t>https://www.piesau.com.au/</t>
  </si>
  <si>
    <t>Pies Australia Pty Ltd</t>
  </si>
  <si>
    <t>Columnar vibration motor</t>
  </si>
  <si>
    <t>https://www.mitchellservices.com.au/</t>
  </si>
  <si>
    <t>Reliance Precision Australia (Mitchell Services)</t>
  </si>
  <si>
    <t>MOTION CONTROL,RAILS</t>
  </si>
  <si>
    <t>https://www.koge.com/</t>
  </si>
  <si>
    <t>Koge Micro Tech Co., Ltd</t>
  </si>
  <si>
    <t>MOTORS</t>
  </si>
  <si>
    <t>MOTORS,DC MOTORS, PUMPS</t>
  </si>
  <si>
    <t>Actuators, motors, switches, solenoids, flex circuits, cooling fan modules</t>
  </si>
  <si>
    <t>https://nsfcontrols.co.uk/</t>
  </si>
  <si>
    <t>NSF Controls Ltd</t>
  </si>
  <si>
    <t>https://www.precisionmicrodrives.com/</t>
  </si>
  <si>
    <t>Precision Microdrives Limited</t>
  </si>
  <si>
    <t>https://www.maxongroup.com/</t>
  </si>
  <si>
    <t>MAXON MOTORS</t>
  </si>
  <si>
    <t>Distributorfor Hiwin products. Iso certificate is for Hiwin.</t>
  </si>
  <si>
    <t>https://aoxan.en.alibaba.com/</t>
  </si>
  <si>
    <t>Shenzhen City Aoyuxiang Electronic Technology Co Ltd</t>
  </si>
  <si>
    <t>https://nanomelbourne.com/</t>
  </si>
  <si>
    <t>Melbourne Centre for Nanofabrication (MCN)</t>
  </si>
  <si>
    <t>NANOFABRICATION</t>
  </si>
  <si>
    <t>https://technetpartners.com/</t>
  </si>
  <si>
    <t>TechNet Partners Inc.</t>
  </si>
  <si>
    <t>NETWORKS SOLUTIONS</t>
  </si>
  <si>
    <t>FIBRE OPTICS, LAN, NETWORK CABLES</t>
  </si>
  <si>
    <t>Supplier restricted to Prandtl only</t>
  </si>
  <si>
    <t>https://www.bbi-interiors.com/</t>
  </si>
  <si>
    <t>BBI - BEAU BUREAUX INTERIORS</t>
  </si>
  <si>
    <t>OFFICE EQUIPMENT</t>
  </si>
  <si>
    <t>4Jun2014 Restricted due to Distributor only. ISO9001 certificate provided for Hayden brand motors, Cheiftek (CPC) for linear guides .</t>
  </si>
  <si>
    <t>https://innovativeworkspaces.com/</t>
  </si>
  <si>
    <t>Innovative Office Products, LLC</t>
  </si>
  <si>
    <t>OFFICE EQUIPMENT,MONITOR ARMS, DESKTOP CONVERTERS, POINT-OF-SALE MOUNTS, SEATING, HATWAREHOUSE</t>
  </si>
  <si>
    <t>https://www.officedepot.com/</t>
  </si>
  <si>
    <t>OFFICE DEPOT</t>
  </si>
  <si>
    <t>Motors &amp; Controllers for high quality drive solutions</t>
  </si>
  <si>
    <t>https://www.printerservices.com.au/</t>
  </si>
  <si>
    <t>Australian Printer Services Pty Ltd</t>
  </si>
  <si>
    <t>OFFICE EQUIPMENT,PRINTERS, INKS</t>
  </si>
  <si>
    <t>Aperture, miniature positioners</t>
  </si>
  <si>
    <t>https://www.cfma.net.au/</t>
  </si>
  <si>
    <t>CFM -Cabinet and Furniture Manufacturers Pty Ltd</t>
  </si>
  <si>
    <t>OFFICE EQUIPMENT,OFFICE FURNITURE</t>
  </si>
  <si>
    <t>https://www.cheapaschips.com.au/</t>
  </si>
  <si>
    <t>Cheap Chips (Gaiton Pty Ltd)</t>
  </si>
  <si>
    <t>https://www.implant.com.au/</t>
  </si>
  <si>
    <t>Implant Media</t>
  </si>
  <si>
    <t>OFFICE EQUIPMENT,CD-DVD DUPLICATION, VYNIL RECORD PRESSING, PROMOTIONAL USB DRIVE, DOWNLOAD CARDS, GARMENT PRINTING, BUSINESS CARDS</t>
  </si>
  <si>
    <t>https://www.officeworks.com.au/</t>
  </si>
  <si>
    <t>Officeworks</t>
  </si>
  <si>
    <t>https://www.stamp-connection.com/</t>
  </si>
  <si>
    <t>STAMP CONNECTIONS.COM</t>
  </si>
  <si>
    <t>STAMPS</t>
  </si>
  <si>
    <t>https://www.ptouchdirect.com/</t>
  </si>
  <si>
    <t>PTOUCHDIRECT.COM</t>
  </si>
  <si>
    <t>https://heritagewindowcoverings.com/</t>
  </si>
  <si>
    <t>Heritage Window Coverings</t>
  </si>
  <si>
    <t>OFFICE FURNITURE</t>
  </si>
  <si>
    <t>WINDOW COVERINGS</t>
  </si>
  <si>
    <t>https://valuemander.com/</t>
  </si>
  <si>
    <t>VALUEMANDER Inc.</t>
  </si>
  <si>
    <t>15Apr2020: E-mail a new SE form for completion. Follow-up on 28May2020. Follow-up on 23 Jul 2020 (Stef), 23Feb2021 (Stef).</t>
  </si>
  <si>
    <t>HTTPS://greenmonsterpest.com/</t>
  </si>
  <si>
    <t>Green Monster Pest &amp; Bldg Services</t>
  </si>
  <si>
    <t>OFFICE SERVICES</t>
  </si>
  <si>
    <t>Distributor only. ISO certificate is for NSK</t>
  </si>
  <si>
    <t>http://www.rollercoat.com/</t>
  </si>
  <si>
    <t>Roller Indutries Inc.</t>
  </si>
  <si>
    <t>RECOVERY OF PRITNING ROLLERS</t>
  </si>
  <si>
    <t>https://www.costcobusinessdelivery.com/</t>
  </si>
  <si>
    <t>Costco Business Center</t>
  </si>
  <si>
    <t>OFFICE SUPPLIES</t>
  </si>
  <si>
    <t>https://corporate.homedepot.com/</t>
  </si>
  <si>
    <t>HOME DEPOT</t>
  </si>
  <si>
    <t>https://childcare.livingstone.com.au/</t>
  </si>
  <si>
    <t>Livingstone International Pty Ltd</t>
  </si>
  <si>
    <t>https://www.omcorp.com.sg/</t>
  </si>
  <si>
    <t>OMC Corporation Limited</t>
  </si>
  <si>
    <t>OIL&amp;GAS EQUIPMENT</t>
  </si>
  <si>
    <t>https://www.udemy.com/</t>
  </si>
  <si>
    <t>UDEMY</t>
  </si>
  <si>
    <t>ONLINE EDUCATION</t>
  </si>
  <si>
    <t>http://www.alluxa.com/</t>
  </si>
  <si>
    <t>Alluxa Inc</t>
  </si>
  <si>
    <t>OPTICS</t>
  </si>
  <si>
    <t>Electrical solenoid, switches and electromagnetic actuators and electromechanical assemblies</t>
  </si>
  <si>
    <t>https://aunet.com.au/</t>
  </si>
  <si>
    <t>Aunet Pty Ltd (DinoLite)</t>
  </si>
  <si>
    <t>Miniature DC motors and mechanisms</t>
  </si>
  <si>
    <t>https://www.idexot.com/onlinecatalog/</t>
  </si>
  <si>
    <t>CVI LASER OPTICS</t>
  </si>
  <si>
    <t>http://www.emgrid.com.au/</t>
  </si>
  <si>
    <t>Emgrid Australia</t>
  </si>
  <si>
    <t>Micro/Nano fabrication process (Monash Uni)</t>
  </si>
  <si>
    <t>https://www.evidentscientific.com/</t>
  </si>
  <si>
    <t>Evident Australia</t>
  </si>
  <si>
    <t>https://www.gouldfo.com/</t>
  </si>
  <si>
    <t>Gould Fibre Optics</t>
  </si>
  <si>
    <t>https://www.labsphere.com/</t>
  </si>
  <si>
    <t>LABSPHERE</t>
  </si>
  <si>
    <t>http://www.maxemil.com.tw/</t>
  </si>
  <si>
    <t>MaxEmil Photonics Corporation</t>
  </si>
  <si>
    <t>QUADICA DEVELOPMENTS INC</t>
  </si>
  <si>
    <t>https://salvotechnologies.com/</t>
  </si>
  <si>
    <t>Salvo Technologies</t>
  </si>
  <si>
    <t>For Titan DVDs</t>
  </si>
  <si>
    <t>https://www.adept.net.au/</t>
  </si>
  <si>
    <t>Adept Turnkey Pty Ltd</t>
  </si>
  <si>
    <t>Ergonomic office solutions</t>
  </si>
  <si>
    <t>http://www.atlantek.com.au/</t>
  </si>
  <si>
    <t>Atlantek Vision Pty Ltd</t>
  </si>
  <si>
    <t>https://www.avantes.com/</t>
  </si>
  <si>
    <t>Avantes Inc</t>
  </si>
  <si>
    <t>OPTICS,SPECTROMETERS,LIGHT SOURCES,FIBER OPTICS,ACCESSORIES,SOFTWARE,OEM PRODUCTS,BUNDLES</t>
  </si>
  <si>
    <t>Stationary and office supplies</t>
  </si>
  <si>
    <t>https://www.baslerweb.com/</t>
  </si>
  <si>
    <t>Basler AG</t>
  </si>
  <si>
    <t>https://www.azooptics.com/</t>
  </si>
  <si>
    <t>CHESHIRE OPTICAL</t>
  </si>
  <si>
    <t>https://www.uqgoptics.com/</t>
  </si>
  <si>
    <t>UQG LTD.</t>
  </si>
  <si>
    <t>https://www.chroma.com/</t>
  </si>
  <si>
    <t>Chroma Technology Corp</t>
  </si>
  <si>
    <t>CHROMA TECHNOLOGY CORP.</t>
  </si>
  <si>
    <t>https://www.cognex.com/</t>
  </si>
  <si>
    <t>Cognex Corporation</t>
  </si>
  <si>
    <t>Cognex Ireland Limited</t>
  </si>
  <si>
    <t>IRELAND</t>
  </si>
  <si>
    <t>https://www.coherent.com.au/</t>
  </si>
  <si>
    <t>Coherent Scientific Pty Ltd</t>
  </si>
  <si>
    <t>Distributor of medical consumables and clean room consumables</t>
  </si>
  <si>
    <t>http://www.edmundoptics.com.sg/</t>
  </si>
  <si>
    <t>Edmund Optics Singapore</t>
  </si>
  <si>
    <t>https://www.edmundoptics.com.au/</t>
  </si>
  <si>
    <t>EDMUND OPTICS, Inc</t>
  </si>
  <si>
    <t>Evident Nagano Corporation</t>
  </si>
  <si>
    <t>Distributor only. ISO certificate obtained for Advanced illumination (expires 9 Nov 2025), Allied Vision (expires 23 Sep 2023 &amp; 2 Feb 2024), CCS Inc (8 Jun 2023), FujiFilm (15 Dec 2023). Supplier considered general for all other products.</t>
  </si>
  <si>
    <t>https://www.foctek.net/</t>
  </si>
  <si>
    <t>Foctek Photonics Inc</t>
  </si>
  <si>
    <t>Thin film optical filters</t>
  </si>
  <si>
    <t>https://www.hamamatsu.com/</t>
  </si>
  <si>
    <t>Hamamatsu Corporation</t>
  </si>
  <si>
    <t>IDEX Health &amp; Science LLC</t>
  </si>
  <si>
    <t>https://www.metoptix.com.au/</t>
  </si>
  <si>
    <t>Met Optix (DWE Systems Pty Ltd)</t>
  </si>
  <si>
    <t>https://navitar.com/</t>
  </si>
  <si>
    <t>Navitar Inc</t>
  </si>
  <si>
    <t>https://www.novanta.com/</t>
  </si>
  <si>
    <t>Novanta Corporation</t>
  </si>
  <si>
    <t>https://www.omega-optical.com/</t>
  </si>
  <si>
    <t>OMEGA OPTICAL INCORPORATED</t>
  </si>
  <si>
    <t>https://quarkphotonics.au/</t>
  </si>
  <si>
    <t>Quark Photonics Pty Ltd</t>
  </si>
  <si>
    <t>http://www.rsofibers.com/</t>
  </si>
  <si>
    <t>R Specialty Optical Fibers LLC</t>
  </si>
  <si>
    <t>Sent follow up email re ISO 9001 on 11 July 2002
24Jan2022: e-mail sent to Andy/Beily  requesting to contact supplier.
Sent an email re ISO9001 certification on 28/06/22</t>
  </si>
  <si>
    <t>https://www.sukhamburg.com/</t>
  </si>
  <si>
    <t>Schafter+Kirchhoff GmbH</t>
  </si>
  <si>
    <t>https://spectrofilm.com/</t>
  </si>
  <si>
    <t>Spectro-Film</t>
  </si>
  <si>
    <t>https://sunday-optics.en.alibaba.com/</t>
  </si>
  <si>
    <t>Sunday Optics (Changchun Sunday Optoelectronics Co)</t>
  </si>
  <si>
    <t>http://www.sunex.com/</t>
  </si>
  <si>
    <t>Sunex Inc</t>
  </si>
  <si>
    <t>https://www.thorlabs.com/</t>
  </si>
  <si>
    <t>THORLABS, INC.</t>
  </si>
  <si>
    <t>15Aug2018: Restricted due to being distributor of 3rd party items as well as a manufacturer. Check requirement for products ordered if critical rated.</t>
  </si>
  <si>
    <t>https://www.uni-optics.com/</t>
  </si>
  <si>
    <t>UNI Optics Co. Ltd</t>
  </si>
  <si>
    <t>https://vst.co.jp/</t>
  </si>
  <si>
    <t>VS Technology (Thailand) Co Ltd</t>
  </si>
  <si>
    <t xml:space="preserve">Coverslips and label for microscope slide. Supplier will require a thorough assessment or evaluation </t>
  </si>
  <si>
    <t>https://www.mega-9.com/</t>
  </si>
  <si>
    <t>Shanghai Mega-9 Optoelectronic Co. Ltd</t>
  </si>
  <si>
    <t>One-off purchase for microscope only</t>
  </si>
  <si>
    <t>https://www.standa.lt/</t>
  </si>
  <si>
    <t>UAB STANDA</t>
  </si>
  <si>
    <t>LITHUANIA</t>
  </si>
  <si>
    <t>Client | Manufacturer for olposcopes, surgical microscopes, endoscope holder, biological microscopes</t>
  </si>
  <si>
    <t>https://www.allenfield.com/</t>
  </si>
  <si>
    <t>ALLEN FIELD COMPANY, INC.</t>
  </si>
  <si>
    <t>PACKAGING</t>
  </si>
  <si>
    <t xml:space="preserve">PACKAGING COMPONENTS_x000D_
PLASTIC HANDLES_x000D_
BOX CONNECTING CLIPS_x000D_
PLASTIC HANGERS_x000D_
POP DISPLAY AIDS_x000D_
BOX AND DISPLAY WHEELS_x000D_
</t>
  </si>
  <si>
    <t>https://www.bay-cities.com/</t>
  </si>
  <si>
    <t>Bay Cities Packaging and Design</t>
  </si>
  <si>
    <t>https://www.impakcorporation.com/</t>
  </si>
  <si>
    <t>Impak Corporation</t>
  </si>
  <si>
    <t>Fittings, tubing and accessories for liquid transfer in Chemical and other Fluid applications.</t>
  </si>
  <si>
    <t>https://panicplastics.com/</t>
  </si>
  <si>
    <t>PANIC PLASTICS, INC</t>
  </si>
  <si>
    <t xml:space="preserve">NULL
CUSTOM PLASTIC
PACKAGING
CLICK HERE FOR MORE INFORMATION
NULL
CLAMSHELL
PACKAGING
PLASTIC BLISTER
PLASTIC PACKAGING
THERMOFORMED TRAYS
PLASTIC TRAYS
</t>
  </si>
  <si>
    <t>https://www.tappi.org/</t>
  </si>
  <si>
    <t>Tappi.Org</t>
  </si>
  <si>
    <t>Bioenergy
Corrugated Packaging
Engineering
Flexible Packaging
Nanotechnology
Nonwovens
Paper
Pulping
Tissue
Women in Industry</t>
  </si>
  <si>
    <t>14May2019: Removed from register, no longer required as a supplier.</t>
  </si>
  <si>
    <t>https://acorn-paper.com/</t>
  </si>
  <si>
    <t>Acorn Paper Products Co.</t>
  </si>
  <si>
    <t xml:space="preserve">BOXES_x000D_
CUSHIONING_x000D_
FOOD SERVICE_x000D_
INDUSTRIAL PAPERS_x000D_
JANITORIAL AND SANITATION_x000D_
LABELS_x000D_
MAILERS AND ENVELOPES_x000D_
MAILING TUBES_x000D_
OFFICE SUPPLIES_x000D_
SAFETY SUPPLIES_x000D_
SHIPPING AND PACKAGING SUPPLIES_x000D_
STRAPPING_x000D_
SHRINK FILM_x000D_
STRETCH FILM_x000D_
TAPE_x000D_
WINE PACKAGING_x000D_
</t>
  </si>
  <si>
    <t>https://www.alchemypp.com/</t>
  </si>
  <si>
    <t>Alchemy Performance Packaging Pty Ltd</t>
  </si>
  <si>
    <t>PACKAGING,DESICCANTS, OXYGEN ABSORBERS AND OTHER ATMOSPHERE CONTROLLED PACKAGING SOLUTIONS</t>
  </si>
  <si>
    <t>http://www.arbobox.com/index.htm</t>
  </si>
  <si>
    <t>ARBO BOX INC</t>
  </si>
  <si>
    <t xml:space="preserve"> SHOCK ABSORBING WOODEN SHIPPING CONTAINERS_x000D_
ANTISTATIC AND WEATHER RESISTANT BARRIER PACKAGING_x000D_
MIL SPEC PACKAGING_x000D_
CORRUGATED PACKAGING_x000D_
ONSITE PACKING_x000D_
EXPORT AND DOMESTIC SERVICES_x000D_
TRANSIT CASES_x000D_
FOAM FABRICATING</t>
  </si>
  <si>
    <t>https://www.atadist.com.au/</t>
  </si>
  <si>
    <t>ATA Distributors Pty Ltd</t>
  </si>
  <si>
    <t>https://brownpackaging.com/</t>
  </si>
  <si>
    <t>BROWN PACKAGING</t>
  </si>
  <si>
    <t>CORRUGATED BOXES  
FOLDING CARTONS  
POP DISPLAYS  
RIGID BOXES  
MAILING TUBES  
EDGE PROTECTORS (CORNER BOARDS)  
CUSTOM PRINTED FULL SEAL END CORRUGATED BOXES	
FOAM  
BLISTER PACKS  
CLAMSHELLS  
THERMOFORM  
ESD PACKAGING  
LABELS  
INSERTS  
BLISTER PACKAGING - POLY BAGS, SAMPLE PACKS, AND CORRUGATED CARRIER	
POUCHES  
ROLL STOCK  
POLY BAGS  
PAPER BAGS  
MAILERS  
SHRINK SLEEVES  
TAPES</t>
  </si>
  <si>
    <t>https://edenoutsource.com/</t>
  </si>
  <si>
    <t>EDEN OUTSOURCE INDUSTRIES, INC</t>
  </si>
  <si>
    <t>INDUSTRIAL PACKAGING_x000D_
RETAIL PACKAGING_x000D_
CLUB STORE AND BLISTER CARDS_x000D_
ASSEMBLY AND CONTRACT MANUFACTURING_x000D_
DISTRIBUTION SERVICES_x000D_
CLIMACELL</t>
  </si>
  <si>
    <t>Distributor for Ocean Optics</t>
  </si>
  <si>
    <t>http://www.exportpallets.com.au/</t>
  </si>
  <si>
    <t>Export Pallets (D &amp; S Nielsen Pty Ltd)</t>
  </si>
  <si>
    <t>PACKAGING,PALLETS</t>
  </si>
  <si>
    <t>20July2022. In partnership with TSOF. All manufactirung done at parent company, XSOF, which is ISO certified.</t>
  </si>
  <si>
    <t>https://jaydeepackaging.com.au/</t>
  </si>
  <si>
    <t>Jaydee Packaging</t>
  </si>
  <si>
    <t>PACKAGING,TIMBER, CARDBOARD, FOAM</t>
  </si>
  <si>
    <t>https://www.signode.com/</t>
  </si>
  <si>
    <t>Judd Paper Company</t>
  </si>
  <si>
    <t>https://www.networkpak.com.au/</t>
  </si>
  <si>
    <t>Networkpak Partnership</t>
  </si>
  <si>
    <t>Head Office: Shanghai (09 Oct 2023)  Manufacturing (10 Sep 2022)</t>
  </si>
  <si>
    <t>https://ppcflex.com/</t>
  </si>
  <si>
    <t>PPC Flexible Packaging, LLC</t>
  </si>
  <si>
    <t>https://www.reflexpackaging.com/</t>
  </si>
  <si>
    <t>REFLEX PACKAGING</t>
  </si>
  <si>
    <t>PLASTIC TRAYS</t>
  </si>
  <si>
    <t>https://sabremedical.com.au/</t>
  </si>
  <si>
    <t>Sabre Medical</t>
  </si>
  <si>
    <t>https://www.shannonpackaging.com/</t>
  </si>
  <si>
    <t>Shannon Packaging</t>
  </si>
  <si>
    <t xml:space="preserve">FLAT POUCH_x000D_
STAND UP POUCH_x000D_
SIDE GUSSET POUCH_x000D_
ROLLSTOCK_x000D_
TUBING_x000D_
ZIPPER OPTIONS_x000D_
LIP &amp; TAPE_x000D_
PUNCHES/ CUTS_x000D_
</t>
  </si>
  <si>
    <t>https://www.shockwatch.com.au/</t>
  </si>
  <si>
    <t>Shockwatch Pty Ltd</t>
  </si>
  <si>
    <t>https://www.tigerpak.com.au/</t>
  </si>
  <si>
    <t>Tigerpak Packaging (CMT Group Pty Ltd)</t>
  </si>
  <si>
    <t>18Nov2021: Re-classify from Critical to Restricted. Alert in place in GT for PIP/PI  (no new business enquires or awarded). Not a recommended supplier.</t>
  </si>
  <si>
    <t>https://www.transpak.com/</t>
  </si>
  <si>
    <t>Transpak Inc.</t>
  </si>
  <si>
    <t>CUSTOM CRATE MANUFACTURING
CUSTOM &amp; STOCK PACKAGING</t>
  </si>
  <si>
    <t>https://www.uline.com/</t>
  </si>
  <si>
    <t>ULINE SHIPPING SUPPLY</t>
  </si>
  <si>
    <t>Supplier supplies macro camera lenses specified by the client for the device.</t>
  </si>
  <si>
    <t>https://unicorr.com/</t>
  </si>
  <si>
    <t>Unicorr Packaging Group dba Nutmeg Packaging Group</t>
  </si>
  <si>
    <t>Client of Black Caviar project. Restricted due to not manufacturer, no iso certificate.  is Approved for supply of Munsell targets for Black Caviar</t>
  </si>
  <si>
    <t>https://wholesale.purewellness.com.au/</t>
  </si>
  <si>
    <t>West's Packaging</t>
  </si>
  <si>
    <t>http://dmauto.com.au/</t>
  </si>
  <si>
    <t>D&amp;M Auto Industrial Spray Painting</t>
  </si>
  <si>
    <t>PAINTING</t>
  </si>
  <si>
    <t>10May2021: Change category from Restricted to General.
16Nov2020: ISO certificate available for Airnov France &amp; further sites (including Clariant).
16FEB2018. Distributor only. ISO certificate available for Clariant products,  Clariant certificate expires 2020</t>
  </si>
  <si>
    <t>https://www.crosslinkpaints.com/</t>
  </si>
  <si>
    <t>Crosslink Paints</t>
  </si>
  <si>
    <t>PAINTS</t>
  </si>
  <si>
    <t>https://pickwickpaper.com/</t>
  </si>
  <si>
    <t>Pickwick Paper Products</t>
  </si>
  <si>
    <t>PAPER PRODUCTS</t>
  </si>
  <si>
    <t>https://www.gentherm.com/</t>
  </si>
  <si>
    <t>Gentherm</t>
  </si>
  <si>
    <t>PATIENT TEMPERATURE MANAGEMENT</t>
  </si>
  <si>
    <t>https://photochemicalsystems.com/</t>
  </si>
  <si>
    <t>PHOTO CHEMICAL PRODUCTS CORP.</t>
  </si>
  <si>
    <t>PCB EQUIPMENT</t>
  </si>
  <si>
    <t>03 Jun 2020: New supplier requested by Lumos - PI only</t>
  </si>
  <si>
    <t>https://www.bestpcbs.com/</t>
  </si>
  <si>
    <t>Best Technology PCB (Shenzhen Danyu Electronics)</t>
  </si>
  <si>
    <t>METAL CORE PCB
SINGLE LAYER MCPCB
COB MCPCB
TWO LAYERS MCPCB
DOUBLE SIDED MCPCB
MULTI LAYERS MCPCB
SINKPAD BOARD
1L SINKPAD BOARD
2L SINKPAD BOARD
DOUBLE SIDED SINKPAD BOARD
MULTI-LAYER SINKPAD BOARD
CERAMIC PCB
THICK FILM CERAMIC PCB
THIN FILM CERAMIC PCB
DCB CERAMIC PCB
FR4 PCB  
S/S &amp; 2 LAYERS PCB
MULTI-LAYER PCB
RIGID-FLEX CIRCUITS
SPECIAL PCB</t>
  </si>
  <si>
    <t>https://www.greencircuits.com/</t>
  </si>
  <si>
    <t>Green Circuits, Inc.</t>
  </si>
  <si>
    <t>QUICK TURN PCB ASSEMBLY MANUFACTURER
COMPANY
SERVICES &amp; CAPABILITIES
PCB DESIGN &amp; ENGINEERING
PCB FABRICATION
PCB ASSEMBLY
SYSTEM/BOX BUILD
TEST &amp; BURN IN
BGA REWORK
FAILURE ANALYSIS LAB
INDUSTRIES &amp; APPLICATIONS
QUALITY SYSTEM
DISCOVER
QUICK TURN PCB
PCB FABRICATION
QUICK TURN PCB PROTOTYPE AND ASSEMBLY SERVICES
PCB ASSEMBLY
SYSTEM BOX BUILD ASSEMBLY AND INTEGRATION SERVICES
SYSTEM/BOX BUILD
ELECTRONIC PCB SUPPLY CHAIN AND LOGISTICS SERVICES
SUPPLY CHAIN &amp; LOGISTICS
TEST AND BURN-IN ELECTRONICS SERVICES
TEST &amp; BURN IN
BGA REWORK SERVICES
BGA REWORK
ELECTRONICS PCB FAILURE ANALYSIS LAB
FAILURE ANALYSIS LAB
RIGID-FLEX-ICON
FLEX AND RIGID FLEX CIRCUIT DESIGNS
RIGID BOARDS AND FLEX CIRCUITS INTEGRATED TOGETHER INTO ONE.
PCB-BOARD-ASSEMBLY
PRINTED CIRCUIT BOARD ASSEMBLY
COMPLETE IN-HOUSE ASSEMBLY AND MANUFACTURING SERVICES
ELECTRONIC-PROTOTYPES
ELECTRONIC PROTOTYPES
INITIAL BOARD LAYOUT AND DESIGN TO MEDIUM-VOLUME MANUFACTURING.
FLEX-ASSEMBLY ICON
FLEX ASSEMBLY
EXPERT, QUICK-TURN PRODUCTION, ASSEMBLED TO YOUR SPECIFICATIONS.
INDUSTRIES &amp; APPLICATIONS
GREEN CIRCUITS COUPLES INNOVATION WITH MORE THAN 30 YEARS OF INDUSTRY EXPERIENCE TO DELIVER QUICK-TURN PROTOTYPING AND MEDIUM TO HIGH-MIX VOLUME LEAD-FREE PCB ASSEMBLY AND PRODUCTION. WITH APPLICATIONS IN ENGINEERING, HEALTHCARE AND TECHNOLOGY, THERE IS NO MARGIN FOR ERROR. GC’S EXPERT PROTOTYPING, ASSEMBLY AND PRODUCTION ENSURE YOUR PRODUCTS ARE PRECISE, EVERY TIME.
INDUSTRIES
AEROSPACE AND DEFENSE
COMMUNICATIONS &amp; NETWORKING
CONSUMER ELECTRONICS
EDUCATION AND UNIVERSITIES
ENGINEERING
ENTERPRISE AND CLOUD
HEALTH TECH
IOT
RENEWABLE ENERGY
APPLICATIONS
BIONIC KNEE
DESI
GPS TRACKING SYSTEM
NATURAL GAS LEAK DETECTION SYSTEM
RADIATION THERAPY SYSTEM
SATELLITE ASSEMBLY
INDUSTRY BLOG &amp; COMPANY NEWS
GREEN CIRCUITS PROCESS ENGINEERING AT ITS BEST – STACKED CAPACITORS
HOW GREEN CIRCUITS’ FACTORY KEEPS RUNNING IN THE AGE OF CORONAVIRUS
SMT LINE OR MANUAL PCB ASSEMBLY? WHEN HAND ASSEMBLY MAKES SENSE
QUICK TURN PCB ASSEMBLY MANUFACTURER
CALL: (877) 865-9600
GREEN CIRCUITS:
1130 RINGWOOD CT.
SAN JOSE, CA 95131
COMPANY
ABOUT
INDUSTRIES
APPLICATIONS
EQUIPMENT
NDA
ONLINE RFQ
SERVICES
PCB DESIGN &amp; ENGINEERING
PCB ASSEMBLY
PCB FABRICATION
SYSTEM/BOX BUILD
TEST &amp; BURN IN
BGA REWORK
FAILURE ANALYSIS LAB</t>
  </si>
  <si>
    <t>https://www.icape-group.com/</t>
  </si>
  <si>
    <t>ICAPE group</t>
  </si>
  <si>
    <t>PCB
HDI
RIGID-FLEX
ALUMINUM
SEMI-FLEX
FLEX
BACK PANEL
HEAVY COPPER
MULTILAYER
RF / MICROWAVE
DOUBLE-SIDED
SINGLE-SIDED
IC SUBSTRATE</t>
  </si>
  <si>
    <t>https://www.royalcircuits.com/</t>
  </si>
  <si>
    <t>ROYAL CIRCUIT SOLUTIONS</t>
  </si>
  <si>
    <t>RIGID PCB
FLEX / RIGID-FLEX PCB
ATE BOARDS</t>
  </si>
  <si>
    <t>https://www.welco.net/</t>
  </si>
  <si>
    <t>Welco</t>
  </si>
  <si>
    <t>PERISTALTIC PUMPS</t>
  </si>
  <si>
    <t>https://www.westernexterminator.com/</t>
  </si>
  <si>
    <t>Western Exterminator Company</t>
  </si>
  <si>
    <t>PEST CONTROL</t>
  </si>
  <si>
    <t>06May2021: Emailed SE form.
06Mar2018 Restricted because distributor only. Approved for Monocle (Black Caviar) envelopes. All other products considered General.</t>
  </si>
  <si>
    <t>https://www.teds.com.au/</t>
  </si>
  <si>
    <t>Ted's Camera Stores (Vic) Pty Ltd</t>
  </si>
  <si>
    <t>PHOTOGRAPHY</t>
  </si>
  <si>
    <t>https://www.stouffer.net/</t>
  </si>
  <si>
    <t>Stouffer Industries, Inc.</t>
  </si>
  <si>
    <t>https://prorui.en.alibaba.com/</t>
  </si>
  <si>
    <t>Zhongshan Prorui Photographic Equipmnet (Bexin)</t>
  </si>
  <si>
    <t>https://www.americanpiezo.com/</t>
  </si>
  <si>
    <t>APC International (American Piezo)</t>
  </si>
  <si>
    <t>PIEZOELECTRIC PRODUCTS</t>
  </si>
  <si>
    <t>PIEZOELECTRIC PRODUCTS,LEAD FREE SOLDER , CUSTOM PIEZOELECTRIC ELEMENTS, IN-HOUSE ASSEMBLY &amp; CONTRACT MANUFACTURING, BUZZERS, COMPOSITE MATERIALS, AIR TRANSDUCERS, STACK ACTUATORS, STRIPE ACTUATORS, ULTRASONIC POWER TRANSDUCERS, CYLINDERS, AMPLIFIERS, WIDE-RANGE D33 METER</t>
  </si>
  <si>
    <t>Plasma Technology Systems</t>
  </si>
  <si>
    <t>PLASMA TREATMENT</t>
  </si>
  <si>
    <t>Supplier of clean roon supplies.
Note: not direct supplier to PI for Geri/Gavi products, managed by Romar.</t>
  </si>
  <si>
    <t>https://www.kelsealrubber.com.au/</t>
  </si>
  <si>
    <t>Kelseal Rubber Mouldings</t>
  </si>
  <si>
    <t>PLASTIC COMPRESSION MOULDING</t>
  </si>
  <si>
    <t xml:space="preserve">RUBBERS, BONDING RUBBER TO METAL_x000D_
O-RINGS_x000D_
RUBBER EXTRUSIONS_x000D_
SEALS_x000D_
SLITTING_x000D_
SPECIALTY TAPES, RUBBER MOULDING, _x000D_
</t>
  </si>
  <si>
    <t>https://www.fieldrubber.co.nz/</t>
  </si>
  <si>
    <t>Kelseal Rubber Mouldings Group Pty Ltd</t>
  </si>
  <si>
    <t>RUBBERS</t>
  </si>
  <si>
    <t>28-Jul-2022: Products that PI is purchasing don't require ISO13485 (previously required for LCR Hallcrest)
shipping, handling, cold chain monitoring products</t>
  </si>
  <si>
    <t>http://www.paradejasa.com/</t>
  </si>
  <si>
    <t>Parade Jasa Sdn Bhd</t>
  </si>
  <si>
    <t>PLASTIC FORMING</t>
  </si>
  <si>
    <t>THERMOFORMING</t>
  </si>
  <si>
    <t>https://www.gibraltarplastic.com/</t>
  </si>
  <si>
    <t>GIBRALTAR PLASTIC PROD. CORP.</t>
  </si>
  <si>
    <t>MEMORABILIA DISPLAY CASE; CLEAR &amp; BLACK ACRYLIC; HEAT BENT; FLAME POLISHED; SOLVENT BONDED; GOLD RISERS; BLACK ACRYLIC BASE
ACRYLIC FABRICATION
IN-HOUSE TOOLING
CNC ROUTING &amp; TRIMMING
DIGITAL PRINTING; OCE ARIZONA LARGE FORMAT FLATBED PRINTERS; 4-COLOR UV CURABLE INKS; NEAR PHOTOGRAPHIC RESOLUTION; RIGID MEDIA UP TO 98" WIDE X 49" LONG X 1.89" THICK
SCREEN/DIGITAL PRINTING
ACRYLIC FAB/ASSY FABRICATION, HEAT BENDING, POLISHING
ASSEMBLY &amp; PACK-OUT
VACUUM FORMING, 4-UP, SINGLE STAGE; COLOR MATCHED HIGH GLOSS STRYENE
THERMOFORMING</t>
  </si>
  <si>
    <t>Disributor of packaging and  items.</t>
  </si>
  <si>
    <t>https://grandcanyonplastics.com/</t>
  </si>
  <si>
    <t>Grand Canyon Plastics</t>
  </si>
  <si>
    <t>VACUUM AND PRESSURE FORMING_x000D_
PAINTING/EMI RFI SHIELDING, FINISHING_x000D_
SILK SCREENING, PAD PRINTING, DECORATIVE PLASTICS</t>
  </si>
  <si>
    <t>https://providienmedical.com/</t>
  </si>
  <si>
    <t>Providien Thermoforming (Specialty Manufacturing)</t>
  </si>
  <si>
    <t>http://warringah-plastics.com.au/</t>
  </si>
  <si>
    <t>Warringah Plastics Pty Ltd</t>
  </si>
  <si>
    <t>http://acetooling.net.au/</t>
  </si>
  <si>
    <t>Ace Tooling Pty Ltd</t>
  </si>
  <si>
    <t>PLASTIC INJECTION MOULDING</t>
  </si>
  <si>
    <t>INJECTION MOULDING,TOOLINGS, JIGS &amp; FIXTURES</t>
  </si>
  <si>
    <t>https://www.acronplastics.com.au/</t>
  </si>
  <si>
    <t>Acron Plastics Pty Ltd</t>
  </si>
  <si>
    <t>INJECTION MOULDING</t>
  </si>
  <si>
    <t>https://baronrubber.com.au/</t>
  </si>
  <si>
    <t>Baron Rubber</t>
  </si>
  <si>
    <t>SILICONE MOULDING, INJECTION MOULDING, CLEAN ROOM MOULDING, SILICONE MOULDING, LSR, COMPRESION MOULDING</t>
  </si>
  <si>
    <t>https://www.cpi.com.my/</t>
  </si>
  <si>
    <t>CPI Penang</t>
  </si>
  <si>
    <t xml:space="preserve">INJECTION MOULDING, TURNKEY SOLUTIONS, CONTRACT MANUFACTURING, ELECTRONICS, PCBA, POST-PROCESSING, EMS_x000D_
</t>
  </si>
  <si>
    <t>http://www.fit-mould.com/</t>
  </si>
  <si>
    <t>Fit Mould Co</t>
  </si>
  <si>
    <t>http://www.ada-mould.com/</t>
  </si>
  <si>
    <t>Ada Mould Technology Limited</t>
  </si>
  <si>
    <t>INJECTION MOULDING
AUTOMOTIVE TOOLING</t>
  </si>
  <si>
    <t>https://www.fried.de/</t>
  </si>
  <si>
    <t>FRIED KUNSTSTOFFTECHNIK GMBH</t>
  </si>
  <si>
    <t>PLASTICS ENGINEERING
ADVANTAGES OF FRIED
MANUFACTURING PROTOTYPES
MOULD MANUFACTURING
INJECTION MOULDING
STRUCTURAL FOAM INJECTION MOULDING
INJECTION COMPRESSION MOULDING
MACHINING
SURFACE ENGINEERING
ADVANTAGES OF FRIED
MANUAL PAINTING
ROBOTIC PAINTING
SURFACE PRE-TREATMENT
SURFACE FINISHING
ASSEMBLY</t>
  </si>
  <si>
    <t>https://www.applerubber.com/</t>
  </si>
  <si>
    <t>APPLE RUBBER PRODUCTS</t>
  </si>
  <si>
    <t>LASER MARKING
MANUFACTURING CAPABILITIES
MEDICAL
MOLD MAKING
PROTOTYPING
RUBBER INJECTION MOLDING
THERMOBONDING
O-RINGS
MEDICAL SEALS
MICRORINGS
MACRORINGS
CUSTOM MOLDED SHAPES
COMPOSITE SEALS
EMI-SHIELDED O-RINGS AND SEALS
FILTER SEALS
HOUSING SEALS
SILICONE PARTS AND SEALS
LASER MARKING</t>
  </si>
  <si>
    <t>https://www.dotmar.com.au/</t>
  </si>
  <si>
    <t>Dotmar Engineering Plastic Products</t>
  </si>
  <si>
    <t>INJECTION MOULDING,MACHINING</t>
  </si>
  <si>
    <t>https://www.kingtech-mould.com/</t>
  </si>
  <si>
    <t>King Tech Mould Co Ltd</t>
  </si>
  <si>
    <t>INJECTION MOULDING,TOOLING</t>
  </si>
  <si>
    <t>http://www.everred-rim.com/</t>
  </si>
  <si>
    <t>EVERRED (HONG KONG) Ltd</t>
  </si>
  <si>
    <t>INJECTION MOULDING, RIM, TOOLING, PAINTING</t>
  </si>
  <si>
    <t>https://formetechnologies.com.au/</t>
  </si>
  <si>
    <t>Forme Technologies</t>
  </si>
  <si>
    <t>https://www.hochuen-med.com/</t>
  </si>
  <si>
    <t>Hochuen Medical Technology Co Ltd</t>
  </si>
  <si>
    <t>INJECTION MOLDING
CARTRIDGE PRODUCTION
MICROFLUIDICS
DIE CUTTING
ROTARY DIE CUTTING
LASER CUTTING
BONDING (HEAT STAKING)
BONDING (LASER WELDING)
BONDING (CLEAR PLASTIC LASER WELDING）
BONDING (ADHESIVE)
BONDING (THERMAL COMPRESSION)
BONDING (ULTRASONIC WELDING)
REAGENT FORMULATION
BLISTER PACK
BUFFER CUP
DRY REAGENT HANDLING
LSR
OVERMOLDING
PDMS MICROFABRICATION
LAMINATION
PLASMA SURFACE TREATMENT
SCREEN PRINTING
PCR TEST
FLUORESCENCE IMAGING
REAGENT BOTTLES
LOW VOLUME VIALS
TRANSFER PIPETTES
LABEL PRINTING
PAD PRINTING
SURFACE HYDROPHOBICITY TREATMENT
GLASS CHIP FABRICATION
MICROTITER PLATES</t>
  </si>
  <si>
    <t>https://medbiollc.com/</t>
  </si>
  <si>
    <t>Medbio Holding LLC</t>
  </si>
  <si>
    <t>INJECTION MOULDING, TOOLING, AUTOMOTIVE TOOLING, CLEAN ROOM MOULDING, STERILIZATION, POST-PROCESSING, ASSEMBLY, CONTRACT MANUFACTURING
LSR, 2K MOULDING, AUTOMATIC PRODUCTION CELLS</t>
  </si>
  <si>
    <t>https://www.hosico.com.au/</t>
  </si>
  <si>
    <t>Hosico Engineering Group Pty Ltd (Hosico Eng)</t>
  </si>
  <si>
    <t>INJECTION MOULDING,MACHINING, CASTING</t>
  </si>
  <si>
    <t>https://www.kkmoldandmachining.com/</t>
  </si>
  <si>
    <t>KK Mold (Shenzhen) Co Ltd</t>
  </si>
  <si>
    <t>http://www.matchlessplastics.com/</t>
  </si>
  <si>
    <t>Matchless Plastics, Inc.</t>
  </si>
  <si>
    <t>TOOLING, INJECTION MOULDING</t>
  </si>
  <si>
    <t>20Nov2012: Supplier restricted to providing plasma treatment for Mawson consumable pods only. Supplier to include COC for each batch treated. PI to ensure specification for plasma treatment is referenced on the PO_x000D_
_x000D_Update 5/2/2014: Supplier has been used in the verification process, and outputs have been satisfactory. Approved for supply to production. COC still required for each bath.
30Jul2020: Deactivate - remove from register, cbc</t>
  </si>
  <si>
    <t>https://www.meiban.com/</t>
  </si>
  <si>
    <t>Meiban Micro Pte Ltd</t>
  </si>
  <si>
    <t>INJECTION MOULDING,
CONTRACT MANUFACTURING
ELECTRONICS
EMS
POST-PROCESSING
FINISHING
TOOLING</t>
  </si>
  <si>
    <t>Meiban Mold Manufacture Pte Ltd</t>
  </si>
  <si>
    <t>https://www.pmtaustralia.com.au/</t>
  </si>
  <si>
    <t>Plastics Moulding and Tooling</t>
  </si>
  <si>
    <t>INJECTION MOULDING, RTOOLING</t>
  </si>
  <si>
    <t>https://www.plastopialtd.com/</t>
  </si>
  <si>
    <t>Plastopia Molding Limited</t>
  </si>
  <si>
    <t>https://www.romareng.com.au/</t>
  </si>
  <si>
    <t>Romar Engineering Pty Ltd</t>
  </si>
  <si>
    <t xml:space="preserve">INJECTION MOULDING, MEDICAL INJECTION MOULDING, CLEAN ROOM MOULDING, TOOLING, </t>
  </si>
  <si>
    <t>http://cemold.com/</t>
  </si>
  <si>
    <t>Shenzhen CE Mold Co Ltd</t>
  </si>
  <si>
    <t>http://www.cs-mold.com/</t>
  </si>
  <si>
    <t>Shenzhen Chanson Precision Mold Co Ltd</t>
  </si>
  <si>
    <t>INJECTION MOULDING
SINESS SCOPE
PRECISION COMPONENTS
LSR AND 2K MOLD
AUTOMOTIVE AND ELECTRONIC MOLD
THIN-WALL PACKAGING MOLD
MEDICAL MOLD</t>
  </si>
  <si>
    <t>http://www.hochuen-tech.com/</t>
  </si>
  <si>
    <t>Shenzhen Hochuen Technologies Co.</t>
  </si>
  <si>
    <t>INJECTION MOULDING,
CLEAN ROOM MOULDING
CLEAN ROOM ASSEMBLY
FLAT SCREEN PRINTING
LAMINATION
CNC
ROTARY CUTTING
LASER CUTTING
DIE CUTTING
INJECTION MOLDING
BONDING
DIE CUTTING
LASER CUTTING
IVD &amp; POCT DEVELOPMENT</t>
  </si>
  <si>
    <t>http://www.jhmolding.com/</t>
  </si>
  <si>
    <t>Shenzhen Johnhalm PDTec.,Ltd</t>
  </si>
  <si>
    <t>TOOLING, INJECTION MOULDING, POST-PROCESSING</t>
  </si>
  <si>
    <t>https://tessy.com/</t>
  </si>
  <si>
    <t>Tessy Plastics Shanghai Co Ltd</t>
  </si>
  <si>
    <t>INJECTION MOULDING, 
TOOLING
CNC MACHINING/DRILLING
METAL STAMPING
ELECTRICAL CONTACT INSERTION
LASER ENGRAVING
ULTRASONIC WELDING
VIBRATION WELDING
LASER WELDING
PRECISION GLUING/BONDING
RESISTANCE WELDING
FOUNTAIN SOLDERING
HEAT STAKING
SEMI-AUTOMATIC ASSEMBLY
AUTOMATED ASSEMBLY
CLEANROOM ASSEMBLY
LEAK TESTING
BURST TESTING
DIELECTRIC TESTING
ELECTRICAL TESTING
FLOW TESTING DOWN TO .5ΜL
BLISTER PACKAGING
ULTRASONIC FLUID DISPENSING
REAGENT GEL DISPENSING
HOT STAMP/HOT DECAL
PAD PRINTING
FINAL PRODUCT PACKAGING</t>
  </si>
  <si>
    <t>Manufacturer of custom plastic products.  Manufacture and install of all types of signage.</t>
  </si>
  <si>
    <t>https://www.threegon.com/</t>
  </si>
  <si>
    <t>Threegon Electro-Mechanical OEM Products</t>
  </si>
  <si>
    <t>CONTRACT MANUFACTURING
INJECTION MOULDING
ASSEMBLY
TURN-KEY SOLUTIONS</t>
  </si>
  <si>
    <t>Supplier for plastic storage</t>
  </si>
  <si>
    <t>https://www.topwellspring.com/</t>
  </si>
  <si>
    <t>Topwell Spring Development Ltd</t>
  </si>
  <si>
    <t>INJECTION MOULDING, TOOLING, TURNKEY ASSEMBLY, CONTRACT MANUFACTURING, 2K,</t>
  </si>
  <si>
    <t>Distributor only. ISO certificate is for Flambeau manufactured parts only. Distributor needs US Plastic part number (10028) to issue certificate.</t>
  </si>
  <si>
    <t>https://www.vem-tooling.com/</t>
  </si>
  <si>
    <t>VEM (Thailand) Co.,Ltd.</t>
  </si>
  <si>
    <t>https://sdaletech.com/</t>
  </si>
  <si>
    <t>Sunningdale Tech</t>
  </si>
  <si>
    <t>INJECTION MOULDING
TOOLING
PRODUCT DESIGN CAPABILITIES
DESIGN FOR MANUFACTURING CONSULTANCY
PRECISION THERMOPLASTICS MOLD MANUFACTURING (10TON TO 1800TON)
LIQUID SILICONE MOULD (FLASHLESS MOULDING)
MOULD FOR MICRO MOULDING
MEDICAL DEVICE TOOLING WITH FULL VALIDATION
HIGH CAVITATION, FULLY INTERCHANGEABLE MOULD
MULTI SHOTS/COMPONENTS MOULD
- ROTARY PLATEN
- AUTOMATED PARTS TRANSFER
- ROTATING STACK-90 DEGREE OR 180 DEGREE
- INDEXING
- 2K LSR; LSR + LSR, THERMOPLASTIC + LSR
MULTI LAYERED STACK MOULD
COMPLEX TECHNICAL COMPONENT MOULD (ULTRA-PERFORMANCE ENGINEERING THERMOPLASTICS)
HIGH SPEED THIN WALL MOULDS
GAS ASSISTED MOULDS
IN-MOULD INSERT MOULDS
- WITH 3K MOULDING
REEL TO REEL MOULDS
MOULDING
HIGH CAVITATION, ULTRA PRECISION INJECTION MOULDING
THIN WALL HIGH SPEED MOULDING
AUTO INSERT MOULDING
MULTI-SHOT MOULDING
- INCORPORATING DIFFERENT MATERIALS AND COLORS INTO A PART
DECORATIVE FILM INSERT MOULDING
- INK TRANSFER OR FORMED HARD FILMS
INJECTION STRETCH BLOW MOULDING
MICRO MOULDING
GAS-ASSISTED MOULDING
RAPID HEAT COOL MOULDING
LIQUID SILICONE RUBBER (LSR)
CLEANROOM MOULDING ENVIRONMENT
EXTRUSION BLOW MOULDING
AUTOMATED SPRAY PAINTING
HIGH PRECISION LASER ETCHING MACHINERY
ADVANCED SILKSCREEN AND TAMPO PRINTING MACHINERY
HOT STAMPING
ULTRASONIC AND LASER WELDING
CLEANROOM ENVIRONMENT (100K AND 10K)
FULLY AUTOMATED HIGH PRECISION ASSEMBLY
DEVELOPMENT OF ROBOTIC ASSEMBLY PROCESSES</t>
  </si>
  <si>
    <t>https://westfalltechnik.com/</t>
  </si>
  <si>
    <t>Westfall Technik Inc.</t>
  </si>
  <si>
    <t>PROTOTYPING
TOOLING
AUTOMATION
MOLDING
PRECISION MOLDING
MICRO MOLDING</t>
  </si>
  <si>
    <t>Distributor only. ISO certificate is for Acro brand items.</t>
  </si>
  <si>
    <t>https://www.plastic-mart.com/</t>
  </si>
  <si>
    <t>PLASTIC-MART.COM</t>
  </si>
  <si>
    <t>PLASTIC PRODUCTS</t>
  </si>
  <si>
    <t>CONE BOTTOM TANKS
CAGED IBC TOTES
STEEL WATER TANKS
BLADDER TANKS
PRESSURE WASHER DETAIL TANKS
FORKLIFTABLE WATER TANKS
BRINE STORAGE TANKS
RAIN HARVESTING BUNDLES
PLASTIC WATER STORAGE TANKS
HORIZONTAL HAULING TANKS
PORTABLE WATER TANKS
EMERGENCY WATER TANKS
SECONDARY CONTAINMENT
FUEL TANKS
ELLIPTICAL CRADLE TANKS
PLASTIC TANK HEAT BLANKETS
EMERGENCY PREPARATION
STORAGE TANKS
RECTANGULAR PLASTIC TANKS
FIBERGLASS TANKS
OPEN TOP TANKS
DOORWAY WATER TANKS
STACKABLE WATER TANKS
TRUCK WATER TANKS
PLASTIC TANK ACCESSORIES
RAIN HARVESTING SUPPLIES
RAINWATER COLLECTION
SEPTIC TANKS
PLASTIC SEPTIC TANKS
DOUBLE WALL TANKS
LOW PROFILE HAULING TANKS
PCO LIQUID TRANSPORT TANKS
OIL TOTES
WASTE OIL TANKS
PUMPS
UNDERGROUND WATER TANKS
RV WATER &amp; WASTE HOLDING TANKS
RV FRESH WATER TANKS
RV HOLDING TANKS
MARINE WATER &amp; WASTE HOLDING TANKS FOR BOATS
MARINE WATER STORAGE TANKS FOR BOATS
MARINE HOLDING TANKS
MARINE FUEL TANKS
WATER &amp; LIQUID STORAGE TANKS
NEWRAINHARVEST BUNDLES
EMERGENCY PREPARATION
PLASTIC WATER TANKS
PLASTIC STORAGE TANKS
CONE BOTTOM TANKS
HORIZONTAL HAULING &amp; STORAGE TANKS
LOW PROFILE HAULING &amp; STORAGE TANKS
FLAT BOTTOM PORTABLE WATER TANKS
TRUCK BED WATER TANKS SPECIALS
RECTANGULAR WATER &amp; WASTE TANKS
DOUBLE WALL TANKS
PLASTIC STOCK TANKS - WATER TROUGHS
ELLIPTICAL CRADLE TANKS
AUTO DETAILING TANKS
DOORWAY WATER TANKS (29")
PCO LIQUID TRANSPORT TANKS
STACKABLE WATER TANKS
BRINE STORAGE TANKS
FORKLIFTABLE WATER TANKS
STACKABLE OIL STORAGE TOTES
FUEL TANKS</t>
  </si>
  <si>
    <t>Function fittings and valves</t>
  </si>
  <si>
    <t>https://rogancorp.com/</t>
  </si>
  <si>
    <t>ROGAN CORPORATION</t>
  </si>
  <si>
    <t>CLAMPING KNOBS, CONTORL KNOBS, PULL HANDLES, CLAMPING LEVERS</t>
  </si>
  <si>
    <t>https://www.professionalplastics.com/</t>
  </si>
  <si>
    <t>PROFESSIONAL PLASTICS</t>
  </si>
  <si>
    <t xml:space="preserve">SHEETS
PLASTIC RODS
PLASTIC RODS
PLASTIC PLASTIC TUBING
PLASTIC TUBING
PLASTIC FILMS
PLASTIC PROFILES
PLASTIC PARTS
</t>
  </si>
  <si>
    <t>https://www.saint-gobain-northamerica.com/</t>
  </si>
  <si>
    <t>SAINT-GOBAIN PERFORMANCE PLAST</t>
  </si>
  <si>
    <t>ABRASIVES
BUILDING MATERIALS
CERAMIC MATERIALS
FLAT GLASS
PERFORMANCE PLASTICS
TECHNICAL TEXTILES</t>
  </si>
  <si>
    <t>https://www.usplastic.com/</t>
  </si>
  <si>
    <t>US PLASTIC</t>
  </si>
  <si>
    <t>PLASTIC BOTTLES, PLASTIC JARS, PLASTIC CAPS, PLASTIC TUBS, PLASTIC DRUMS, PLASTIC CONTAINERS</t>
  </si>
  <si>
    <t>Service provider for Lateral Flow Assay development for project Kinder.</t>
  </si>
  <si>
    <t>https://www.melro.com.au/</t>
  </si>
  <si>
    <t>Melbourne Rotomould Pty Ltd (Melro)</t>
  </si>
  <si>
    <t>PLASTIC ROTOMOULDING</t>
  </si>
  <si>
    <t>ROTOMOULDING</t>
  </si>
  <si>
    <t>Thermoplastic Polyurethane (TPU)</t>
  </si>
  <si>
    <t>https://www.previewindustries.com.au/</t>
  </si>
  <si>
    <t>Preview Industries Australia (Preview Plastics)</t>
  </si>
  <si>
    <t>PLASTIC SHEETS</t>
  </si>
  <si>
    <t>541- Huron Prototyping self adhesive vent membrane</t>
  </si>
  <si>
    <t>https://www.plasticsforindustry.com.au/</t>
  </si>
  <si>
    <t>Plastics for Industry Pty Ltd</t>
  </si>
  <si>
    <t>SHEET PLASTICS</t>
  </si>
  <si>
    <t>power supplies including converters</t>
  </si>
  <si>
    <t>https://www.theplasticman.com.au/</t>
  </si>
  <si>
    <t>The Plastic Man (Bell Investment Co)</t>
  </si>
  <si>
    <t>PLASTIC STORAGE</t>
  </si>
  <si>
    <t>United States Plastic Corporation</t>
  </si>
  <si>
    <t>PLASTIC SUPPLIES</t>
  </si>
  <si>
    <t>https://rooterhero.com/</t>
  </si>
  <si>
    <t>ROOTER HERO PLUMBING</t>
  </si>
  <si>
    <t>PLUMBER</t>
  </si>
  <si>
    <t>https://www.ocpneumatics.com/</t>
  </si>
  <si>
    <t>Orange Coast Pneumatics</t>
  </si>
  <si>
    <t>PNEUMATICS</t>
  </si>
  <si>
    <t>WELCH VACUUM
MEDICAL WHITE
MW FITTINGS
THOMAS PUMPS
PART BUILDER
PROCESS GAS EQUIPMENT
DOT COMPLIANT FITTINGS
F.R.L'S
CHECK VALVES
AIR FITTINGS
FLOW CONTROLS
AIR FILTERS
AIR TANKS/RESERVOIRS
ELECTRO-PNEUMATIC REGULATORS
ORIFICE RESTRICTORS
PNEUMATIC TUBING
PRESSURE SWITCHES
AIR REGULATORS
PLASTIC TANKS/RESERVOIRS
AIR MUFFLERS/SILENCERS
STAINLESS CYLINDERS
HIGH VACUUM
VALVES
VACUUM REGULATORS
AIRTROL PRODUCTS
IONIZERS
SMC FIELDBUS I/O CATALOG</t>
  </si>
  <si>
    <t>02 Jul 2020: remove from register</t>
  </si>
  <si>
    <t>https://pneumaticsolutions.com.au/</t>
  </si>
  <si>
    <t>Pneumatic Solutions Australia</t>
  </si>
  <si>
    <t>https://pneutech.com.au/</t>
  </si>
  <si>
    <t>Pneutech Pty Ltd</t>
  </si>
  <si>
    <t>PNEUMATICS,PNEUMATIC</t>
  </si>
  <si>
    <t xml:space="preserve">Print/ Graphic Design Services - SE form completed on 02 Dec 2019, but recently approved. </t>
  </si>
  <si>
    <t>https://www.smcworld.com/</t>
  </si>
  <si>
    <t>SMC Corporation (Australia) Pty Ltd</t>
  </si>
  <si>
    <t>09Aug2021: Emailed SE form.
Restricted due to not having ISO certificate.</t>
  </si>
  <si>
    <t>https://www.suspa.com/us/</t>
  </si>
  <si>
    <t>SUSPA-NORTH AMERICA</t>
  </si>
  <si>
    <t>GAS SPRINGS</t>
  </si>
  <si>
    <t>https://anz.swagelok.com/</t>
  </si>
  <si>
    <t>Swagelok Eastern Australia</t>
  </si>
  <si>
    <t>Faceplates, label, decals, graphics, doming, variable data, membrane switches.</t>
  </si>
  <si>
    <t>https://www.townsendchem.com.au/</t>
  </si>
  <si>
    <t>Townsend Chemicals</t>
  </si>
  <si>
    <t>POLYMERS</t>
  </si>
  <si>
    <t>Signs, labels, tags, asset tags, plates</t>
  </si>
  <si>
    <t>https://www.oxyphen.com/</t>
  </si>
  <si>
    <t>Oxyphen GmbH</t>
  </si>
  <si>
    <t>POROUS MEMBRANES</t>
  </si>
  <si>
    <t>POROUS MEMBRANES,HYDROPHOBIC MEMBRANES, HYDROPHILLIC MEMBRANES</t>
  </si>
  <si>
    <t>https://www.pduke.com/</t>
  </si>
  <si>
    <t>P-Duke Technology, Inc.</t>
  </si>
  <si>
    <t>POWER SUPPLIES</t>
  </si>
  <si>
    <t>https://www.omniprintinc.com/</t>
  </si>
  <si>
    <t>OMNIPRINT, INC.</t>
  </si>
  <si>
    <t>PRINTERS AND LABELS</t>
  </si>
  <si>
    <t>https://stimare.net/</t>
  </si>
  <si>
    <t>Stimare UK</t>
  </si>
  <si>
    <t>https://handelprinting.wixsite.com/</t>
  </si>
  <si>
    <t>Handel Specialty Printing</t>
  </si>
  <si>
    <t>PRINTING</t>
  </si>
  <si>
    <t>https://www.kwikkopy.com.au/</t>
  </si>
  <si>
    <t>Kwik Kopy Box Hill</t>
  </si>
  <si>
    <t>https://www.baytechlabel.com/</t>
  </si>
  <si>
    <t>Bay Tech Label</t>
  </si>
  <si>
    <t>PRINTING,CUSTOM LABELS</t>
  </si>
  <si>
    <t>https://jsmccarthy.com/</t>
  </si>
  <si>
    <t>J.S. MC CARTHY PRINTERS</t>
  </si>
  <si>
    <t>ECO-FRIENDLY PRINTING PRACTICES_x000D_
PRE-PRESS_x000D_
DIGITAL PRINTING_x000D_
OFFSET PRINTING_x000D_
BINDERY_x000D_
FINISHING_x000D_
FOLDING CARTON PACKAGING</t>
  </si>
  <si>
    <t>https://www.labelpower.com.au/</t>
  </si>
  <si>
    <t>Label Power Pty Ltd</t>
  </si>
  <si>
    <t>PRINTING,LABELS, THERMAL LABELS, DYMO LABELS, PRINTERS, THERMAL PRINTERS, TSC PRINTERS</t>
  </si>
  <si>
    <t>https://label.co.uk/</t>
  </si>
  <si>
    <t>Labels.online.co.uk</t>
  </si>
  <si>
    <t>PRINTING,LABELS</t>
  </si>
  <si>
    <t>https://nameplatesforindustry.com/</t>
  </si>
  <si>
    <t>Nameplates for Industry Inc (NFI Corp)</t>
  </si>
  <si>
    <t xml:space="preserve">PRINTING,PRINTED GRAPHIC SOLUTIONS, NAMEPLATES, </t>
  </si>
  <si>
    <t>https://www.streeterprinting.com/</t>
  </si>
  <si>
    <t>STREETER PRINTING</t>
  </si>
  <si>
    <t xml:space="preserve">PRODUCTS  DISPOSABLE MENUS_x000D_
BROCHURES_x000D_
MAGAZINES_x000D_
PACKAGE PRINTING_x000D_
DIRECT MAIL_x000D_
PRESENTATION FOLDERS_x000D_
FLYERS &amp; INSERTS_x000D_
BOOKLETS &amp; MANUALS_x000D_
STATIONERY &amp; BUS CARDS_x000D_
CONVENTION &amp; TRADE SHOWS_x000D_
POST CARDS_x000D_
INVITATIONS_x000D_
MEDICAL PRINTING_x000D_
BUSINESS FORMS_x000D_
</t>
  </si>
  <si>
    <t>https://www.xpressmyself.com/</t>
  </si>
  <si>
    <t>XpressMyself - Smartsign (My Safety Labels)</t>
  </si>
  <si>
    <t>https://www.jadaktech.com/</t>
  </si>
  <si>
    <t>Jadak LLC.  Novanta</t>
  </si>
  <si>
    <t>PRODUCTION AUTOMATION</t>
  </si>
  <si>
    <t xml:space="preserve">
ADVANCED INDUSTRIAL ENGINEERING
HEALTHCARE ENGINEERING
MORE INDUSTRIES
PRODUCTS
BARCODE SCANNERS
MACHINE VISION
THINGMAGIC RFID
PHOTO RESEARCH
PRINTERS &amp; CHART RECORDERS</t>
  </si>
  <si>
    <t>01May2019: Distributor of Zebra products, ISO certificate is for Zebra.
(Link for certificate: https://www.zebra.com/ap/en/about-zebra/company-information/quality.html)</t>
  </si>
  <si>
    <t>Tecnoideal</t>
  </si>
  <si>
    <t>https://www.creativesafetysupply.com/</t>
  </si>
  <si>
    <t>Creative Safety Supply</t>
  </si>
  <si>
    <t>PRODUCTION EQUIPMENT</t>
  </si>
  <si>
    <t>FLOOR MARKING, LABEL PRINTERS, LABELS, SIGNS, TOOLS, SAFETY PRODUCTS</t>
  </si>
  <si>
    <t>https://www.safetylabelsolutions.com/</t>
  </si>
  <si>
    <t>SAFETY LABEL SOLUTIONS</t>
  </si>
  <si>
    <t>SAFETY LABELS, SAFETY SIGNS</t>
  </si>
  <si>
    <t>https://www.safetysign.com/</t>
  </si>
  <si>
    <t>SAFETYSIGN.COM / BRIMAR INDUST</t>
  </si>
  <si>
    <t>https://www.signspecialists.com/</t>
  </si>
  <si>
    <t>Sign Specialists Corporation</t>
  </si>
  <si>
    <t>SIGNS</t>
  </si>
  <si>
    <t>Ultrasonic cleaner - Elma Tech Clean A4</t>
  </si>
  <si>
    <t>https://benchdepot.com/</t>
  </si>
  <si>
    <t>Bench Depot</t>
  </si>
  <si>
    <t>13Aug2021: Emailed SE form.
25JUN2018 rated restricted due to being distributor only.</t>
  </si>
  <si>
    <t>https://www.cintas.com/</t>
  </si>
  <si>
    <t>CINTAS CORPORATION</t>
  </si>
  <si>
    <t>https://creform.com/</t>
  </si>
  <si>
    <t>CREFORM  Corporation</t>
  </si>
  <si>
    <t>BENCHES, ASSEMBLY BENCHES, MODULAR BENCHES, PRODUCTION LINES</t>
  </si>
  <si>
    <t>https://naumannhobbs.com/</t>
  </si>
  <si>
    <t>NAUMANN HOBBS</t>
  </si>
  <si>
    <t>WAREHOUSE SOLUTIONS</t>
  </si>
  <si>
    <t>https://onboardsolutions.com.au/</t>
  </si>
  <si>
    <t>ONBoard Solutions Pty Ltd</t>
  </si>
  <si>
    <t>https://opticon.com/</t>
  </si>
  <si>
    <t>Opticon Sensors Europe BV</t>
  </si>
  <si>
    <t>PRODUCTION EQUIPMENT,SCANNING SOLUTIONS</t>
  </si>
  <si>
    <t>https://www.patlite.com/</t>
  </si>
  <si>
    <t>Patlite (U.S.A.) Corp</t>
  </si>
  <si>
    <t>SIGNAL TOWER
SIGNAL TOWER
SIGNAL BEACON
SIGNAL BEACON
AUDIBLE ALARM/&lt;BR&gt;VOICE SYNTHESIZER
AUDIBLE ALARM/
VOICE SYNTHESIZER
LED LIGHTING
LED LIGHTING</t>
  </si>
  <si>
    <t>https://prosafedirect.com/</t>
  </si>
  <si>
    <t>Prosafe</t>
  </si>
  <si>
    <t>SAFETY EQUIPMENT, PPE</t>
  </si>
  <si>
    <t>https://www.sektor.com.au/</t>
  </si>
  <si>
    <t>Sektor Distributors Pty Ltd</t>
  </si>
  <si>
    <t>22 Mar 2021: 3D Systems is now GoProto ANZ. Remove from register.</t>
  </si>
  <si>
    <t>https://signarama.com/</t>
  </si>
  <si>
    <t>Signarama</t>
  </si>
  <si>
    <t>https://www.signet.net.au/</t>
  </si>
  <si>
    <t>Signet Pty Ltd</t>
  </si>
  <si>
    <t>FASTENAL</t>
  </si>
  <si>
    <t>https://www.warburtons.com.au/</t>
  </si>
  <si>
    <t>Thomas Warburton</t>
  </si>
  <si>
    <t>https://www.techspan.com.au/</t>
  </si>
  <si>
    <t>Techspan Australia Pty Ltd</t>
  </si>
  <si>
    <t>https://www.totaltools.com.au/</t>
  </si>
  <si>
    <t>Total Tools</t>
  </si>
  <si>
    <t>https://www.techni-tool.com/</t>
  </si>
  <si>
    <t>TECHNI-TOOL</t>
  </si>
  <si>
    <t>https://westpakusa.com/</t>
  </si>
  <si>
    <t>Westpak</t>
  </si>
  <si>
    <t xml:space="preserve"> TITANIUM WANDS
 WANDS PORTABLE
 WANDS TRUCKMOUNT
 DETAIL TOOLS
 STAIR TOOLS
 HARD SURFACE TOOLS
 SPRAYERS
 TOOL COMPONENTS
 MOTORS
 HARD SURFACE PARTS
 HOSE ACCESSORIES
 VACUUM/SOLUTION HOSES
 QUICK DISCONNECTS
 NOZZLES, FILTERS, CHECK VALVES
 BALL VALVES
 BRASS FITTINGS &amp; COMPONENTS
 PORTABLE COMPONENTS</t>
  </si>
  <si>
    <t>manufacture vacuum cast panels for Opus intrument</t>
  </si>
  <si>
    <t>https://www.excelta.com/</t>
  </si>
  <si>
    <t>EXCELTA CORPORATION</t>
  </si>
  <si>
    <t>PRODUCTION TOOLS</t>
  </si>
  <si>
    <t>https://www.mountztorque.com/</t>
  </si>
  <si>
    <t>Mountz Inc.</t>
  </si>
  <si>
    <t>TORQUE ANALYZERS
TORQUE SENSORS
RUN DOWN ADAPTERS
CALIBRATION EQUIPMENT
TORQUE ANALYZER AND SENSOR ACCESSORIES
TORQUE SCREWDRIVERS
PRESET SCREWDRIVERS
ADJUSTABLE SCREWDRIVERS
TORQUE SCREWDRIVER ACCESSORIES
TORQUE WRENCHES
CAM-OVER WRENCHES
BREAK-OVER WRENCHES
CLICK WRENCHES
INSULATED TORQUE WRENCHES
DIAL WRENCHES
WRENCH HEADS
TORQUE WRENCH ACCESSORIES
TORQUE MULTIPLIERS
HAND MULTIPLIERS
PNEUMATIC MULTIPLIERS
ELECTRIC MULTIPLIERS
RADIAL GEARING MULTIPLIERS
MULTIPLIER ACCESSORIES
POWER ASSEMBLY TOOLS
ELECTRIC SCREWDRIVERS
AIR SCREWDRIVERS
PULSE TOOLS
DC CONTROL TOOLS
AUTOMATION SCREWDRIVERS
TORQUE ARMS
TOOL BALANCERS
SCREW COUNTER
SCREW PRESENTERS
PNEUMATIC TOOL ACCESSORIES
POWER TOOL ACCESSORIES
BITS, SOCKETS AND ADAPTERS
BITS
SOCKETS
ADAPTERS
NUTSETTERS
BIT HOLDERS
LEGACY PRODUCTS
TORQUE ANALYZERS AND SENSORS
TORQUE SCREWDRIVERS
TORQUE WRENCHES
POWER ASSEMBLY TOOLS</t>
  </si>
  <si>
    <t xml:space="preserve">29Jul2022: Add PI in the scope.
19Nov2020: Approved as Restricted Supplier for “GoProtoANZ” to support following projects:
- Initial Lexus build, as these are Research Machines - Supplier Not to be used for Lexus PPU&gt;Production phases
- Other Initial Project applications --&gt; Project Flatland/ Project Kinder </t>
  </si>
  <si>
    <t>Mountz Torque</t>
  </si>
  <si>
    <t>https://www.mysafetylabels.com/</t>
  </si>
  <si>
    <t>MYSAFETYLABELS.COM</t>
  </si>
  <si>
    <t>Not approved for PIP - refer to rationale in supplier folder</t>
  </si>
  <si>
    <t>https://www.protorquetools.com/</t>
  </si>
  <si>
    <t>PRO TORQUE TOOLS</t>
  </si>
  <si>
    <t>TORQUE TOOLS</t>
  </si>
  <si>
    <t>20 Nov 2020: PI only supplier for non-medical projects. They do foam block carving that industrial design will use for displays.</t>
  </si>
  <si>
    <t>https://www.3dsystems.com/</t>
  </si>
  <si>
    <t>3D Systems, Inc</t>
  </si>
  <si>
    <t>PROTOTYPING</t>
  </si>
  <si>
    <t>PROTOTYPING,3D PRINTERS,METAL 3D PRINTERS,PLASTIC 3D PRINTERS,METAL CASTING 3D PRINTERS,DENTAL 3D PRINTERS,JEWELRY 3D PRINTERS</t>
  </si>
  <si>
    <t>06-Oct-2022 removed from the register. Records have been archived.</t>
  </si>
  <si>
    <t>https://amigaeng.com.au/</t>
  </si>
  <si>
    <t>Amiga Engineering Pty Ltd</t>
  </si>
  <si>
    <t>PROTOTYPING,3D PRINTS</t>
  </si>
  <si>
    <t>http://www.boardsharkpcb.com/index.cfm</t>
  </si>
  <si>
    <t>Board Shark LLC</t>
  </si>
  <si>
    <t>PCB RIGID, PCB FLEX, RIGID-FLEX, PCB ALUMINUM CIRCUIT BOARDS</t>
  </si>
  <si>
    <t>https://www.forecast3d.com/</t>
  </si>
  <si>
    <t>Forecast 3D (AU)</t>
  </si>
  <si>
    <t>https://additivemanufacturingllc.com/</t>
  </si>
  <si>
    <t>Additive Manufacturing LLC</t>
  </si>
  <si>
    <t xml:space="preserve">CNC (MILL &amp; LATHE)_x000D_
DIE CASTING_x000D_
DIRECT METAL LASER SINTERING (DMLS)_x000D_
ELECTRON BEAM MELTING (EBM)_x000D_
FUSED DEPOSITION MODELING (FDM)_x000D_
INJECTION MOLDING / COMPRESSION MOLDING / EXTRUSION MOLDING_x000D_
INVESTMENT CASTINGS / PLASTER CASTINGS_x000D_
LASER &amp; DIE CUTTING_x000D_
MULTI JET FUSION_x000D_
POLYJET_x000D_
RTV MOLDING / URETHANE CASTINGS_x000D_
SELECTIVE LASER SINTERING (SLS)_x000D_
SHEET METAL PROTOTYPES (LASER CUTTING &amp; WATER JET CUTTING)_x000D_
STEREOLITHOGRAPHY (SLA)_x000D_
</t>
  </si>
  <si>
    <t>https://www.alliancerapid.com/</t>
  </si>
  <si>
    <t>Alliance Rapid Manufacturing</t>
  </si>
  <si>
    <t>ADDITIVE MANUFACTURING_x000D_
RTV &amp; RAPID CAST MOLDS_x000D_
PROTOTYPES DUPLICATES_x000D_
PRODUCTION PARTS_x000D_
CUSTOM FINISH &amp; PAINT</t>
  </si>
  <si>
    <t>19Jul2018: Removed from approved supplier list, due to investigation initiated into supplier's compliance with legal commercial requirements. Rating changed from critical to general.</t>
  </si>
  <si>
    <t>https://us.arrk.com/</t>
  </si>
  <si>
    <t>Arrk North America Inc</t>
  </si>
  <si>
    <t>RAPID PROTOTYPING, LOW VOLUME PRODUCTION, URETHANE CASTING, 3D PRINTING, CNC MACHINING, TOOLING AND INJECTION MOLDING
PROTOTYPING
3D PRINTING
STEREOLITHOGRAPHY
SELECTIVE LASER SINTERING
POLYJET™ 3D PRINTING
FDM 3D PRINTING
DIRECT METAL LASER SINTERING
URETHANE CASTING
CNC PROTOTYPING
MICROWAVE MOLDING</t>
  </si>
  <si>
    <t>https://www.hlhprototypes.com/</t>
  </si>
  <si>
    <t>HLH Prototypes (Shenzhen HLH)</t>
  </si>
  <si>
    <t>PROTOTYPING,MACHINING, VAC CASTING, INJ MOULDING</t>
  </si>
  <si>
    <t>https://aubright.net/</t>
  </si>
  <si>
    <t>Aubright</t>
  </si>
  <si>
    <t>QUALITY (FARO SCANNING)_x000D_
CONSULTING &amp; DESIGN_x000D_
ENGINEERING_x000D_
PROTOTYPING_x000D_
CNC MACHINING_x000D_
FORMING_x000D_
PRINTING_x000D_
FABRICATION &amp; ASSEMBLY_x000D_
FULFILLMENT_x000D_
LASER CUTTING</t>
  </si>
  <si>
    <t>https://www.3dcarving.com.au/</t>
  </si>
  <si>
    <t>Industrial Carving Services Pty Ltd</t>
  </si>
  <si>
    <t>PROTOTYPING,FOAMS, SILICONE</t>
  </si>
  <si>
    <t>5Apr2019: Removed from approved supplier list due to under declared duties.
Approved for PI Only (not PIP)</t>
  </si>
  <si>
    <t>https://www.model-solution.com/</t>
  </si>
  <si>
    <t>Model Solution Co., Ltd.</t>
  </si>
  <si>
    <t>compressors and parts</t>
  </si>
  <si>
    <t>https://www.empiregroupusa.com/</t>
  </si>
  <si>
    <t>Empire Group USA</t>
  </si>
  <si>
    <t xml:space="preserve">INDUSTRIAL 3D MODELING  _x000D_
PROTOTYPING _x000D_
3D PRINTING  _x000D_
CNC MACHINING  _x000D_
MOLDING &amp; CASTING  _x000D_
RAPID INJECTION MOLDING  _x000D_
FINISHING &amp; ASSEMBLY_x000D_
</t>
  </si>
  <si>
    <t>FORECAST 3D</t>
  </si>
  <si>
    <t xml:space="preserve">3D PRINT_x000D_
MBJ_x000D_
MJF_x000D_
FDM_x000D_
DMLS_x000D_
SLA_x000D_
POLYJET_x000D_
PROCAST_x000D_
 _x000D_
</t>
  </si>
  <si>
    <t>pumps and accessories, tubing and SU aseptic tubing bag assemblies, fluid path products. Added for PIPL for Bootcamp 13-Apr2023</t>
  </si>
  <si>
    <t>https://formero.com.au/</t>
  </si>
  <si>
    <t>Formero Pty Ltd (formerly GoProto)</t>
  </si>
  <si>
    <t xml:space="preserve">PROTOTYPING,SHEET METAL, 3D PRINTING &amp; ADDITIVE MANUFACTURING STEREOLITHOGRAPHY (SLA)_x000D_
SELECTIVE LASER SINTERING (SLS)_x000D_
MULTI JET FUSION (MJF)_x000D_
FIGURE 4 (DLP)_x000D_
COLOURJET PRINTING (CJP)_x000D_
FUSED DEPOSITION MODELLING (FDM)_x000D_
INJECTION MOULDING_x000D_
METAL STAMPING_x000D_
CNC MACHINING_x000D_
VACUUM/URETHANE CASTING_x000D_
3D SCANNING_x000D_
_x000D_
</t>
  </si>
  <si>
    <t>QMS Service provider</t>
  </si>
  <si>
    <t>https://goproto.com/</t>
  </si>
  <si>
    <t>GoProto LLC.</t>
  </si>
  <si>
    <t>ADDITIVE MANUFACTURING_x000D_
DIRECT METAL LASER SINTERING (DMLS)_x000D_
SELECTIVE LASER SINTERING (SLS)_x000D_
FUSED DEPOSITION MODELING (FDM)_x000D_
STEREOLITHOGRAPHY (SLA)_x000D_
HP MULTI JET FUSION (MJF)_x000D_
RAPID PROTOTYPING_x000D_
CNC MACHINING_x000D_
SHEET METAL FABRICATION_x000D_
INJECTION TOOLING &amp; MOLDING_x000D_
URETHANE CASTING</t>
  </si>
  <si>
    <t>https://www.rpproto.com/</t>
  </si>
  <si>
    <t>RP Prototype</t>
  </si>
  <si>
    <t>As requested by project 518-Opus.  PIPL Only</t>
  </si>
  <si>
    <t>http://prismier.com/</t>
  </si>
  <si>
    <t>Prismier LLC</t>
  </si>
  <si>
    <t>PROTOTYPING,MACHINING, LASER CUTTING</t>
  </si>
  <si>
    <t>For product audits</t>
  </si>
  <si>
    <t>https://www.protolabs.com/</t>
  </si>
  <si>
    <t>Proto Labs Inc</t>
  </si>
  <si>
    <t>PROTO LABS, INC. (US)</t>
  </si>
  <si>
    <t xml:space="preserve">INJECTION MOLDING SERVICE_x000D_
PLASTIC INJECTION MOLDING_x000D_
LIQUID SILICONE RUBBER MOLDING_x000D_
OVERMOLDING AND INSERT MOLDING_x000D_
FINISHING OPTIONS_x000D_
CNC MACHINING SERVICE_x000D_
CNC MILLING_x000D_
CNC TURNING_x000D_
PRODUCTION MACHINING_x000D_
PRECISION MACHINING_x000D_
THREADING OPTIONS_x000D_
METAL 3D PRINTING_x000D_
STEREOLITHOGRAPHY_x000D_
MULTI JET FUSION_x000D_
SELECTIVE LASER SINTERING_x000D_
POLYJET_x000D_
CARBON DIGITAL LIGHT SYNTHESIS_x000D_
SHEET METAL FABRICATION_x000D_
LASER CUTTING_x000D_
FORMING_x000D_
</t>
  </si>
  <si>
    <t>https://sunpe.com/</t>
  </si>
  <si>
    <t>Sunpe Prototype</t>
  </si>
  <si>
    <t>25Aug2022 - supplier removed from register</t>
  </si>
  <si>
    <t>https://www.uig3dprinting.com.au/</t>
  </si>
  <si>
    <t>Ultimate 3D Printing Store</t>
  </si>
  <si>
    <t>distributor Hitec RCD - ISO certificates for the manufacturers were provided</t>
  </si>
  <si>
    <t>https://www.protocase.com/</t>
  </si>
  <si>
    <t>PROTOCASE, INC.</t>
  </si>
  <si>
    <t xml:space="preserve">ELECTRONIC ENCLOSURES _x000D_
RACKMOUNT ENCLOSURES _x000D_
U-SHAPE ENCLOSURES _x000D_
L-SHAPE ENCLOSURES _x000D_
EXTRUDED ALUMINUM ENCLOSURES _x000D_
CUSTOMIZABLE DIECAST ENCLOSURES _x000D_
PANELS _x000D_
PELICAN PANELS _x000D_
COMPUTER ENCLOSURES _x000D_
5-SIDED ENCLOSURES _x000D_
MACHINED ENCLOSURES _x000D_
FULL CUSTOM ENCLOSURES _x000D_
HYBRID ENCLOSURES _x000D_
CONSOLET ENCLOSURES _x000D_
EXTRUDED CONSOLET ENCLOSURES _x000D_
45DRIVES STORAGE SERVERS _x000D_
BRACKETS _x000D_
GASKETS _x000D_
COPPER BUS BARS _x000D_
SHEET METAL PARTS _x000D_
CNC MACHINING _x000D_
CNC MILLING _x000D_
CNC TURNING _x000D_
3D PRINTING _x000D_
CUSTOMIZABLE DIECAST </t>
  </si>
  <si>
    <t>http://sz-cnc.com/</t>
  </si>
  <si>
    <t>Shenzhen Noble Smart Mfg Tech Co.</t>
  </si>
  <si>
    <t>https://www.starrapid.com/</t>
  </si>
  <si>
    <t>Star Rapid Limited</t>
  </si>
  <si>
    <t>Market research fieldwork services</t>
  </si>
  <si>
    <t>https://www.rapiddirect.com/</t>
  </si>
  <si>
    <t>STRATASYS DIRECT MANUFACTURING</t>
  </si>
  <si>
    <t>CNC MACHINING_x000D_
CNC TURNING_x000D_
5 AXIS CNC MACHINING_x000D_
PRECISION MACHINING_x000D_
INJECTION MOLDING_x000D_
PLASTIC INJECTION MOLDING_x000D_
INJECTION MOLD TOOLING_x000D_
OVERMOLDING_x000D_
INSERT MOLDING_x000D_
SHEET METAL FABRICATION_x000D_
LASER CUTTING_x000D_
PLASMA CUTTING_x000D_
METAL BENDING_x000D_
3D PRINTING_x000D_
DIE CASTING_x000D_
VACUUM CASTING_x000D_
WIRE EDM_x000D_
ALUMINUM EXTRUSION_x000D_
RAPID PROTOTYPING_x000D_
ON DEMAND MANUFACTURING_x000D_
SURFACE FINISHING_x000D_
ASSEMBLY</t>
  </si>
  <si>
    <t>https://www.gassensing.co.uk/</t>
  </si>
  <si>
    <t>Gardner Denver Thomas</t>
  </si>
  <si>
    <t>PUMPS</t>
  </si>
  <si>
    <t>PUMPS,GAS PUMPS,LIQUID PUMPS,SMALL PUMPS</t>
  </si>
  <si>
    <t>E waste recycling services (Project Loren)</t>
  </si>
  <si>
    <t>https://knf.com/en/au</t>
  </si>
  <si>
    <t>KNF NEUBERGER, INC.</t>
  </si>
  <si>
    <t>https://www.wmfts.com/</t>
  </si>
  <si>
    <t>WATSON-MARLOW BREDEL PUMPS</t>
  </si>
  <si>
    <t>PUMPS,PUMPS</t>
  </si>
  <si>
    <t>https://www.bsigroup.com/</t>
  </si>
  <si>
    <t>BSI Group ANZ Pty Ltd</t>
  </si>
  <si>
    <t>QUALITY MANAGEMENT</t>
  </si>
  <si>
    <t>QUALITY MANAGEMENT,AUDITING, CERTIFICATION AND TRAINING,ASSESSMENT, ISO CERTIFICATION AND OTHERS: IATF, FSSC,AUDITING AND VERIFICATION,PRODUCT TESTING AND CERTIFICATION,BSI KITEMARK, CE MARKING AND VERIFICATION, MARKET ACCESS SOLUTIONS,VALIDATE BSI-ISSUED CERTIFICATES,TRAINING COURSES,MEDICAL DEVICES SERVICES,BSI CERTIFICATION GUIDEBOOKS,BSI CONNECT,SOFTWARE TOOLS AND SOLUTIONS FOR AUDIT, RISK, COMPLIANCE AND SUPPLY CHAIN MANAGEMENT,CONSULTING PRACTICES,DIGITAL TRUST,SUPPLY CHAIN MANAGEMENT,VIEW ALL BSI SERVICES</t>
  </si>
  <si>
    <t>http://www.qpe.on.net/</t>
  </si>
  <si>
    <t>Quality Production Engineers</t>
  </si>
  <si>
    <t>QUALITY SERVICES</t>
  </si>
  <si>
    <t>Stracon Inc</t>
  </si>
  <si>
    <t>Providing the QSD and Product Registration for taiwan. RA and Consultancy services.</t>
  </si>
  <si>
    <t>https://www.tuv.com/</t>
  </si>
  <si>
    <t>TUV Rheinland Australia Pty Ltd</t>
  </si>
  <si>
    <t>https://www.tuvsud.com/en</t>
  </si>
  <si>
    <t>TUV SUD AMERICA INC</t>
  </si>
  <si>
    <t>AUDITING &amp; SYSTEM CERTIFICATION
GLOBAL MARKET ACCESS
INSPECTION
PRODUCT CERTIFICATION
RISK MANAGEMENT
TESTING SERVICES
TECHNICAL ADVISORY
TRAINING</t>
  </si>
  <si>
    <t>TUV SUD Canada</t>
  </si>
  <si>
    <t>e-QMS service provider</t>
  </si>
  <si>
    <t>http://www.creh.com.hk/</t>
  </si>
  <si>
    <t>China Rare Earth Magment Limited</t>
  </si>
  <si>
    <t>RARE EARTH MATERIALS</t>
  </si>
  <si>
    <t>https://www.omp.com.au/</t>
  </si>
  <si>
    <t>Modelflight (L O'Reilly Pty. Ltd)</t>
  </si>
  <si>
    <t>RC PRODUCTS</t>
  </si>
  <si>
    <t>12Aug2020: Professional Services only</t>
  </si>
  <si>
    <t>https://bandakpm.com/</t>
  </si>
  <si>
    <t>Bandak Project Management Inc.</t>
  </si>
  <si>
    <t>REAL ESTATE AMANGEMENT</t>
  </si>
  <si>
    <t>Approved for QA consulting and training services.</t>
  </si>
  <si>
    <t>https://www.oraclefieldwork.com/</t>
  </si>
  <si>
    <t>Oracle Fieldwork Ltd</t>
  </si>
  <si>
    <t>RECRUITMENT</t>
  </si>
  <si>
    <t>RECRUITMENT,PHARMACEUTICAL RECRUITMENT AND CONSULTING</t>
  </si>
  <si>
    <t>Regulatory services - REACH compliance</t>
  </si>
  <si>
    <t>https://rootsresearch.co.uk/</t>
  </si>
  <si>
    <t>Roots Research LTD</t>
  </si>
  <si>
    <t>18Aug2020 - Professional Services/ Consultant</t>
  </si>
  <si>
    <t>https://www.aerotek.com/en</t>
  </si>
  <si>
    <t>AEROTEK, INC.</t>
  </si>
  <si>
    <t>https://www.anzrp.com.au/</t>
  </si>
  <si>
    <t>Australia and New Zealand Recycling Platform Limited (TechCollect)</t>
  </si>
  <si>
    <t>RECYCLING SERVICES</t>
  </si>
  <si>
    <t>https://www.pseref.com.au/</t>
  </si>
  <si>
    <t>P.S.E. REFRIGERATION &amp; AIR CONDITIONING</t>
  </si>
  <si>
    <t>REFRIGERATION</t>
  </si>
  <si>
    <t>Distributor of robotics technology</t>
  </si>
  <si>
    <t>https://ontref.com/</t>
  </si>
  <si>
    <t>ONTARIO REFRIGERATION SERV INC</t>
  </si>
  <si>
    <t>REFRIGERATION SERVICES</t>
  </si>
  <si>
    <t xml:space="preserve">
PREVENTATIVE MAINTENANCE SERVICE
COMPUTERIZED MAINTENANCE SCHEDULING
COMPONENTS AND PARTS REPLACEMENT
MAINTENANCE SUPPLIES
PROGRAM MANAGEMENT &amp; ADMINISTRATION
PREDICTIVE MAINTENANCE SERVICE
AIR FILTER SERVICE
REPAIR AND REPLACEMENT LABOR
EMERGENCY RESPONSE SERVICE
CFC/HCFC PROGRAM</t>
  </si>
  <si>
    <t>https://www.aacc.org/</t>
  </si>
  <si>
    <t>AMERICAN ASSOC. FOR CLINICAL C</t>
  </si>
  <si>
    <t>REGULATORY CONSULTANTS</t>
  </si>
  <si>
    <t>Industrial rubber and fabricator</t>
  </si>
  <si>
    <t>https://www.daturaconsulting.com/</t>
  </si>
  <si>
    <t>Datura EHS &amp; Compliance, LLC</t>
  </si>
  <si>
    <t>09 Jul 2020: Change name to Kelseal Rubber Moulding Groups Pty Ltd. An updated Supplier Evaluation is expected to be completed.   
27 Nov 2020: Deactivate as new finance code has been raised for the new supplier name. Records will be archive.</t>
  </si>
  <si>
    <t>https://local.infobel.tw/</t>
  </si>
  <si>
    <t>Elite RA Consultancy Co.</t>
  </si>
  <si>
    <t>20 Nov 2020: Supplier change name from Kelseal Rubber Mouldings to Kelseal Rubber Mouldings Group Pty Ltd. New finance code assigned to distinguish the new from old supplier name.</t>
  </si>
  <si>
    <t>http://meditip.co.kr/</t>
  </si>
  <si>
    <t>MEDITIP Co</t>
  </si>
  <si>
    <t>https://sixmurs.com/</t>
  </si>
  <si>
    <t>PT Sixmurs Perdana</t>
  </si>
  <si>
    <t>INDONESIA</t>
  </si>
  <si>
    <t>https://regulushealthcare.com/</t>
  </si>
  <si>
    <t>Regulus Healthcare</t>
  </si>
  <si>
    <t>INDIA</t>
  </si>
  <si>
    <t>https://www.seerpharma.com/</t>
  </si>
  <si>
    <t>SeerPharma</t>
  </si>
  <si>
    <t>https://www.momentumsystems.com.au/</t>
  </si>
  <si>
    <t>Momentum Enterprise Systems</t>
  </si>
  <si>
    <t>04Apr2022: re-evaluation|e-mail sent
26Nov2015: Restricted due to distributor only.</t>
  </si>
  <si>
    <t>https://kdas.com.au/</t>
  </si>
  <si>
    <t>kd&amp;a Pty Ltd</t>
  </si>
  <si>
    <t>REGULATORY CONSULTANTS,MEDICAL COMPLIANCE, TGA, CE MARKINGS, FDA, HEALTH CANADA</t>
  </si>
  <si>
    <t>https://www.tsgconsulting.com/</t>
  </si>
  <si>
    <t>Technology Science Group (TSG)</t>
  </si>
  <si>
    <t>https://www.thersolution.com/</t>
  </si>
  <si>
    <t>The R Solutions</t>
  </si>
  <si>
    <t>Rated restricted as supplier is a distributor only. ISO9001 certificate provided for Dichtomatik. Dichtomatik brand parts may be purchased as critical, all other brand parts from Fluid Seals are considered General.
02 Jul 2020: remove from register. Cbc</t>
  </si>
  <si>
    <t>https://www.rentnational.com/</t>
  </si>
  <si>
    <t>National Construction Rentals</t>
  </si>
  <si>
    <t>RENTALS</t>
  </si>
  <si>
    <t>Previously Ludowici Sealing Solutions (Code: LSSO00)</t>
  </si>
  <si>
    <t>https://www.pasternack.com/</t>
  </si>
  <si>
    <t>PASTERNACK ENT INC</t>
  </si>
  <si>
    <t>RF CABLES</t>
  </si>
  <si>
    <t>RF 60 GHZ SYSTEMS AND MODULES
RF ADAPTERS
RF AMPLIFIERS
RF ANTENNAS
RF ATTENUATORS / EQUALIZERS
RF BALUNS
RF BIAS TEES / DC BLOCKS
RF CABLE ASSEMBLIES
RF CABLES
RF CONNECTOR ACCESSORIES
RF CONNECTORS
RF COUPLERS
RF EDUCATIONAL PRODUCTS
RF FILTERS
RF FREQUENCY MULTIPLIERS / DIVIDERS
RF HIGH RELIABILITY
RF IMPEDANCE MATCHING
RF ISOLATORS / CIRCULATORS
RF LIMITERS / DETECTORS
RF MIXERS/MODULATORS
RF NOISE SOURCES
RF OSCILLATORS / SYNTHESIZERS
RF PHASE SHIFTERS / TRIMMERS
RF POWER DIVIDERS / COMBINERS
RF ROTARY AND SWIVEL JOINTS
RF SURGE PROTECTORS
RF SWITCHES
RF TERMINATIONS
RF TEST AND MEASUREMENT
RF TOOLS
RF WAVEGUIDE COMPONENTS</t>
  </si>
  <si>
    <t>https://www.robotshop.com/</t>
  </si>
  <si>
    <t>RobotShop</t>
  </si>
  <si>
    <t>ROBOTICS</t>
  </si>
  <si>
    <t>https://www.coscofire.com/</t>
  </si>
  <si>
    <t>Cosco Fire Protection</t>
  </si>
  <si>
    <t>SAFETY EQUIPMENT</t>
  </si>
  <si>
    <t>FIRE PROTECTION PRODUCTS, FIRE SPRINKLERS, SPECIAL HAZARDS, ALARM &amp; DETECTION</t>
  </si>
  <si>
    <t>Distributor of o-rings, seals, gaskets, and filters</t>
  </si>
  <si>
    <t>https://smdinc.net/</t>
  </si>
  <si>
    <t>SMD, Inc.</t>
  </si>
  <si>
    <t>SAFETY PRODUCTS</t>
  </si>
  <si>
    <t>HEALTHCARE SAFETY PRODUCTS</t>
  </si>
  <si>
    <t>15Jun2022: E-mail new SE form.
20Jan2022: e-mail sent</t>
  </si>
  <si>
    <t>OPTICON INC.</t>
  </si>
  <si>
    <t>SCANNERS LABELS</t>
  </si>
  <si>
    <t>https://www.escmid.org/</t>
  </si>
  <si>
    <t>ESCMID</t>
  </si>
  <si>
    <t>SCIENCE EDUCATION</t>
  </si>
  <si>
    <t>https://fluidsealing.com.au/</t>
  </si>
  <si>
    <t>Fluid Seals</t>
  </si>
  <si>
    <t>SEALING</t>
  </si>
  <si>
    <t>SEALING,PUMP SEALS, MOTOR SEALS, MECHANICAL SEALS, GLANDS</t>
  </si>
  <si>
    <t>21Aug2018: Removed from Approved supplier list 21Aug2018, due to supplier no longer required. Rating changed from Restricted to General.
19Mar2014: Distributor only, no ISO certificate. ISO certificate has been provided for Gas Sensing Solutions who have confirmed Apollo is an authorised distributor. Supplier considered general for all other products. Gas Sensing Solutions Scope: Design and manufacture of gas sensors for industrial and commercial applications_x000D_</t>
  </si>
  <si>
    <t>https://www.parker.com/us/en/home.html</t>
  </si>
  <si>
    <t>PARKER HANNIFIN CORPORATION</t>
  </si>
  <si>
    <t>PRODUCTS 
ADHESIVES, COATINGS AND ENCAPSULANTS
AEROSPACE SYSTEMS AND TECHNOLOGIES
AIR PREPARATION (FRL) AND DRYERS
BIOPROCESSING AND MEDICAL TECHNOLOGIES
CYLINDERS AND ACTUATORS
EMI SHIELDING
FILTERS, COLLECTORS, SEPARATORS, PURIFIERS
FITTINGS AND QUICK COUPLINGS
GAS GENERATORS
HOSE, PIPING AND TUBING
MOTORS, DRIVES AND CONTROLLERS
MOUNTING AND VIBRATION CONTROL
POWER TAKE OFFS AND DRIVE SYSTEMS
PUMPS
REFRIGERATION AND AIR CONDITIONING
REGULATORS, MONITORS, SENSORS AND FLOW CONTROL
SEALS AND O-RINGS
THERMAL AND POWER MANAGEMENT
VALVES
PTS</t>
  </si>
  <si>
    <t xml:space="preserve">07Dec2021: Change company namefrom Exergen Global to CleverIR. </t>
  </si>
  <si>
    <t>https://www.allsealsinc.com/</t>
  </si>
  <si>
    <t>ALL SEALS INC.</t>
  </si>
  <si>
    <t>Distributor for Gems Sensor's flow, level and pressure sensors and switches</t>
  </si>
  <si>
    <t>https://www.globaloring.com/</t>
  </si>
  <si>
    <t>Global O-Ring and Seal LLC.</t>
  </si>
  <si>
    <t>https://www.renseal.com.au/</t>
  </si>
  <si>
    <t>Renhel Manufacturing Co Pty Ltd</t>
  </si>
  <si>
    <t>https://www.sealinnovations.com.au/</t>
  </si>
  <si>
    <t>Seal Innovations Pty Ltd (formerly Seal Imports)</t>
  </si>
  <si>
    <t>https://www.segaskets.com.au/</t>
  </si>
  <si>
    <t>South Eastern Gaskets Pty Ltd</t>
  </si>
  <si>
    <t>Scan engines, medical sensors, pressure sensors, oxygen sensors, airflow sensors, scan software</t>
  </si>
  <si>
    <t>https://www.aathread.com/</t>
  </si>
  <si>
    <t>AA Thread Seal Tape, Inc.</t>
  </si>
  <si>
    <t>SEALING SOLUTIONS</t>
  </si>
  <si>
    <t>SEALING,POLYETHYLENE ENCASEMENT (POLYWRAP),UNDERGROUND MARKING TAPE,BARRICADE TAPE,PIPEWRAP TAPE,ELECTRICAL TAPE,PTFE THREAD SEAL TAPE</t>
  </si>
  <si>
    <t>https://www.cog.de/</t>
  </si>
  <si>
    <t>C Otto Gehrckens GmbH &amp; Co. KG</t>
  </si>
  <si>
    <t>SEALING, O-RINGS,GASKETS, MOULDED SEALS</t>
  </si>
  <si>
    <t>Thin film filter products and replicated mirrors</t>
  </si>
  <si>
    <t>https://www.securitastechnology.com/</t>
  </si>
  <si>
    <t>STANLEY CONVERGENT SECURITY SO</t>
  </si>
  <si>
    <t>SECURITY SOLUTIONS</t>
  </si>
  <si>
    <t>12Sep2022: remove from register</t>
  </si>
  <si>
    <t>http://www.apollounion.com/</t>
  </si>
  <si>
    <t>Apollosense Ltd</t>
  </si>
  <si>
    <t>SENSORS</t>
  </si>
  <si>
    <t>SENSORS,GAS SENSORS TRANSMITTERS, INFRARED SENSORS, FLUID PROPERTIES SENSORS, FIBER SENSORS PRESSURE SENSORS TRANSMITTERSLIQUID LEVEL SENSORS, AIRFLOW SENSORS, MAGNETIC SENSORS</t>
  </si>
  <si>
    <t>Sensors, monitors and control systems.  Approved for PIPL on 07-Mar-2023</t>
  </si>
  <si>
    <t>https://www.controlcomponents.com.au/</t>
  </si>
  <si>
    <t>Control Components Pty Ltd</t>
  </si>
  <si>
    <t>SENSORS,LOW, LEVEL, PRESSURE AND WATER, WASTEWATER SENSORS</t>
  </si>
  <si>
    <t>As requested by project 586-Sonic.  PIPL Only. Purchase instrument for performance Testing</t>
  </si>
  <si>
    <t>http://www.intermec.com/</t>
  </si>
  <si>
    <t>Intermec Technologies (S) Pte Ltd (Honeywell)</t>
  </si>
  <si>
    <t>SENSORS,ADVANCED SENSING TECHNOLOGIES</t>
  </si>
  <si>
    <t>No ISO certificate, Procon Technology distribute Mean Well products. ISO certificate has been provided for Mean Well. Mean Well Scope: Design, manufacturing and sale of switching power supplies</t>
  </si>
  <si>
    <t>https://www.instrumems.com/</t>
  </si>
  <si>
    <t>Instrumems INC.</t>
  </si>
  <si>
    <t>SENSORS,MEDICAL SENSORS, THERMAL SENSORS, INDUSTRIAL SENSORS, IOT, MICROFLUIDICS, SMOKE</t>
  </si>
  <si>
    <t>Not approved for PIP - refer to rationale in supplier evaluation form</t>
  </si>
  <si>
    <t>https://www.cleverir.com/</t>
  </si>
  <si>
    <t>CleverIR B.V.</t>
  </si>
  <si>
    <t>SENSORS,ACE,EXERGEN PRECALIBRATED IRT/C'S,EXERGEN AUTOSMART IRT/C'S,EXERGEN CUSTOM SPECIFIC IRT/C'S,EXERGEN ADJUSTABLE IRT/C'S,EXERGEN HANDHELD SCANNERS,DALI THERMAL CAMERA'S,NOVUS PID CONTROLLER</t>
  </si>
  <si>
    <t>https://www.gemssensors.com/</t>
  </si>
  <si>
    <t>Gas Sensing Solutions Ltd</t>
  </si>
  <si>
    <t>SENSORS,SENSORS,COZIR-A CO2 SENSOR,COZIR®-LP2 CO2 SENSOR,COZIR®-BLINK CO2 SENSOR,COZIR®-LP3 CO2 SENSOR,COZIR®-LP CO2 SENSOR,SPRINTIR®-R CO2 SENSOR, CO2 SENSORS</t>
  </si>
  <si>
    <t>https://www.genetargetsolutions.com.au/</t>
  </si>
  <si>
    <t>Gems Sensors and Controls</t>
  </si>
  <si>
    <t>SENSORS,LEVEL SENSORS, PRESSURE SENSORS, FLOW SENSORS, TEMPERATURE SENSORS</t>
  </si>
  <si>
    <t>https://store.omron.com.au/</t>
  </si>
  <si>
    <t>Omron Electronics Pty Ltd</t>
  </si>
  <si>
    <t>https://www.keyence.com/</t>
  </si>
  <si>
    <t>KEYENCE Corporation of America</t>
  </si>
  <si>
    <t>SENSORS
VISION SYSTEMS
SMART SENSORS
OPTICAL COMPARATORS
DIGITAL MICROSCOPES
SAFETY
LASER MARKING SYSTEMS
MEASUREMENT SENSORS
3D SCANNER
3D OPTICAL PROFILOMETERS
PROCESS SENSORS
CONTINUOUS INKJET PRINTERS
BARCODE READERS
CMM
3D SURFACE PROFILER
DATA ACQUISITION (DAQ)
CONTROLS
MOBILE COMPUTERS / HANDHELD COMPUTERS
LASER TRACKER
FLUORESCENCE MICROSCOPES
STATIC ELIMINATORS
ELEMENTAL ANALYZER
UV LASER CODER
MULTISENSOR MEASUREMENT SYSTEM
RPA / BUSINESS AUTOMATION SOFTWARE</t>
  </si>
  <si>
    <t xml:space="preserve">Certified to Good Distribution Practice for Medical Devices - SS 620:2016.  This supplier is only a temporary importer/distributor for the purposes of the one study being set up in Singapore. </t>
  </si>
  <si>
    <t>https://www.newport.com/</t>
  </si>
  <si>
    <t>Newport Corporation-MKS Instruments</t>
  </si>
  <si>
    <t>SENSORS,SENSORS</t>
  </si>
  <si>
    <t>https://philtec.com/</t>
  </si>
  <si>
    <t>Philtec Inc</t>
  </si>
  <si>
    <t>Cloud consulting work</t>
  </si>
  <si>
    <t>https://www.pendotech.com/</t>
  </si>
  <si>
    <t>PendoTECH</t>
  </si>
  <si>
    <t>Certified translation and layout services, ISO17100:2015-05 Exp. 07 Sept 2023</t>
  </si>
  <si>
    <t>https://sea.omega.com/</t>
  </si>
  <si>
    <t>Spectris Pte Ltd c/o Omega Engineering Singapore</t>
  </si>
  <si>
    <t>Custom sheet metal spring</t>
  </si>
  <si>
    <t>https://www.proconit.com.au/</t>
  </si>
  <si>
    <t>Procon Technology</t>
  </si>
  <si>
    <t xml:space="preserve">One Off purchase only; Removed one off purchase restriction and restricted to LEXI only </t>
  </si>
  <si>
    <t>https://sstsensing.com/</t>
  </si>
  <si>
    <t>SST Sensing</t>
  </si>
  <si>
    <t>1Jul2015: Removed from PIP list due to performance not matching requirements. Rating changed from restricted to General
26Feb2015: Supplier rating changed from critical to restricted. Supplier not performing well, many NCRs raised against them in production
1May2012: No ISO certificate, approved for critical purchases based on information provided in supplier evaluation</t>
  </si>
  <si>
    <t>https://www.tuner.tw/</t>
  </si>
  <si>
    <t>Tuner Technology Co Ltd</t>
  </si>
  <si>
    <t>https://www.wika.com.au/</t>
  </si>
  <si>
    <t>Wika Australia Pty Ltd</t>
  </si>
  <si>
    <t>SENSORS,FLOW METERS</t>
  </si>
  <si>
    <t>https://www.afritox.co.za/</t>
  </si>
  <si>
    <t>AfriTox</t>
  </si>
  <si>
    <t>SERVICES</t>
  </si>
  <si>
    <t>SERVICES,POISON INFORMATION DATABASE</t>
  </si>
  <si>
    <t>SOUTH AFRICA</t>
  </si>
  <si>
    <t>http://www.apexpharmacy.com.sg/</t>
  </si>
  <si>
    <t>Apex Pharma Marketing Pte. Ltd</t>
  </si>
  <si>
    <t>SERVICES,PHARMACOLOGICAL PRODUCTS</t>
  </si>
  <si>
    <t>26/01/22: Poor quality performance on PIP orders. Do not use for new projects.</t>
  </si>
  <si>
    <t>https://www.bluetooth.com/</t>
  </si>
  <si>
    <t>Bluetooth SIG, Inc.</t>
  </si>
  <si>
    <t>SERVICES,BLUETOOTH TECHNOLOGY</t>
  </si>
  <si>
    <t>20Dec2021: Deactivated</t>
  </si>
  <si>
    <t>https://www.softwarecpr.com/</t>
  </si>
  <si>
    <t>Crisis Prevention and Recovery, LLC (SoftwareCPR)</t>
  </si>
  <si>
    <t>SERVICES,SOFTWARE COMPLIANCE, FDA COMPLIANCE, IEC 62304</t>
  </si>
  <si>
    <t>28Oct2021: Reclassified from Critical to Restricted. Not recommended for new parts or projects.</t>
  </si>
  <si>
    <t>http://www.idem.com/</t>
  </si>
  <si>
    <t>Idem Translations Inc</t>
  </si>
  <si>
    <t>SERVICES,TRANSLATIONS</t>
  </si>
  <si>
    <t>https://www.aligent-spring.com/</t>
  </si>
  <si>
    <t>Aligent Spring Pte Ltd</t>
  </si>
  <si>
    <t>SHEET METAL</t>
  </si>
  <si>
    <t>https://www.amapro.com.au/</t>
  </si>
  <si>
    <t>Amapro W&amp;B Pty Ltd</t>
  </si>
  <si>
    <t>https://atcoengineering.com.au/</t>
  </si>
  <si>
    <t>Atco Engineering</t>
  </si>
  <si>
    <t>https://cartelind.com/</t>
  </si>
  <si>
    <t>CARTEL INDUSTRIES, LLC</t>
  </si>
  <si>
    <t xml:space="preserve">IN HOUSE TOOL &amp; DIE (TO HELP REDUCE LEAD TIMES)_x000D_
2 SHEARING STATIONS (UP TO 10 FOOT WIDTH)_x000D_
2 LASER CUTTING MACHINES (UP TO 4000 WATTS POWER)_x000D_
3 CNC PUNCHING TURRETS WITH AUTOMATION_x000D_
2 LASER/PUNCH COMBINATION MACHINES WITH AUTOMATION_x000D_
2 STAMPING PRESSES (UP TO 150 TONS)_x000D_
12 PRESS BRAKES (UP TO 10 FOOT BENDING LENGTH)_x000D_
5 SPOT WELDING STATIONS (ALUMINUM, STAINLESS &amp; STEEL)_x000D_
ROBOTIC MIG WELDING (ALUMINUM &amp; STEEL)_x000D_
6 MIG &amp;TIG WELDING STATIONS (ALUMINUM, STAINLESS AND STEEL)_x000D_
11 HARDWARE INSERTION MACHINES WITH AUTOMATION_x000D_
4 AUTOMATED RIVETING MACHINES_x000D_
2 AUTOMATED ORBITAL DEBURR MACHINES (UP TO 48 INCH WIDTH)_x000D_
4 AUTOMATED TIMESAVER DEBURR MACHINES_x000D_
METAL FINISHING &amp; STROKE SANDING_x000D_
BEAD BLASTING_x000D_
TUMBLING_x000D_
ROLL FORMING_x000D_
NOTCHING_x000D_
LASER INK-JET PART MARKING_x000D_
THERMAL LABELING &amp; RUBBERSTAMPING_x000D_
</t>
  </si>
  <si>
    <t>http://www.concordprecision.com/</t>
  </si>
  <si>
    <t>Concord Precision</t>
  </si>
  <si>
    <t>SHEET METAL,PROGRESSIVE DIES, SHEET METAL</t>
  </si>
  <si>
    <t>https://www.creativemanufacturingsolutions.com/</t>
  </si>
  <si>
    <t>Creative Manufacturing Solutions</t>
  </si>
  <si>
    <t>CNC PUNCHING, LASER CUTTING, FORMING, WELDING, IN-HOUSE POWDER COATING, ASSEMBLY</t>
  </si>
  <si>
    <t>15Sep2020: remove from register</t>
  </si>
  <si>
    <t>https://www.form2000.com.au/</t>
  </si>
  <si>
    <t>Form 2000 Sheetmetal Pty Ltd</t>
  </si>
  <si>
    <t>https://shottongroup.com.au/</t>
  </si>
  <si>
    <t>Shotton Manufacturing Group (ex P&amp;R Sheetmetal)</t>
  </si>
  <si>
    <t>Manufacturer of soft bags (harness).</t>
  </si>
  <si>
    <t>https://www.ace-sz.com/</t>
  </si>
  <si>
    <t>Suzhou Ace Sheet Metal Manufacturing Co Ltd</t>
  </si>
  <si>
    <t>https://www.vinatechinc.com/</t>
  </si>
  <si>
    <t>Vinatech Engineering Incorporated</t>
  </si>
  <si>
    <t>https://metaltex.com.au/</t>
  </si>
  <si>
    <t>Metaltex Australia Pty Ltd</t>
  </si>
  <si>
    <t>SHEET METAL,SHEET METAL</t>
  </si>
  <si>
    <t>Supplier of Clarizen/Planview software</t>
  </si>
  <si>
    <t>https://www.will-mann.com/</t>
  </si>
  <si>
    <t>Will-Mann, Inc.</t>
  </si>
  <si>
    <t>ASSEMBLY &amp; FABRICATION_x000D_
PROGRAMMING_x000D_
CNC MACHINING_x000D_
FINISHING &amp; DEBURRING_x000D_
FORMING_x000D_
LASER CUTTING SERVICES_x000D_
LASER ETCHING &amp; ENGRAVING_x000D_
PRECISION SHEET METAL FABRICATION _x000D_
PUNCHING_x000D_
WELDING SERVICES</t>
  </si>
  <si>
    <t>https://vizcommsignsandgraphics.com/</t>
  </si>
  <si>
    <t>Vizcomm Signs &amp; Graphics</t>
  </si>
  <si>
    <t>SIGNAGE</t>
  </si>
  <si>
    <t>http://www.western-sign.com/</t>
  </si>
  <si>
    <t>Western Sign &amp; Awing</t>
  </si>
  <si>
    <t>https://www.senring.com/</t>
  </si>
  <si>
    <t>Senring Electronics</t>
  </si>
  <si>
    <t>SLIP RINGS</t>
  </si>
  <si>
    <t>SLIP RINGS,SLIP RINGS, ROTARY UNIONS</t>
  </si>
  <si>
    <t>https://www.tasindo.com/</t>
  </si>
  <si>
    <t>PT. Tasindo Tassa Industries</t>
  </si>
  <si>
    <t>SOFT GOODS</t>
  </si>
  <si>
    <t>02 Jul 2020: remove from register. Cbc</t>
  </si>
  <si>
    <t>https://www.circuitlab.com/</t>
  </si>
  <si>
    <t>Circuit Labs Ltd</t>
  </si>
  <si>
    <t>SOFTWARE</t>
  </si>
  <si>
    <t>SOFTWARE,ELECTRONICS DESIGN</t>
  </si>
  <si>
    <t>https://success.clarizen.com/</t>
  </si>
  <si>
    <t>Clarizen Ltd</t>
  </si>
  <si>
    <t>https://www.greensoftaustralia.com/</t>
  </si>
  <si>
    <t>Greensoft</t>
  </si>
  <si>
    <t>https://www.qorvo.com/</t>
  </si>
  <si>
    <t>QORVO</t>
  </si>
  <si>
    <t>CIRCUIT SIMULATION SOFTWARE</t>
  </si>
  <si>
    <t>https://www.silverpond.com.au/</t>
  </si>
  <si>
    <t>Silverpond Pty Ltd</t>
  </si>
  <si>
    <t>AI BASED DIGITAL ASSESSMENTS</t>
  </si>
  <si>
    <t>https://www.altium.com/</t>
  </si>
  <si>
    <t>ALTIUM INC.</t>
  </si>
  <si>
    <t>https://grow.cleverbridge.com/</t>
  </si>
  <si>
    <t>Cleverbridge Inc.</t>
  </si>
  <si>
    <t>E-COMMERCE, MARKETING</t>
  </si>
  <si>
    <t>Assembled and Tested PCBA for SolShare product</t>
  </si>
  <si>
    <t>https://clickup.com/</t>
  </si>
  <si>
    <t>Click up</t>
  </si>
  <si>
    <t>PRODUCTIVITY TOOLS</t>
  </si>
  <si>
    <t>https://www.condecosoftware.com/</t>
  </si>
  <si>
    <t>Condeco Software</t>
  </si>
  <si>
    <t>Industrial grade computers such as single board computer, motherboard, embedded box PC, panel PC, rugged tablet, network appliance, IoT gateway, AI edge computer, etc.</t>
  </si>
  <si>
    <t>https://www.docusign.com/</t>
  </si>
  <si>
    <t>DocuSign Inc.</t>
  </si>
  <si>
    <t>https://qt9software.com/</t>
  </si>
  <si>
    <t>QT 9 Software</t>
  </si>
  <si>
    <t>https://signinapp.com/en-au/</t>
  </si>
  <si>
    <t>Signinapp.com Inc.</t>
  </si>
  <si>
    <t>QORVO, Inc.</t>
  </si>
  <si>
    <t>https://apps.apple.com/jm/developer/viewtool-inc/id1507450281</t>
  </si>
  <si>
    <t>ViewTool Inc</t>
  </si>
  <si>
    <t>TEMPERATURE SENSING APPS</t>
  </si>
  <si>
    <t>Assembly and integration of PC solutions (motherboard)</t>
  </si>
  <si>
    <t>https://norcalcontrols.net/</t>
  </si>
  <si>
    <t>NOR-CAL CONTROLS</t>
  </si>
  <si>
    <t>SOLAR SYSTEMS</t>
  </si>
  <si>
    <t>http://www.ghtprecision.com/</t>
  </si>
  <si>
    <t>Gilson SAS France</t>
  </si>
  <si>
    <t>SPECIALIZED EQUIP</t>
  </si>
  <si>
    <t>SPECIALIZED EQUIP,LIQUID HANDLING, PIPETTES, BENCHTOP DEVICES, LAB EQUIPMENTS</t>
  </si>
  <si>
    <t>11Mar2016 rating changed from critical to critical traceable</t>
  </si>
  <si>
    <t>https://heuch.com.au/</t>
  </si>
  <si>
    <t>Heuch Pty Ltd</t>
  </si>
  <si>
    <t>SPECIALIZED EQUIP,REFRIGERATION</t>
  </si>
  <si>
    <t>https://hp-ne.com/</t>
  </si>
  <si>
    <t>High Purity New England</t>
  </si>
  <si>
    <t>SPECIALIZED EQUIP,BIOLOGICAL</t>
  </si>
  <si>
    <t>Air dust purification equipment</t>
  </si>
  <si>
    <t>https://secure.johnbarry.com.au/</t>
  </si>
  <si>
    <t>John Barry Group Pty Ltd</t>
  </si>
  <si>
    <t>SPECIALIZED EQUIP,AUDIO, VIDEO EQUIPMENT</t>
  </si>
  <si>
    <t>Email re ISO 9001 sent on 11 July 2022 (follow up July 19)</t>
  </si>
  <si>
    <t>https://steritech.com.au/</t>
  </si>
  <si>
    <t>Steritech (QLD)</t>
  </si>
  <si>
    <t>SPECIALIZED EQUIP,STERILIZATION</t>
  </si>
  <si>
    <t>26NOV2018: Restricted due to distributor. ISO certificate provided for XP power products. DC power supplies, inverters, UPS systems and smart chargers. 19APR2022: Supplier recategorised as Critical.  04Aug2023 PIPL Code Added as requested by 582-Bootcamp</t>
  </si>
  <si>
    <t>https://www.aaeon.com/</t>
  </si>
  <si>
    <t>AAEON Technology Inc</t>
  </si>
  <si>
    <t xml:space="preserve">SPECIALIZED EQUIP,IOT, EMBEDDED BOARDS, AI SOLUTIONS, COMPUTING SYSTEMS, </t>
  </si>
  <si>
    <t>26NOV2018: Restricted due to distributor. ISO certificate provided for XP power products. DC power supplies, inverters, UPS systems and smart chargers.  19APR2022: Supplier recategorised as Critical.</t>
  </si>
  <si>
    <t>https://digitalvar.com/</t>
  </si>
  <si>
    <t>Digitalvar Inc</t>
  </si>
  <si>
    <t>SPECIALIZED EQUIP,OEM COMPUTING  PRODUCTS</t>
  </si>
  <si>
    <t>Industrial refrigeration and solar producsts</t>
  </si>
  <si>
    <t>Gilson Inc</t>
  </si>
  <si>
    <t xml:space="preserve">one-off purchase on behalf of a client </t>
  </si>
  <si>
    <t>https://binacapumps.com/</t>
  </si>
  <si>
    <t>Binaca Products Inc.</t>
  </si>
  <si>
    <t>SPECIALIZED EQUIP,PERISTALTIC PUMPS, DIAPHRAGM PUMPS, AIR &amp; GAS PUMPS, LIQUID PUMPS</t>
  </si>
  <si>
    <t>Shielding material</t>
  </si>
  <si>
    <t>https://www.klcintl.com/</t>
  </si>
  <si>
    <t>Guangzhou KLC Cleantech Co Ltd</t>
  </si>
  <si>
    <t>SPECIALIZED EQUIP,FILTERS, CLEAN ROOMS</t>
  </si>
  <si>
    <t>Email re ISO 9001 sent on 07 Sep 2022. LEMO branded connectors</t>
  </si>
  <si>
    <t>Steritech Pty Ltd</t>
  </si>
  <si>
    <t>Electrical design contractors for PCB</t>
  </si>
  <si>
    <t>https://bio-sonix.com/</t>
  </si>
  <si>
    <t>Biosonix LLC</t>
  </si>
  <si>
    <t>SPECIALIZED EQUIP,ULTRASONIC TRANSDUCERS</t>
  </si>
  <si>
    <t>https://www.coolgear.com/</t>
  </si>
  <si>
    <t>Coolgear Inc</t>
  </si>
  <si>
    <t>SPECIALIZED EQUIP,CONSUMER CABLES</t>
  </si>
  <si>
    <t>https://www.altrasonic.com/</t>
  </si>
  <si>
    <t>Hanzhou Ultrasonic (Nanjing Hanzhou Technologie)</t>
  </si>
  <si>
    <t xml:space="preserve">ISO certificate is for manufacturer FSP. Switching power supplies. </t>
  </si>
  <si>
    <t>https://dienerprecisionpumps.com/</t>
  </si>
  <si>
    <t>Diener Precision Pumps Inc</t>
  </si>
  <si>
    <t xml:space="preserve">SPECIALIZED EQUIP,METERING PUMPS, GEAR PUMPS, </t>
  </si>
  <si>
    <t>SPECIALIZED EQUIP,LORAWAN,3G/4G/NBIOT CELLULAR SOLUTIONS,ETHERNET CONNECTIVITY,WIFI / AP / ROUTER,BLUETOOTH,GPS RECEIVER,POWER SUPPLY, BATTERY,RF CABLE &amp; ANTENNA,USB CONNECTIVITY</t>
  </si>
  <si>
    <t>26Jul2017 evaluation maintained as critical traceable
19Feb2015 rating maintained as critical traceable
28May2014 rating changed from Critical to Critical Traceable
1May2014: rated critical_x000D_</t>
  </si>
  <si>
    <t>https://www.heliosps.com.au/</t>
  </si>
  <si>
    <t>Helios Power Solutions</t>
  </si>
  <si>
    <t>SPECIALIZED EQUIP,IT, ELECTRONICS</t>
  </si>
  <si>
    <t>https://hollandshielding.com/</t>
  </si>
  <si>
    <t>Holland Shielding Systems B.V.</t>
  </si>
  <si>
    <t>SPECIALIZED EQUIP,EMI SHIELDS</t>
  </si>
  <si>
    <t>https://www.trumpower.com/</t>
  </si>
  <si>
    <t>Tumbler Technologies (TrumPower)</t>
  </si>
  <si>
    <t>SPECIALIZED EQUIP,POWER SUPPLY</t>
  </si>
  <si>
    <t>Sorbothane Australia is managed by Madison Sport.</t>
  </si>
  <si>
    <t>http://little-ants.com.au/</t>
  </si>
  <si>
    <t>Little-Ants Tech Pty Ltd</t>
  </si>
  <si>
    <t>SPECIALIZED EQUIP,ANTENNAS</t>
  </si>
  <si>
    <t>http://www.idtracon.com.au/</t>
  </si>
  <si>
    <t>Idtracon Pty Ltd</t>
  </si>
  <si>
    <t>SPECIALIZED EQUIPMENT</t>
  </si>
  <si>
    <t>SPECIALIZED EQUIPMENT,RFID TAGS</t>
  </si>
  <si>
    <t>14May2019: Rating changed to restrited because Bell Springs no longer have ISO certificate</t>
  </si>
  <si>
    <t>https://www.aicompanies.com/</t>
  </si>
  <si>
    <t>Artel</t>
  </si>
  <si>
    <t>SPECIALTY PRODUCTS</t>
  </si>
  <si>
    <t>ANALYTICAL INSTRUMENTS,BIOPROCESSING OSMOMETERS,CLINICAL OSMOMETERS,CELL LINE DEVELOPMENT,ARTEL LIQUID HANDLING VERIFICATION,ANAEROBIC JAR SYSTEMS,CSF CELL COUNTER,BILIRUBIN TESTING,DAIRY TESTING</t>
  </si>
  <si>
    <t>https://kaman.com/</t>
  </si>
  <si>
    <t>KAMAN INDUSTRIAL TECHNOLOGIES</t>
  </si>
  <si>
    <t>HIGH PRECISION BEARINGS, TITANIUM DIFFUSION HARDENING, COMPOSITE STRUCTURES, SEALS, SPRINGS, AND CONTACTS</t>
  </si>
  <si>
    <t>https://mocap.com/</t>
  </si>
  <si>
    <t>MOCAP</t>
  </si>
  <si>
    <t>PLASTIC CAPS</t>
  </si>
  <si>
    <t>https://www.cospheric.com/</t>
  </si>
  <si>
    <t>COSPHERIC LLC</t>
  </si>
  <si>
    <t>SPHERICAL PARTICLES</t>
  </si>
  <si>
    <t>GLASS SPHERES AND MICROSPHERES
POLYMER SPHERES AND MICROSPHERES
CERAMIC SPHERES AND MICROSPHERES
METAL SPHERES AND MICROSPHERES
METAL-COATED MICROSPHERES</t>
  </si>
  <si>
    <t>https://madisonsport.com.au/</t>
  </si>
  <si>
    <t>Madison Sport Pty Ltd</t>
  </si>
  <si>
    <t>SPORTING</t>
  </si>
  <si>
    <t>https://www.asraymond.com/</t>
  </si>
  <si>
    <t>ASSOCIATED SPRING RAYMOND</t>
  </si>
  <si>
    <t>SPRINGS</t>
  </si>
  <si>
    <t>PRODUCTS
COUNTERBALANCE
COMPRESSION SPRINGS
REDUCIBLE FORCE SPRINGS
LOCK IN PLACE SPRINGS
ADDED PERFORMANCE
TRACTION SPRINGS
CORROSION RESISTANT
MECHANICAL WIRE SPRINGS
COMPRESSION SPRINGS
EXTENSION SPRINGS
TORSION SPRINGS
HEAVY DUTY COMPRESSION SPRINGS
CONICAL COMPRESSION SPRINGS
MULTI-WAVE COMPRESSION SPRINGS
SPRING WASHER
BELLEVILLES
DIN DISCS
BEARING MATCHED DISCS
FINGER AND CLOVER
CURVED AND WAVE
SPLITS AND OVERLAPS
DIE SPRINGS
US STANDARD INCH
ISO-10243 STANDARD
ISO D-LINE SERIES
JIS STANDARD
NITROGEN DIE SPRINGS
SPEED REDUCERS
STANDARD INCH SHOCK ABSORBER
METRIC SHOCK ABSORBER
MOUNTING HARDWARE
MOUNTING HARDWARE ACCESSORIES
MOUNTING BRACKET HARDWARE
PINS &amp; RINGS HARDWARE
BALL STUD HARDWARE
END-FITTING HARDWARE</t>
  </si>
  <si>
    <t>https://www.bellsprings.com.au/</t>
  </si>
  <si>
    <t>Bell Springs Pty Ltd</t>
  </si>
  <si>
    <t>https://centurysprings.com.au/</t>
  </si>
  <si>
    <t>CENTURY SPRING CORP</t>
  </si>
  <si>
    <t>http://www.asisprings.com.au/</t>
  </si>
  <si>
    <t>Industrial Products of Australia (ASI Springs)</t>
  </si>
  <si>
    <t>SPRINGS,COMPRESSION SPRINGS, EXTENSION SPRINGS, DISK SPRINGS, WASHERS</t>
  </si>
  <si>
    <t>Supplier supplies customs spring for Flatland front door.</t>
  </si>
  <si>
    <t>https://www.leespring.de/en</t>
  </si>
  <si>
    <t>LEE SPRING</t>
  </si>
  <si>
    <t xml:space="preserve">COMPRESSION SPRINGS _x000D_
COMPRESSION SPRING _x000D_
EXTENSION SPRINGS _x000D_
TORSION SPRINGS _x000D_
HEFTY™ DIE SPRINGS_x000D_
REDUX WAVE SPRING _x000D_
_x000D_
VIEW PRODUCTS AND PRICING_x000D_
_x000D_
_x000D_
_x000D_
LEEP™ PLASTIC COMPOSITE SPRINGS_x000D_
_x000D_
LEEP PLASTIC SPRING _x000D_
_x000D_
VIEW PRODUCTS AND PRICING_x000D_
_x000D_
_x000D_
_x000D_
BELLEVILLE WASHERS _x000D_
_x000D_
BELLEVILLE WASHER_x000D_
_x000D_
VIEW PRODUCTS AND PRICING_x000D_
_x000D_
_x000D_
_x000D_
CONSTANT FORCE _x000D_
_x000D_
CONSTANT FORCE SPRING _x000D_
_x000D_
VIEW PRODUCTS AND PRICING_x000D_
_x000D_
_x000D_
_x000D_
_x000D_
BATTERY SPRINGS _x000D_
_x000D_
BATTERY SPRING _x000D_
_x000D_
VIEW PRODUCTS AND PRICING_x000D_
_x000D_
_x000D_
_x000D_
CONTINUOUS LENGTH EXTENSION SPRINGS_x000D_
_x000D_
CONTINUOUS LENGTH EXTENSION SPRING_x000D_
_x000D_
VIEW PRODUCTS AND PRICING_x000D_
_x000D_
MIL-SPEC COMPRESSION SPRING _x000D_
MIL-SPEC MS24586 </t>
  </si>
  <si>
    <t>Manufacturer certificate for Tech-Etch expires 13Oct2022</t>
  </si>
  <si>
    <t>https://www.leespring.com/</t>
  </si>
  <si>
    <t>Lee Spring Limited</t>
  </si>
  <si>
    <t>25May2021: We have just finished the IATF 16949 auditing last week, and haven’t got it. Still in processing</t>
  </si>
  <si>
    <t>Lee Spring Company LLC [USD]</t>
  </si>
  <si>
    <t>18Feb2021: IATF16949 cert will be provided once the new audit is completed. (refer to e-mail comm)</t>
  </si>
  <si>
    <t>https://www.springmanufacturer.com/</t>
  </si>
  <si>
    <t>R/D SPRING AND STAMPING, INC.</t>
  </si>
  <si>
    <t>https://www.smalley.com/</t>
  </si>
  <si>
    <t>SMALLEY STEEL RING COMPANY</t>
  </si>
  <si>
    <t>RSPRINGS, RETAINING RINGS</t>
  </si>
  <si>
    <t>Laboratory Standards</t>
  </si>
  <si>
    <t>https://superiorspring.com/</t>
  </si>
  <si>
    <t>SUPERIOR SPRING COMPANY</t>
  </si>
  <si>
    <t>https://whelanssprings.weebly.com/</t>
  </si>
  <si>
    <t>Whelan's Spring</t>
  </si>
  <si>
    <t>https://clsi.org/</t>
  </si>
  <si>
    <t>Clinical and Laboratory Standards Institute (CLSI)</t>
  </si>
  <si>
    <t>STANDARDS</t>
  </si>
  <si>
    <t xml:space="preserve">STANDARDS,PHARMACEUTICAL STANDARD, ISO STANDARD, QMS STANDARD, POINT OF CARE TESTING STANDARD, </t>
  </si>
  <si>
    <t>Supplier for ondemand online training provider. Online ISO13485:2016 &amp; ISO9001:2015 Lead Auditor training.</t>
  </si>
  <si>
    <t>https://www.ipc.org/</t>
  </si>
  <si>
    <t>IPC</t>
  </si>
  <si>
    <t>GLOBAL ASSOCIATION FOR ELECTRONICS MANUFACTURERS</t>
  </si>
  <si>
    <t>https://global.ihs.com/</t>
  </si>
  <si>
    <t>IHS (FORMERLY IHS GLOBAL INC.)</t>
  </si>
  <si>
    <t>ISO 
SAE
ASME 
DIN 
E.V.AWS
IPC
CSA</t>
  </si>
  <si>
    <t>https://www.sae.org/</t>
  </si>
  <si>
    <t>SAE International</t>
  </si>
  <si>
    <t>https://pharmequip.com.au/</t>
  </si>
  <si>
    <t>PharmEquip Pty Ltd</t>
  </si>
  <si>
    <t>STERILE EQUIPMENT</t>
  </si>
  <si>
    <t>TEFLON (PTFE) HOSES
HIGH PURITY SILICONE HOSES
FOOD &amp; BEVERAGE HOSES
CLAMPS &amp; FITTINGS
STAINLESS STEEL TUBING
GASKETS &amp; O RINGS
PUMPS &amp; HEAT EXCHANGERS
VALVES
GMP EQUIPMENT</t>
  </si>
  <si>
    <t>Qosina Corporation (US)</t>
  </si>
  <si>
    <t>STERILI COMPONENTS</t>
  </si>
  <si>
    <t>https://www.bluelineeto.com/</t>
  </si>
  <si>
    <t>Blueline Sterilization Services LLC</t>
  </si>
  <si>
    <t>STERILIZATION</t>
  </si>
  <si>
    <t>https://www.mobilemini.com/</t>
  </si>
  <si>
    <t>Mobile Mini Storage Solutions</t>
  </si>
  <si>
    <t>STORAGE</t>
  </si>
  <si>
    <t>https://www.royaldistributorsinc.com/</t>
  </si>
  <si>
    <t>ROYAL DISTRIBUTORS, INC</t>
  </si>
  <si>
    <t>SWITCHES</t>
  </si>
  <si>
    <t>FOOTSWITCHES
HAND CONTROLS
PRESSURE &amp; VACUUM SWITCHES
PCB SWITCHES
AIR SWITCHES
PUSH BUTTONS
SENSORS
SWITCH ACCESSORIES</t>
  </si>
  <si>
    <t>http://www.thermotex.at/</t>
  </si>
  <si>
    <t>HTS Thermotex Gmbh</t>
  </si>
  <si>
    <t>THERMAL CONTROL</t>
  </si>
  <si>
    <t>https://www.insulfab.net/</t>
  </si>
  <si>
    <t>Insul-Fab</t>
  </si>
  <si>
    <t>THERMAL &amp; ACOUSTIC INSULATION SOLUTIONS
THERMAL INSULATION SOLUTIONS
ACOUSTIC &amp; NOISE SOLUTIONS
ELECTROMECHANICAL SOLUTIONS
FABRICATED PLASTIC SOLUTIONS
FABRICATED FOAM &amp; RUBBER
SPECIALTY TAPE SOLUTIONS
GASKETING TAPES
BONDING TAPES
LAMINATING ADHESIVES
CONDUCTIVE TAPES</t>
  </si>
  <si>
    <t>https://www.birkmfg.com/</t>
  </si>
  <si>
    <t>Birk Manufacturing Inc</t>
  </si>
  <si>
    <t>THERMAL HEATERS</t>
  </si>
  <si>
    <t>THERMAL HEATERS,FLEXIBLE HEATERS,HIGH TEMPERATURE HEATING ELEMENT,CARTRIDGE HEATER,KAPTON® HEATING SOLUTIONS,SILICONE RUBBER HEATING SYSTEMS,MICA INSULATED HEATING ELEMENTS AND SYSTEMS,BUTYL RUBBER HEATING SOLUTIONS,TEMPERATURE SENSORS,BARE ELEMENT,RTD SENSORS,THERMOCOUPLE SENSORS,BOLT-ON TEMPERATURE SENSORS,RTD HIGH TEMPERATURE PROBES,SURFACE MOUNT SENSORS,CUSTOMIZED SENSOR SOLUTIONS</t>
  </si>
  <si>
    <t>to be re-assesed if going to be used in PIPP</t>
  </si>
  <si>
    <t>Phoenix Thermal</t>
  </si>
  <si>
    <t>THERMAL SUPPLIES</t>
  </si>
  <si>
    <t>HEATERS
PRESSURE SENSORS TRANSDUCER
SENSORS
MULTI-ZONE CONTROLLER WATLOW EZ-ZONE RM
TEMPERATURE AND PROCESS CONTROLS
THERMOCOUPLE HARDWARE
ACCESSORIES</t>
  </si>
  <si>
    <t>https://temperature.com.au/</t>
  </si>
  <si>
    <t>Temperature Controls Pty Ltd</t>
  </si>
  <si>
    <t>Supplier for 483 - Rhoid a simple equipment tool that RS component does not have in stock</t>
  </si>
  <si>
    <t>https://www.dme.net/</t>
  </si>
  <si>
    <t>DME COMPANY LLC</t>
  </si>
  <si>
    <t>TOOLING COMPONENTS</t>
  </si>
  <si>
    <t>https://www.crimptech.com.au/</t>
  </si>
  <si>
    <t>Crimp-Tech Australia</t>
  </si>
  <si>
    <t>TOOLS</t>
  </si>
  <si>
    <t>TOOLS,BACKSHELL TOOLING,BANDING TOOLS,BATTERY CRIMP TOOLS,CONNECTORS ,CRIMP TOOL GAUGES,CUTTING &amp; STRIPPING TOOLS,DMC TOOL KITS,HAND CRIMP TOOLS,HARTING TOOL KITS,HEAT GUNS,HYDRAULIC CRIMP TOOLS,INSERTION/REMOVAL TOOLS,LACELOK®,MISC TOOLS,PNEUMATIC CRIMP TOOLS,SAFE-T-CABLE,TERMINALS,TEST EQUIPMENT,TORQUE WRENCHES</t>
  </si>
  <si>
    <t>https://www.eptac.com/</t>
  </si>
  <si>
    <t>EPTAC CORPORATION</t>
  </si>
  <si>
    <t>TRAINING</t>
  </si>
  <si>
    <t>ELECTRONICS MANUFACTURING, SOLDERING</t>
  </si>
  <si>
    <t>Approval applies to Project Titan use only. Supplier to provide translation services from Japanese to English. For other projects, refer to IDEM Translations.</t>
  </si>
  <si>
    <t>https://www.pyzdekinstitute.com/</t>
  </si>
  <si>
    <t>Pyzdek Institute</t>
  </si>
  <si>
    <t>SIX SIGMA</t>
  </si>
  <si>
    <t>https://www.chincommunications.com.au/</t>
  </si>
  <si>
    <t>Chin Communications</t>
  </si>
  <si>
    <t>TRANSLATIONS</t>
  </si>
  <si>
    <t>ADMIN SERVICES,TRANSLATIONS</t>
  </si>
  <si>
    <t>https://www.2m.com.au/</t>
  </si>
  <si>
    <t>2M Communications Pty Ltd</t>
  </si>
  <si>
    <t>TRANSLATIONS, INTERPRETERS</t>
  </si>
  <si>
    <t>TRANSLATIONS, INTERPRETERS,TRANSLATIONS, INTERPRETERS</t>
  </si>
  <si>
    <t>https://penske.com.au/</t>
  </si>
  <si>
    <t>Penske Truck Rental</t>
  </si>
  <si>
    <t>TRUCK RENTAL</t>
  </si>
  <si>
    <t>Kellys Gang (The Kelly Dowie Family Trust)</t>
  </si>
  <si>
    <t>TRUST</t>
  </si>
  <si>
    <t>https://tubebender.com/</t>
  </si>
  <si>
    <t>B &amp; E Enterprises, Inc</t>
  </si>
  <si>
    <t>TUBE BENDING</t>
  </si>
  <si>
    <t>https://www.exaltcustomtubing.com/</t>
  </si>
  <si>
    <t>Extrusion Alternatives Inc</t>
  </si>
  <si>
    <t>TUBING</t>
  </si>
  <si>
    <t>TUBING,FLUID DELIVERY &amp; AIR ADMINISTRATION TUBING,MICROBORE AND IV TUBING,NEEDLE &amp; INSTRUMENT POINT PROTECTORS, GUIDEWIRE DISPENSER TUBING &amp; PROTECTIVE SHEATHING, IN-LINE PRINTED TUBING,</t>
  </si>
  <si>
    <t>https://www.minitubes.com/</t>
  </si>
  <si>
    <t>MINITUBES</t>
  </si>
  <si>
    <t>https://componentsupplycompany.com/</t>
  </si>
  <si>
    <t>Component Supply Company</t>
  </si>
  <si>
    <t>https://sunliteplastics.com/</t>
  </si>
  <si>
    <t>Sunlite Plastics Inc</t>
  </si>
  <si>
    <t>https://optel.eu/</t>
  </si>
  <si>
    <t>PBP Optel sp. z.o.o.</t>
  </si>
  <si>
    <t>ULTRASONIC EQUIPMENT</t>
  </si>
  <si>
    <t>POLAND</t>
  </si>
  <si>
    <t>https://rps-sonic.en.made-in-china.com/</t>
  </si>
  <si>
    <t>Hang Zhou LanBen Trade Co. Ltd (RPS Sonic)</t>
  </si>
  <si>
    <t>ULTRASONIC TRANSDUCERS</t>
  </si>
  <si>
    <t>Ultrasonic Advisors, LLC</t>
  </si>
  <si>
    <t>Whole Slide Imaging System Image Acceptability Study</t>
  </si>
  <si>
    <t>https://www.emerson.com/</t>
  </si>
  <si>
    <t>Branson Ultrasonics Corp.</t>
  </si>
  <si>
    <t>ULTRASONIC WELDING</t>
  </si>
  <si>
    <t xml:space="preserve">25Nov2020: Consulting Services for Usability Engineering </t>
  </si>
  <si>
    <t>https://monashhealth.org/</t>
  </si>
  <si>
    <t>Monash Health</t>
  </si>
  <si>
    <t>UNIVERSITY</t>
  </si>
  <si>
    <t>https://sentosolutions.com.au/</t>
  </si>
  <si>
    <t>Sento Solutions</t>
  </si>
  <si>
    <t>USABILITY ENGINEERING</t>
  </si>
  <si>
    <t>https://www.minivalve.com/</t>
  </si>
  <si>
    <t>Minivalve International</t>
  </si>
  <si>
    <t>VALVES</t>
  </si>
  <si>
    <t xml:space="preserve">VALVES, DUCKBILL VALVES ONE-WAY VALVES _x000D_
UMBRELLA VALVES TWO-WAY VALVES _x000D_
UMBR/DUCK COMBINATION VALVES THREE-WAY VALVES _x000D_
CROSS SLIT VALVES VENT AND RELIEF VALVES _x000D_
DOME VALVES HEAD PRESSURE VALVES _x000D_
VALVE BALLS PORT VALVES _x000D_
</t>
  </si>
  <si>
    <t>https://www.okeefecontrols.com/</t>
  </si>
  <si>
    <t>O'Keefe Controls Co</t>
  </si>
  <si>
    <t>Technical writing (User Manuals and other technical documentation)</t>
  </si>
  <si>
    <t>https://millionmonkeys.com/</t>
  </si>
  <si>
    <t>Million Monkeys</t>
  </si>
  <si>
    <t>VENTURE CAPITALISTS</t>
  </si>
  <si>
    <t>https://www.audaxgroup.com/</t>
  </si>
  <si>
    <t>Audax Inc.</t>
  </si>
  <si>
    <t>https://adityakpharma.com/</t>
  </si>
  <si>
    <t>Aditya Pharma</t>
  </si>
  <si>
    <t>VETERINARY FEEDS</t>
  </si>
  <si>
    <t>518-Opus Shock and Vibration products manufacturer</t>
  </si>
  <si>
    <t>https://www.gelmec.co.uk/</t>
  </si>
  <si>
    <t>Gelmec Pty Ltd</t>
  </si>
  <si>
    <t>VIBRATION CONTROL</t>
  </si>
  <si>
    <t>PI will approve supplier for one off supply. Purchasing/ Finance can deactivate after the order is placed, and then mark them as "N" in the register so that future projects don't use them.</t>
  </si>
  <si>
    <t>https://www.sorbothane.com/</t>
  </si>
  <si>
    <t>Sorbothane Inc</t>
  </si>
  <si>
    <t>https://www.mecanocaucho.com/</t>
  </si>
  <si>
    <t>AMC Mecanocaucho</t>
  </si>
  <si>
    <t>VIBRATIONS MANAGEMENT</t>
  </si>
  <si>
    <t>ANTI-VIBRATION PRODUCTS,VIBRATION ISOLATORS, ACOUSTIC HANGERS, SPRING MOUNTS, SOUND INSULATION
RUBBER METAL VIBRATION ISOLATORS
AKUSTIK AKUSTIK
AKUSTIK + SYLOMER® AKUSTIK + SYLOMER®
VIBRABSORBER VIBRABSORBER
AKUSTIKABSORBER AKUSTIKABSORBER
DISPLAYS DISPLAYS
WIND TURBINES WIND TURBINES</t>
  </si>
  <si>
    <t>https://www.radarenvironmental.com/</t>
  </si>
  <si>
    <t>Radar Enviromental</t>
  </si>
  <si>
    <t>WASTE MANAGEMENT</t>
  </si>
  <si>
    <t>https://enviroserve.com/</t>
  </si>
  <si>
    <t>WASTE MANAGEMENT/WM ENVIROSERV</t>
  </si>
  <si>
    <t>https://www.cirbasolutions.com/</t>
  </si>
  <si>
    <t>Battery Solutions (Cirba Solutions)</t>
  </si>
  <si>
    <t xml:space="preserve">SERVICES
ELECTRIC VEHICLE SERVICE
BATTERY  ADVANCED SORTING
BATTERY DEINSTALLATION
BATTERY MAINTENANCE
BATTERY INVENTORY MANAGEMENT &amp; DISTRIBUTION
BATTERY DISASSEMBLY
BATTERY FULFILLMENT
PROJECT MANAGEMENT
</t>
  </si>
  <si>
    <t>25Sep2020: Remove from register. Elecom is their distributor in Australia which is already an approved supplier.</t>
  </si>
  <si>
    <t>https://puretecwater.com/</t>
  </si>
  <si>
    <t>PURETEC INDUSTRIAL WATER</t>
  </si>
  <si>
    <t>WATER TREATMENT</t>
  </si>
  <si>
    <t xml:space="preserve">ION EXCHANGE
ZERO LIQUID DISCHARGE &amp; NO ONSITE CHEMICALS
REVERSE OSMOSIS SYSTEM
</t>
  </si>
  <si>
    <t>Communication antenna for electronic production.
Sent an email re ISO9001 certification on 28/06/22</t>
  </si>
  <si>
    <t>https://www.antenova.com/</t>
  </si>
  <si>
    <t>Antenova</t>
  </si>
  <si>
    <t>WIRELESS SOLUTIONS</t>
  </si>
  <si>
    <t>ANTENNAS,
RF MODULES, GNSS GPS MODULES, RF CONNECTORS</t>
  </si>
  <si>
    <t>https://www.bobbintron.com/</t>
  </si>
  <si>
    <t>Bobbintron Electronics</t>
  </si>
  <si>
    <t>ANTENNAS,
CONNECTOR
ANTENNA
PSU
PLASTIC MOLDING
EMS (ELECTRONIC MANUFACTURING SERVICES) TESTING</t>
  </si>
  <si>
    <t>RF antenna, connectors and cable assembly</t>
  </si>
  <si>
    <t>https://www.data-alliance.net/</t>
  </si>
  <si>
    <t>Data Alliance Inc</t>
  </si>
  <si>
    <t>ANTENNAS
ANTENNA CABLES
BNC CABLES &amp; ADAPTERS FOR WIRELESS
FAKRA CABLES &amp; ADAPTERS
FME CABLES &amp; ADAPTERS
MHF SERIES: MHF1 MHF3 MHF4
MMCX &amp; MCX CABLES &amp; ADAPTERS
N CABLES &amp; ADAPTERS
RP-SMA CABLES &amp; ADAPTERS
SMA CABLES &amp; ADAPTERS
RP-TNC CABLES &amp; ADAPTERS
U.FL CABLES &amp; ADAPTERS
W.FL CABLES TO ALL CONNECTOR TYPES
GPS ANTENNA CABLES
NMO CABLES &amp; ADAPTERS | MABO
TNC CABLES &amp; ADAPTERS
ANTENNA CONNECTORS WEATHERPROOFING
WITH MAGNETIC BASE
TOOLS FOR ANTENNA CABLES
TS-9 CABLES
DIN &amp; MINI-DIN ADAPTERS &amp; CABLES
SMP CABLES
ADAPTERS FOR ANTENNA CABLES
ANTENNAS
BNC CABLES FOR AUDIO VIDEO
BANDPASS FILTERS
ENCLOSURES - WEATHERPROOF
ETHERNET CABLES &amp; FIBER
LIGHTNING SURGE PROTECTORS
LORA / LORAWAN GEAR
MOUNTS FOR ANTENNAS &amp; GEAR
POE POWER ADAPTERS
SIGNAL BOOSTERS
ROUTERS APS BRIDGES
WATERPROOF / WEATHERPROOF
USB CABLES &amp; ADAPTERS
WIRELESS ADAPTERS &amp; PCIE CARDS
PRODUCTS ABOUT DATA ALLIANCE CUSTOMIZED CABLES &amp; ANTENNAS YOUR RELIABLE VIRTUAL WAREHOUSE
LTE ANTENNAS 4G 5G	DUAL BAND ANTENNAS	COMBINATION ANTENNAS LTE GPS WIFI BLUETOOTH 4G 3G	MAGNETIC ANTENNA MOUNTS
BLUETOOTH ANTENNAS	VEHICLE ANTENNAS	THROUGH-HOLE ANTENNA MOUNTS	LORAWAN ANTENNAS, ANTENNA MOUNTS, AND ANTENNA CABLES
2.4GHZ ANTENNAS	ZIGBEE ANTENNAS 2.4GHZ	GPS ANTENNAS	POE INJECTOR
ANTENNAS 900MHZ	LIGHTNING SURGE ARRESTORS FOR ANTENNAS	ENCLOSURE GLANDS	TOP WIRELESS TIPS
L-MOUNTS FOR ANTENNAS
ROOF MOUNTS FOR ANTENNAS
DATA ALLIANCE IS AN AMERICAN COMPANY BASED IN ARIZONA, USA
HELIUM ANTENNA CABLES
ADHESIVE MOUNT ANTENNAS</t>
  </si>
  <si>
    <t>https://www.joymax.com.tw/</t>
  </si>
  <si>
    <t>Joymax Electronics Co. Ltd</t>
  </si>
  <si>
    <t>ANTENNAS
CELLULAR ANTENNAS
SUB-1 GHZ LPWA &amp; ISM ANTENNAS
WIFI/WLAN ANTENNAS
2.4GHZ ISM ANTENNAS
GNSS ANTENNAS
MIMO ANTENNA
RF CONNECTORS
CABLE ASSEMBLIES</t>
  </si>
  <si>
    <t>https://he-equipment.com/</t>
  </si>
  <si>
    <t>H &amp; E Equipment</t>
  </si>
  <si>
    <t>WORKING EQUIPMENT RENTAL</t>
  </si>
  <si>
    <t>https://www.carlisleit.com/</t>
  </si>
  <si>
    <t>Carlisle Medical Technologies LLC</t>
  </si>
  <si>
    <t>Chemiko Pty Ltd</t>
  </si>
  <si>
    <t>Compliance Online</t>
  </si>
  <si>
    <t>GLOBAL INDUSTRIAL</t>
  </si>
  <si>
    <t>INSTRUMENT ENGINEERS</t>
  </si>
  <si>
    <t>IRON MOUNTAIN</t>
  </si>
  <si>
    <t>Laboratory Systems Group</t>
  </si>
  <si>
    <t>Online Components</t>
  </si>
  <si>
    <t>Promepla Sam</t>
  </si>
  <si>
    <t>QUICK SIGNS</t>
  </si>
  <si>
    <t>R.S. Hughes</t>
  </si>
  <si>
    <t>Signal+Power</t>
  </si>
  <si>
    <t>Stockwell Elastomerics Inc</t>
  </si>
  <si>
    <t>TCI Manufacturing Inc - Wescon USA</t>
  </si>
  <si>
    <t>TDM PROPERTIES, LLC</t>
  </si>
  <si>
    <t>TE Technology Inc</t>
  </si>
  <si>
    <t>Thailand</t>
  </si>
  <si>
    <t>PCBA</t>
  </si>
  <si>
    <t>Product Lifecycle</t>
  </si>
  <si>
    <t>(All)</t>
  </si>
  <si>
    <t>Row Labels</t>
  </si>
  <si>
    <t>Aidan-PIPL</t>
  </si>
  <si>
    <t>ANDHealth</t>
  </si>
  <si>
    <t>Antman</t>
  </si>
  <si>
    <t>Archimedes</t>
  </si>
  <si>
    <t>Belle-PIPL</t>
  </si>
  <si>
    <t>Belovio</t>
  </si>
  <si>
    <t>Bison - Sustaining Engineering</t>
  </si>
  <si>
    <t>Bootcamp</t>
  </si>
  <si>
    <t>BRADX</t>
  </si>
  <si>
    <t>Canary</t>
  </si>
  <si>
    <t>Echo</t>
  </si>
  <si>
    <t>Emerald</t>
  </si>
  <si>
    <t>Firefly</t>
  </si>
  <si>
    <t>Flair-Up</t>
  </si>
  <si>
    <t>Flatland</t>
  </si>
  <si>
    <t>GenX</t>
  </si>
  <si>
    <t>Huron Development</t>
  </si>
  <si>
    <t>Hydra</t>
  </si>
  <si>
    <t>Jenny Lake</t>
  </si>
  <si>
    <t>Jupiter</t>
  </si>
  <si>
    <t>Levi EOS Thermal Core</t>
  </si>
  <si>
    <t>Levi Support OC</t>
  </si>
  <si>
    <t>Lexi</t>
  </si>
  <si>
    <t>Limpet</t>
  </si>
  <si>
    <t>Lumos Diagnostics</t>
  </si>
  <si>
    <t>Minty</t>
  </si>
  <si>
    <t>Mystique</t>
  </si>
  <si>
    <t>Nectar</t>
  </si>
  <si>
    <t>Obtineo</t>
  </si>
  <si>
    <t>Opus</t>
  </si>
  <si>
    <t>Pachoonga</t>
  </si>
  <si>
    <t>Pedestal</t>
  </si>
  <si>
    <t>Porus</t>
  </si>
  <si>
    <t>Puffin</t>
  </si>
  <si>
    <t>Regen-PIPL</t>
  </si>
  <si>
    <t>Sanders</t>
  </si>
  <si>
    <t>Scorpion</t>
  </si>
  <si>
    <t>Sonic</t>
  </si>
  <si>
    <t>Stabilis</t>
  </si>
  <si>
    <t>Titan-PIPL</t>
  </si>
  <si>
    <t>Vitalic</t>
  </si>
  <si>
    <t>Williams</t>
  </si>
  <si>
    <t>Zeus</t>
  </si>
  <si>
    <t>(blank)</t>
  </si>
  <si>
    <t>Grand Total</t>
  </si>
  <si>
    <t>State*</t>
  </si>
  <si>
    <t>Project Code</t>
  </si>
  <si>
    <t>Project Leader/Product Manager*</t>
  </si>
  <si>
    <t>Customers</t>
  </si>
  <si>
    <t>Name</t>
  </si>
  <si>
    <t>% Complete</t>
  </si>
  <si>
    <t>Start Date*</t>
  </si>
  <si>
    <t>Due Date*</t>
  </si>
  <si>
    <t>Program Manager*</t>
  </si>
  <si>
    <t>Account Manager*</t>
  </si>
  <si>
    <t>Alignment</t>
  </si>
  <si>
    <t>Program</t>
  </si>
  <si>
    <t>Last Updated On</t>
  </si>
  <si>
    <t>Business Unit*</t>
  </si>
  <si>
    <t>Contingency Multiplier*</t>
  </si>
  <si>
    <t>Portfolios</t>
  </si>
  <si>
    <t>00329-D-4.01</t>
  </si>
  <si>
    <t>Cam Phillips</t>
  </si>
  <si>
    <t>Abbott Molecular Inc USD</t>
  </si>
  <si>
    <t>Minty Marketing 4.1</t>
  </si>
  <si>
    <t>67(?)</t>
  </si>
  <si>
    <t>Anthony White</t>
  </si>
  <si>
    <t>4: Sustaining</t>
  </si>
  <si>
    <t>Innovation</t>
  </si>
  <si>
    <t>Abbott</t>
  </si>
  <si>
    <t>00329-D-9.93</t>
  </si>
  <si>
    <t>Minty Marketing 99.3</t>
  </si>
  <si>
    <t>31(?)</t>
  </si>
  <si>
    <t>00518-D-2.2a</t>
  </si>
  <si>
    <t>Andrew Guy</t>
  </si>
  <si>
    <t>Accelerate Diagnostics</t>
  </si>
  <si>
    <t>Opus Phase 2.2a</t>
  </si>
  <si>
    <t>99</t>
  </si>
  <si>
    <t>Denis Greco</t>
  </si>
  <si>
    <t>2.2: System Verification</t>
  </si>
  <si>
    <t>Accelerate</t>
  </si>
  <si>
    <t>00518-D-2.2b</t>
  </si>
  <si>
    <t>Opus Phase 2.2b</t>
  </si>
  <si>
    <t>60</t>
  </si>
  <si>
    <t>Eduardo Vom</t>
  </si>
  <si>
    <t>00518-D-2.2c</t>
  </si>
  <si>
    <t>Opus Phase 2.2c</t>
  </si>
  <si>
    <t>65(?)</t>
  </si>
  <si>
    <t>00541-D-2.1x</t>
  </si>
  <si>
    <t>Sybille Farrell</t>
  </si>
  <si>
    <t>Akadeum Life Sciences, Inc.</t>
  </si>
  <si>
    <t>Huron Development Phase 2.1a</t>
  </si>
  <si>
    <t>85(?)</t>
  </si>
  <si>
    <t>Emily Reichart</t>
  </si>
  <si>
    <t>Mona Elkebir</t>
  </si>
  <si>
    <t>2.1: System Integration</t>
  </si>
  <si>
    <t>00541-D-2.1b</t>
  </si>
  <si>
    <t>Huron Development Phase 2.1b</t>
  </si>
  <si>
    <t>50(?)</t>
  </si>
  <si>
    <t>00387-D-3.00</t>
  </si>
  <si>
    <t>Roger Langsdon</t>
  </si>
  <si>
    <t>0(?)</t>
  </si>
  <si>
    <t>0: Initiation</t>
  </si>
  <si>
    <t>00598-D-2.1a</t>
  </si>
  <si>
    <t>Chris Simmons</t>
  </si>
  <si>
    <t>Stabilis 2.1a HF&amp;UE Support</t>
  </si>
  <si>
    <t>Sam Lanyon</t>
  </si>
  <si>
    <t>00570-D-3.0B</t>
  </si>
  <si>
    <t>Zoe Kristall</t>
  </si>
  <si>
    <t>ARES Trading S A Euro</t>
  </si>
  <si>
    <t>Athena 3.0B</t>
  </si>
  <si>
    <t>18</t>
  </si>
  <si>
    <t>Grant Hatamosa</t>
  </si>
  <si>
    <t>3: Pre-Production</t>
  </si>
  <si>
    <t>00526-D-0.0C</t>
  </si>
  <si>
    <t>Kashif Haidery</t>
  </si>
  <si>
    <t>belovio - Cost Of Sales - May - Sep 23</t>
  </si>
  <si>
    <t>00526-D-2.1C</t>
  </si>
  <si>
    <t>belovio - Dev SOW belovio TRACK</t>
  </si>
  <si>
    <t>00526-D-1.0a</t>
  </si>
  <si>
    <t>belovio MANAGER integration disc. &amp; planning</t>
  </si>
  <si>
    <t>41(?)</t>
  </si>
  <si>
    <t>1: Feasability</t>
  </si>
  <si>
    <t>00327-D-4.10</t>
  </si>
  <si>
    <t>Luke Cawley</t>
  </si>
  <si>
    <t>ASP Health Inc (AUD)</t>
  </si>
  <si>
    <t>Mystique Phase 4.1</t>
  </si>
  <si>
    <t>90(?)</t>
  </si>
  <si>
    <t>Bec Bartel</t>
  </si>
  <si>
    <t>ASP Health</t>
  </si>
  <si>
    <t>00361-D-1.3a</t>
  </si>
  <si>
    <t>Cindy Chi</t>
  </si>
  <si>
    <t>Atmo Biosciences</t>
  </si>
  <si>
    <t>Canary 2023</t>
  </si>
  <si>
    <t>26(?)</t>
  </si>
  <si>
    <t>Kelly Whiteman</t>
  </si>
  <si>
    <t>Atmo</t>
  </si>
  <si>
    <t>00567-D-0.00</t>
  </si>
  <si>
    <t>Jeremy Stimson</t>
  </si>
  <si>
    <t>Bio-Rad Laboratories (US)</t>
  </si>
  <si>
    <t>BRADX GUI Discovery &amp; Design</t>
  </si>
  <si>
    <t>85</t>
  </si>
  <si>
    <t>Michael Robards</t>
  </si>
  <si>
    <t>00535-D-2.1B</t>
  </si>
  <si>
    <t>Tomas Correa</t>
  </si>
  <si>
    <t>Emerald Phase 2.1B</t>
  </si>
  <si>
    <t>Allan Todd</t>
  </si>
  <si>
    <t>BioRad</t>
  </si>
  <si>
    <t>00606-D-1.10</t>
  </si>
  <si>
    <t>Jupiter Phase 1.1 Immersion &amp; Arch</t>
  </si>
  <si>
    <t>99(?)</t>
  </si>
  <si>
    <t>00488-D-2.2A</t>
  </si>
  <si>
    <t>Jeffrey Hughes</t>
  </si>
  <si>
    <t>Blaze Bioscience</t>
  </si>
  <si>
    <t>Scorpion Phase 2.2A</t>
  </si>
  <si>
    <t>Thomas Massarany</t>
  </si>
  <si>
    <t>00488-D-2.2B</t>
  </si>
  <si>
    <t>Scorpion Phase 2.2B</t>
  </si>
  <si>
    <t>00529-D-3.0A</t>
  </si>
  <si>
    <t>Florin Pintilie</t>
  </si>
  <si>
    <t>Epiminder</t>
  </si>
  <si>
    <t>Aidan AU deployment</t>
  </si>
  <si>
    <t>Taryn Inkster</t>
  </si>
  <si>
    <t>00529-D-2.0E</t>
  </si>
  <si>
    <t>Aidan Phase 2 Extension</t>
  </si>
  <si>
    <t>00419-D-3.10</t>
  </si>
  <si>
    <t>Equipmed</t>
  </si>
  <si>
    <t>Belle Phase 3.1</t>
  </si>
  <si>
    <t>43(?)</t>
  </si>
  <si>
    <t>Sam Harris</t>
  </si>
  <si>
    <t>00419-D-4.00</t>
  </si>
  <si>
    <t>Belle/Regen Investigation work</t>
  </si>
  <si>
    <t>00285-D-5.00</t>
  </si>
  <si>
    <t>Regen Phase 5</t>
  </si>
  <si>
    <t>91(?)</t>
  </si>
  <si>
    <t>00451-D-3.00</t>
  </si>
  <si>
    <t>Evident Corporation (AUD)</t>
  </si>
  <si>
    <t>Titan - HF Real-Use Data Capturing Package</t>
  </si>
  <si>
    <t>Sam Gason</t>
  </si>
  <si>
    <t>Troy O'Callaghan</t>
  </si>
  <si>
    <t>00451-D-4.6R</t>
  </si>
  <si>
    <t>Titan Reg 4.6 Sup. activities post FDA presub</t>
  </si>
  <si>
    <t>25(?)</t>
  </si>
  <si>
    <t>00451-D-3.2S</t>
  </si>
  <si>
    <t>Anna Magennis</t>
  </si>
  <si>
    <t>Titan Service Manual Release 2</t>
  </si>
  <si>
    <t>Lucas Renieris</t>
  </si>
  <si>
    <t>00589-D-2.1a</t>
  </si>
  <si>
    <t>Fertilis Pty Ltd</t>
  </si>
  <si>
    <t>Obtineo HF&amp;UE Support</t>
  </si>
  <si>
    <t>00196-D-4.20</t>
  </si>
  <si>
    <t>Genea Biomedx Pty Ltd</t>
  </si>
  <si>
    <t>Pedestal Stage 10.2 Product Life Cycle</t>
  </si>
  <si>
    <t>00295-D-4.60</t>
  </si>
  <si>
    <t>Haemonetics</t>
  </si>
  <si>
    <t>Antman Phase 4.6</t>
  </si>
  <si>
    <t>00435-D-4.10</t>
  </si>
  <si>
    <t>Haemonetics Corporation USD</t>
  </si>
  <si>
    <t>Porus Phase 4.1</t>
  </si>
  <si>
    <t>95</t>
  </si>
  <si>
    <t>00594-D-1.0a</t>
  </si>
  <si>
    <t>Janine Jory</t>
  </si>
  <si>
    <t>INTEGRA Biosciences Corp</t>
  </si>
  <si>
    <t>GenX CDP</t>
  </si>
  <si>
    <t>69</t>
  </si>
  <si>
    <t>Nathan Ray</t>
  </si>
  <si>
    <t>00580-D-1.00</t>
  </si>
  <si>
    <t>Levitas Bio</t>
  </si>
  <si>
    <t>33(?)</t>
  </si>
  <si>
    <t>00556-D-2.00</t>
  </si>
  <si>
    <t>David Lewsang</t>
  </si>
  <si>
    <t>Levi EOS TCM Phase 2.0</t>
  </si>
  <si>
    <t>00514-D-4.10</t>
  </si>
  <si>
    <t>Lexi Phase 4.1</t>
  </si>
  <si>
    <t>50</t>
  </si>
  <si>
    <t>00586-D-2.1b</t>
  </si>
  <si>
    <t>Mirsaeed Safari</t>
  </si>
  <si>
    <t>LumiraDX</t>
  </si>
  <si>
    <t>Sonic Phase 2.1b</t>
  </si>
  <si>
    <t>Ben Stewart-Steele</t>
  </si>
  <si>
    <t>BD</t>
  </si>
  <si>
    <t>00394-D-2.1a</t>
  </si>
  <si>
    <t>Henrico Djiuardi</t>
  </si>
  <si>
    <t>Lumos Diagnostics Inc</t>
  </si>
  <si>
    <t>Hydra Phase 2.1</t>
  </si>
  <si>
    <t>73(?)</t>
  </si>
  <si>
    <t>Lumos</t>
  </si>
  <si>
    <t>00333-D-4.02</t>
  </si>
  <si>
    <t>Lumos Diagnostics Inc (AUD)</t>
  </si>
  <si>
    <t>Lumos Support - FY24</t>
  </si>
  <si>
    <t>10</t>
  </si>
  <si>
    <t>00593-D-1.00</t>
  </si>
  <si>
    <t>Lumos Diagnostics IP Pty Ltd</t>
  </si>
  <si>
    <t>Puffin Phase 1</t>
  </si>
  <si>
    <t>84(?)</t>
  </si>
  <si>
    <t>00398-D-4.14</t>
  </si>
  <si>
    <t>Aparna Rao R</t>
  </si>
  <si>
    <t>Masterflex, LCC</t>
  </si>
  <si>
    <t>Archimedes 4.14</t>
  </si>
  <si>
    <t>00398-D-4.15</t>
  </si>
  <si>
    <t>Archimedes 4.15</t>
  </si>
  <si>
    <t>Antylia scientific</t>
  </si>
  <si>
    <t>00398-D-4.16</t>
  </si>
  <si>
    <t>Archimedes 4.16</t>
  </si>
  <si>
    <t>5</t>
  </si>
  <si>
    <t>00597-D-2.21</t>
  </si>
  <si>
    <t>Ben James</t>
  </si>
  <si>
    <t>NousQ Pte Ltd</t>
  </si>
  <si>
    <t>Echo Phase 2.2b</t>
  </si>
  <si>
    <t>32</t>
  </si>
  <si>
    <t>00540-D-0.00</t>
  </si>
  <si>
    <t>Dinesh Shanmugam</t>
  </si>
  <si>
    <t>Qorvo Biotechnologies, LLC</t>
  </si>
  <si>
    <t>Colin Potter</t>
  </si>
  <si>
    <t>5: Production</t>
  </si>
  <si>
    <t>00604-D-2.1A</t>
  </si>
  <si>
    <t>Sakura Finetek USA Inc.</t>
  </si>
  <si>
    <t>Jenny Lake Phase 2.1 Implementation</t>
  </si>
  <si>
    <t>Don Cole</t>
  </si>
  <si>
    <t>00604-D-1.0F</t>
  </si>
  <si>
    <t>Sakura Finetek USA Inc. US</t>
  </si>
  <si>
    <t>Jenny Lake Phase 1 Feasibility</t>
  </si>
  <si>
    <t>80(?)</t>
  </si>
  <si>
    <t>00524-D-1.00</t>
  </si>
  <si>
    <t>Williams Phase 1</t>
  </si>
  <si>
    <t>Sakura</t>
  </si>
  <si>
    <t>00522-D-1.20</t>
  </si>
  <si>
    <t>Slingshot Biosciences (USD)</t>
  </si>
  <si>
    <t>Pachoonga Phase 1.2 - Procure &amp; Build 4 units</t>
  </si>
  <si>
    <t>24(?)</t>
  </si>
  <si>
    <t>Nir Dvorski</t>
  </si>
  <si>
    <t>Thomas Illick</t>
  </si>
  <si>
    <t>00472-G-4.1D</t>
  </si>
  <si>
    <t>SomnoMed</t>
  </si>
  <si>
    <t>Firefly Digital Validation Support</t>
  </si>
  <si>
    <t>66(?)</t>
  </si>
  <si>
    <t>Tim Durrant</t>
  </si>
  <si>
    <t>Brian Hanrahan</t>
  </si>
  <si>
    <t>00472-D-2.24</t>
  </si>
  <si>
    <t>Firefly Phase 2.24</t>
  </si>
  <si>
    <t>64(?)</t>
  </si>
  <si>
    <t>00472-D-3.50</t>
  </si>
  <si>
    <t>SomnoMed Philippines Inc</t>
  </si>
  <si>
    <t>Firefly Phase 3.5 Manufacturing Support</t>
  </si>
  <si>
    <t>00605-D-0.00</t>
  </si>
  <si>
    <t>Sunbird Bio Australia Pty Ltd</t>
  </si>
  <si>
    <t>Nectar Phase 0</t>
  </si>
  <si>
    <t>00605-D-1.00</t>
  </si>
  <si>
    <t>Nectar Phase 1</t>
  </si>
  <si>
    <t>6</t>
  </si>
  <si>
    <t>00190-D-2.03</t>
  </si>
  <si>
    <t>Tournicare Pty Ltd</t>
  </si>
  <si>
    <t>Limpet Phase 2.3</t>
  </si>
  <si>
    <t>Tournicare</t>
  </si>
  <si>
    <t>00404-D-2.34</t>
  </si>
  <si>
    <t>Truvian Sciences</t>
  </si>
  <si>
    <t>Flatland - Phase 2.34 (Q2 2023 MSE)</t>
  </si>
  <si>
    <t>Truvian</t>
  </si>
  <si>
    <t>00404-D-2.25</t>
  </si>
  <si>
    <t>Flatland Phase 2.25</t>
  </si>
  <si>
    <t>00404-D-2.29</t>
  </si>
  <si>
    <t>Truvian Sciences AUD</t>
  </si>
  <si>
    <t>Flatland - Ph 2.29 (Q2 2023 Fees)</t>
  </si>
  <si>
    <t>92(?)</t>
  </si>
  <si>
    <t>00404-D-2.33</t>
  </si>
  <si>
    <t>Flatland - Phase 2.33 (Q4 2023 Fees)</t>
  </si>
  <si>
    <t>00311-D-1.00</t>
  </si>
  <si>
    <t>Paul Howley</t>
  </si>
  <si>
    <t>Vitalic Medical Pty Ltd</t>
  </si>
  <si>
    <t>Vitalic (R &amp; D Activities)</t>
  </si>
  <si>
    <t>00582-D-2.1C</t>
  </si>
  <si>
    <t>Quong Yu</t>
  </si>
  <si>
    <t>Xcell Bio Australia Pty Ltd</t>
  </si>
  <si>
    <t>Bootcamp 2.1c (Consumables)</t>
  </si>
  <si>
    <t>00582-D-2.1d</t>
  </si>
  <si>
    <t>Bootcamp 2.1d (Consumables)</t>
  </si>
  <si>
    <t>13</t>
  </si>
  <si>
    <t>00582-D-2.1b</t>
  </si>
  <si>
    <t>Bootcamp Phase 2.1b</t>
  </si>
  <si>
    <t>34</t>
  </si>
  <si>
    <t>00221-D-1.0S</t>
  </si>
  <si>
    <t>Xtralis</t>
  </si>
  <si>
    <t>Flair-Up Support 1</t>
  </si>
  <si>
    <t>49(?)</t>
  </si>
  <si>
    <t>00596-D-3.10</t>
  </si>
  <si>
    <t>Sanders Phase 3.1</t>
  </si>
  <si>
    <t>20</t>
  </si>
  <si>
    <t>Sum of Cost (PI)  [AUD]</t>
  </si>
  <si>
    <t>Total</t>
  </si>
  <si>
    <t>HLH Prototypes</t>
  </si>
  <si>
    <t>PIPL Only</t>
  </si>
  <si>
    <t>$0 - $100</t>
  </si>
  <si>
    <t>$100 - $1000</t>
  </si>
  <si>
    <t>EMC Bayswater Pty Ltd</t>
  </si>
  <si>
    <t>Supp Count</t>
  </si>
  <si>
    <t>$1000 - $10000</t>
  </si>
  <si>
    <t>Topwell Spring Development Limited</t>
  </si>
  <si>
    <t>$10000 - $50000</t>
  </si>
  <si>
    <t>Digi-Key Corporation (AUD)</t>
  </si>
  <si>
    <t>$50000 - $100000</t>
  </si>
  <si>
    <t>&gt; $100000</t>
  </si>
  <si>
    <t>Leviathan Design Pty Ltd</t>
  </si>
  <si>
    <t>UL GmbH Switzerland - Ringstrasse [USD]</t>
  </si>
  <si>
    <t>Molex Guadalajara</t>
  </si>
  <si>
    <t>Tresmine Pty Ltd t/a Circuitwise Electronics</t>
  </si>
  <si>
    <t>JTIM Pty Ltd</t>
  </si>
  <si>
    <t>Thorlabs Inc</t>
  </si>
  <si>
    <t>Mouser Electronics (AUD)</t>
  </si>
  <si>
    <t>Circuitwise Electronics (Tresmine Pty Ltd t/a)</t>
  </si>
  <si>
    <t>Markerry Industries [AUD]</t>
  </si>
  <si>
    <t>Zaber</t>
  </si>
  <si>
    <t>GoProto (ANZ) Pty Ltd</t>
  </si>
  <si>
    <t>Forme Technologies (USD)</t>
  </si>
  <si>
    <t>Team-Metal (SuZhou) Co., Ltd</t>
  </si>
  <si>
    <t>Bio Chem Fluidics Inc (Arcmed group)</t>
  </si>
  <si>
    <t>Eurofins Electrical and Electronic Testing NA, Inc.</t>
  </si>
  <si>
    <t>Blackberry Corporation</t>
  </si>
  <si>
    <t>OnLogic, Inc.</t>
  </si>
  <si>
    <t>Star Rapid Limited [AUD]</t>
  </si>
  <si>
    <t>Forme Technologies (AUD)</t>
  </si>
  <si>
    <t>Element 14 Pty Ltd - Acct 732864</t>
  </si>
  <si>
    <t>SMC Corporation (Australia) Pty Ltd (A/c# 216494)</t>
  </si>
  <si>
    <t>Meerstetter Engineering GmbH</t>
  </si>
  <si>
    <t>Digi-Key Corporation USD</t>
  </si>
  <si>
    <t>Shotton Manufacturing</t>
  </si>
  <si>
    <t>Qualtrics LLC</t>
  </si>
  <si>
    <t>Misc Supplier - USD</t>
  </si>
  <si>
    <t>Emotas embedded communication GmbH</t>
  </si>
  <si>
    <t>Omega Manufacturing Group Pty Ltd</t>
  </si>
  <si>
    <t>Markerry Industries [USD]</t>
  </si>
  <si>
    <t>Tektronix, Inc.</t>
  </si>
  <si>
    <t>Renishaw Oceania Pty Ltd</t>
  </si>
  <si>
    <t>Formero Pty Ltd</t>
  </si>
  <si>
    <t>Quality Metal Solutions</t>
  </si>
  <si>
    <t>Coherent Scientific</t>
  </si>
  <si>
    <t>Win Source Electronic Technology Limited</t>
  </si>
  <si>
    <t>Planet Innovation Products</t>
  </si>
  <si>
    <t>Watson-Marlow Ltd</t>
  </si>
  <si>
    <t>EEMB (SZ) Co. Ltd</t>
  </si>
  <si>
    <t>BBI Solutions OEM LTD</t>
  </si>
  <si>
    <t>AERI</t>
  </si>
  <si>
    <t>HMS Network Inc</t>
  </si>
  <si>
    <t>Jonda Pty Ltd</t>
  </si>
  <si>
    <t>ITG Electronics (M) Sdn. Bhd.</t>
  </si>
  <si>
    <t>Meiban Mold Manufacturing</t>
  </si>
  <si>
    <t>LTL Group  LLC</t>
  </si>
  <si>
    <t>Parade Jasa Sdn bhd</t>
  </si>
  <si>
    <t>HangZhou LanBen Trade Co. Ltd</t>
  </si>
  <si>
    <t>Optima Weightech Pty Ltd</t>
  </si>
  <si>
    <t>Mwave.com.au</t>
  </si>
  <si>
    <t>Newbeach MPS Pty Ltd (T/as Arrow MPS)</t>
  </si>
  <si>
    <t>Everred (HK) Ltd</t>
  </si>
  <si>
    <t>Costless Bolts &amp; Industrial Supplies</t>
  </si>
  <si>
    <t>Amapro-W &amp; B Pty Ltd</t>
  </si>
  <si>
    <t>Compliance Engineering</t>
  </si>
  <si>
    <t>Emergo Global Representation LLC</t>
  </si>
  <si>
    <t>Advanced Products Corporation Pte Ltd</t>
  </si>
  <si>
    <t>Grand View Research</t>
  </si>
  <si>
    <t>Lee Spring [GBP]</t>
  </si>
  <si>
    <t>Microtips Tecnology</t>
  </si>
  <si>
    <t>Stug Australia Pty Ltd</t>
  </si>
  <si>
    <t>Newmark Systems Inc</t>
  </si>
  <si>
    <t>Microsoft Azure</t>
  </si>
  <si>
    <t>Intertek USD</t>
  </si>
  <si>
    <t>Modular Components &amp; Automation</t>
  </si>
  <si>
    <t>GS1 Australia</t>
  </si>
  <si>
    <t>Coherent Innovation P/L</t>
  </si>
  <si>
    <t>Blacktrace Holdings Ltd t/a Dolomite Centre</t>
  </si>
  <si>
    <t>Variscite</t>
  </si>
  <si>
    <t>SOEBYGAARD MACHINE DESIGN ApS</t>
  </si>
  <si>
    <t>Sunstra Engineering Pty Ltd</t>
  </si>
  <si>
    <t>Digi-Key Corporation (USD)</t>
  </si>
  <si>
    <t>Cory Seligman</t>
  </si>
  <si>
    <t>Wired-In Software</t>
  </si>
  <si>
    <t>Misc Supplier</t>
  </si>
  <si>
    <t>Inca Computer Systems</t>
  </si>
  <si>
    <t>Industrial Metal Processing, INC</t>
  </si>
  <si>
    <t>Victoria Fittings and Valves</t>
  </si>
  <si>
    <t>Leading Testing Laboratories, LLC</t>
  </si>
  <si>
    <t>Maverick Equipment</t>
  </si>
  <si>
    <t>MedEnvoy Global BV [EUR]</t>
  </si>
  <si>
    <t>Quinn Product Development</t>
  </si>
  <si>
    <t>TKW Collective Pty Ltd</t>
  </si>
  <si>
    <t>Ineed Electronics (HongKong) Ltd</t>
  </si>
  <si>
    <t>Miscellaneous Suppliers</t>
  </si>
  <si>
    <t>THINXTRA SOLUTIONS PTY LTD</t>
  </si>
  <si>
    <t>Ocean Spring &amp; Metal Mfg. Ltd</t>
  </si>
  <si>
    <t>Solesis Holding LLC DBA Charter Medical LLC</t>
  </si>
  <si>
    <t>Leuze Electronic, Inc.</t>
  </si>
  <si>
    <t>Statewide Bearings</t>
  </si>
  <si>
    <t>NAC Group Inc</t>
  </si>
  <si>
    <t>MTI Instruments</t>
  </si>
  <si>
    <t>Radical Torque Solutions</t>
  </si>
  <si>
    <t>Honeywell Australia</t>
  </si>
  <si>
    <t>G Z Pneumatic Pty Ltd</t>
  </si>
  <si>
    <t>Hitec Group USA Inc t/a Hitec Commercial Solutions</t>
  </si>
  <si>
    <t>L-Com Global Connectivity</t>
  </si>
  <si>
    <t>Paragon Care Group Australia Pty Ltd</t>
  </si>
  <si>
    <t>Wing Tat Industrial (Hong Kong) Company Limited</t>
  </si>
  <si>
    <t>Mouser Electronics (USD)</t>
  </si>
  <si>
    <t>Northern Health</t>
  </si>
  <si>
    <t>Noise &amp; Vibration Measurement Systems Pty Ltd</t>
  </si>
  <si>
    <t>Newark</t>
  </si>
  <si>
    <t>Chin Communications Pty Ltd</t>
  </si>
  <si>
    <t>Monash University</t>
  </si>
  <si>
    <t>Sonics &amp; Materials Inc</t>
  </si>
  <si>
    <t>Miscellaneous Suppliers USD</t>
  </si>
  <si>
    <t>SICK Pty Ltd</t>
  </si>
  <si>
    <t>Zedflo Australia (Process Control Instrumentation Pty Ltd)</t>
  </si>
  <si>
    <t>Shenzhen Johnhalm PDTec.,ltd</t>
  </si>
  <si>
    <t>Gribbles Veterinary Pathology</t>
  </si>
  <si>
    <t>Evident Australia Pty Ltd</t>
  </si>
  <si>
    <t>Pini IP</t>
  </si>
  <si>
    <t>Eric F. Glassy</t>
  </si>
  <si>
    <t>Technology Sciences Group Consulting Limited (TSG)</t>
  </si>
  <si>
    <t>Merck Pty Ltd</t>
  </si>
  <si>
    <t>Omega Engineering Singapore</t>
  </si>
  <si>
    <t>CenterWatch, LLC</t>
  </si>
  <si>
    <t>Microsoft Australia</t>
  </si>
  <si>
    <t>Harness Code Ltd</t>
  </si>
  <si>
    <t>Design Chain Associates LLC</t>
  </si>
  <si>
    <t>Expeditors International Pty Ltd</t>
  </si>
  <si>
    <t>Toradex AG</t>
  </si>
  <si>
    <t>Embedded Logic Solutions Pty. Ltd.</t>
  </si>
  <si>
    <t>Emergo Global Consulting LLC [Emergo Europe BV ]</t>
  </si>
  <si>
    <t>Snap - Box Hill</t>
  </si>
  <si>
    <t>JB HiFi</t>
  </si>
  <si>
    <t>Opal Research and Technology</t>
  </si>
  <si>
    <t>Invitro Technologies</t>
  </si>
  <si>
    <t>Philtec Inc.</t>
  </si>
  <si>
    <t>Gramm Pty Ltd</t>
  </si>
  <si>
    <t>Scorpion Technology</t>
  </si>
  <si>
    <t>Tighe Metal Spinners P/L</t>
  </si>
  <si>
    <t>Steritech (Melbourne)</t>
  </si>
  <si>
    <t>Schafter + Kirchhoff GmbH</t>
  </si>
  <si>
    <t>Jameco Electronics</t>
  </si>
  <si>
    <t>Lapp Australia Pty Ltd</t>
  </si>
  <si>
    <t>JST [USD]</t>
  </si>
  <si>
    <t>BOC</t>
  </si>
  <si>
    <t>GigGear Australia Pty Ltd</t>
  </si>
  <si>
    <t>Thermo Fisher Scientific Australia Pty Ltd</t>
  </si>
  <si>
    <t>FHS Technology Pty Ltd</t>
  </si>
  <si>
    <t>LingYan Engineering</t>
  </si>
  <si>
    <t>Deacon Engineers Pty Ltd</t>
  </si>
  <si>
    <t>Tutco, Inc. DBA Tutco-Farnam Custom Products</t>
  </si>
  <si>
    <t>Braemac [USD]</t>
  </si>
  <si>
    <t>C-PRAV Services</t>
  </si>
  <si>
    <t>Modelflight</t>
  </si>
  <si>
    <t>Nippon Express (Aus) Pty Ltd</t>
  </si>
  <si>
    <t>SainSmart</t>
  </si>
  <si>
    <t>Aurora Pro Scientific LLC</t>
  </si>
  <si>
    <t>Kogan</t>
  </si>
  <si>
    <t>Kinesis Australia Pty ltd</t>
  </si>
  <si>
    <t>Ebay AUD</t>
  </si>
  <si>
    <t>Aims Industrial</t>
  </si>
  <si>
    <t>Nor-Cal Controls Inc</t>
  </si>
  <si>
    <t>Arrow Electronics Inc. [USD]</t>
  </si>
  <si>
    <t>Arrow Electronics Inc.</t>
  </si>
  <si>
    <t>Industrial Fittings Sales (Vic) Pty Ltd</t>
  </si>
  <si>
    <t>Core Electronics</t>
  </si>
  <si>
    <t>Phillips-Medisize</t>
  </si>
  <si>
    <t>Fisher Biotec Australia</t>
  </si>
  <si>
    <t>PT LIMITED</t>
  </si>
  <si>
    <t>Deminks Pty Ltd atf Demink family Trust  (t/as Mallard Signs</t>
  </si>
  <si>
    <t>V.S.Electronics Sdn. Bhd.</t>
  </si>
  <si>
    <t>Precitek Pty Ltd</t>
  </si>
  <si>
    <t>Ebay USD</t>
  </si>
  <si>
    <t>Tecs Pty Ltd</t>
  </si>
  <si>
    <t>Mason Grogan Industrial</t>
  </si>
  <si>
    <t>Andovar Pte Ltd [AUD]</t>
  </si>
  <si>
    <t>OMC Corporation Limited t/a Stepperonline</t>
  </si>
  <si>
    <t>Bio-Strategy Pty Ltd</t>
  </si>
  <si>
    <t>Jubilee Spring Co Pty Ltd</t>
  </si>
  <si>
    <t>Richard Whalley</t>
  </si>
  <si>
    <t>Saporo</t>
  </si>
  <si>
    <t>DAL Dial A Label Pty Ltd</t>
  </si>
  <si>
    <t>Precigenome LLC</t>
  </si>
  <si>
    <t>Australia Post</t>
  </si>
  <si>
    <t>Advantech Australia Pty Ltd</t>
  </si>
  <si>
    <t>JST [USD] (Credit card)</t>
  </si>
  <si>
    <t>SHENZHEN JLC ELECTRONICS (Credit Card)</t>
  </si>
  <si>
    <t>Industrial &amp; Bearings Pty Ltd</t>
  </si>
  <si>
    <t>Quanovate Tech Inc. 2010</t>
  </si>
  <si>
    <t>Online Components [USD]</t>
  </si>
  <si>
    <t>Martin O’Brien Formes Pty Ltd</t>
  </si>
  <si>
    <t>Waveshare Electronics</t>
  </si>
  <si>
    <t>Instrument Choice</t>
  </si>
  <si>
    <t>Forecast3D</t>
  </si>
  <si>
    <t>Small Parts and Bearings</t>
  </si>
  <si>
    <t>Rapid Tech Equipment Pty Ltd</t>
  </si>
  <si>
    <t>Plastics For Industry Pty Ltd</t>
  </si>
  <si>
    <t>Redback Test Services</t>
  </si>
  <si>
    <t>Rebul Packaging Pty Ltd</t>
  </si>
  <si>
    <t>TR techrentals</t>
  </si>
  <si>
    <t>Link-In Solutions</t>
  </si>
  <si>
    <t>ADM Systems Pty Ltd</t>
  </si>
  <si>
    <t>Sammut, James</t>
  </si>
  <si>
    <t>Rachele, Johnny</t>
  </si>
  <si>
    <t>Concept Latch Lock &amp; Hinge (Aust) Pty Ltd</t>
  </si>
  <si>
    <t>NHP Electrical</t>
  </si>
  <si>
    <t>Arete Biosciences, LLC</t>
  </si>
  <si>
    <t>UL GmbH Switzerland - Ringstrasse [AUD]</t>
  </si>
  <si>
    <t>Precision Forme Cutting Pty Ltd</t>
  </si>
  <si>
    <t>Rapid Manufacturing (Protolabs)</t>
  </si>
  <si>
    <t>James Machinery Pty Ltd</t>
  </si>
  <si>
    <t>SHENZHEN JLC ELECTRONICS CO., LTD.</t>
  </si>
  <si>
    <t>RS Components Pty Ltd - A/c 13171019</t>
  </si>
  <si>
    <t>Seaga Group Australia</t>
  </si>
  <si>
    <t>Clipper Plastics</t>
  </si>
  <si>
    <t>Dr Patrick Hosking</t>
  </si>
  <si>
    <t>Aplus Plastic Box Co</t>
  </si>
  <si>
    <t>MFB Fertility, Inc.</t>
  </si>
  <si>
    <t>The NGP Unit Trust T/as Niche Gas Products Pty Ltd</t>
  </si>
  <si>
    <t>Eppendorf South Pacific</t>
  </si>
  <si>
    <t>Metric Seals Company Pty Ltd</t>
  </si>
  <si>
    <t>Helios Power Solutions (ex Amtex Electronics)</t>
  </si>
  <si>
    <t>APPLE RUBBER PRODUCTS INC</t>
  </si>
  <si>
    <t xml:space="preserve"> Strain Measurement Devices Ltd</t>
  </si>
  <si>
    <t>Distrelec Deutschland GmbH</t>
  </si>
  <si>
    <t>Touchstone Systems, LLC</t>
  </si>
  <si>
    <t>Blackwoods &amp; Sons (Ac 041984) Pty Ltd</t>
  </si>
  <si>
    <t>PSM Fasteners Pty Ltd</t>
  </si>
  <si>
    <t>Glyn Limited</t>
  </si>
  <si>
    <t>USBFireWire</t>
  </si>
  <si>
    <t>Park Avenue Cleanroom Laundry</t>
  </si>
  <si>
    <t>Microchip Technology Inc. - Credit card</t>
  </si>
  <si>
    <t>International Organization for Standardization</t>
  </si>
  <si>
    <t>Amiga Engineering</t>
  </si>
  <si>
    <t>CPL West Melbourne</t>
  </si>
  <si>
    <t>TNT Express</t>
  </si>
  <si>
    <t>Bal-tec</t>
  </si>
  <si>
    <t>Littlebird Electronics</t>
  </si>
  <si>
    <t>The Daily Dose t/a JP &amp; CJ Management Pty Ltd</t>
  </si>
  <si>
    <t>BML FORME CUTTING SERVICES P/L</t>
  </si>
  <si>
    <t>Ultimate Hobbies</t>
  </si>
  <si>
    <t>Vector &amp; Raster Laser Services P/L</t>
  </si>
  <si>
    <t>Texas Instruments (Credit Card)</t>
  </si>
  <si>
    <t>Be Colossal LLC</t>
  </si>
  <si>
    <t>Chengdu Hilin Technology Co. Ltd</t>
  </si>
  <si>
    <t>Modular Components</t>
  </si>
  <si>
    <t>Element 14 Pty Ltd - Account#: 733918 CID: 278195</t>
  </si>
  <si>
    <t>Standex Electronics India Private Limited</t>
  </si>
  <si>
    <t>Romheld Automation</t>
  </si>
  <si>
    <t>Total Precision Products Pty Ltd</t>
  </si>
  <si>
    <t>TMG</t>
  </si>
  <si>
    <t>Foxx Life Sciences Private Limited</t>
  </si>
  <si>
    <t>Hear Data Pty Ltd t/a Acoustic &amp; Audiometric Svcs</t>
  </si>
  <si>
    <t>MISC Credit Card Supplier - AUD</t>
  </si>
  <si>
    <t>Shenzhen Johnhalm PDTec.Ltd</t>
  </si>
  <si>
    <t>Lawrence &amp; Hanson</t>
  </si>
  <si>
    <t>Woolworths</t>
  </si>
  <si>
    <t>Murf.AI(CC)</t>
  </si>
  <si>
    <t>York Industries, Inc.</t>
  </si>
  <si>
    <t>Frontline Hobbies</t>
  </si>
  <si>
    <t>Westlab Pty Ltd</t>
  </si>
  <si>
    <t>Audio Visual Distributors Pty Ltd</t>
  </si>
  <si>
    <t>Melbourne Deluxe Chauffeurs</t>
  </si>
  <si>
    <t>Cospheric LLC</t>
  </si>
  <si>
    <t>MSY Technology Pty Ltd</t>
  </si>
  <si>
    <t>Collins Anodic Treatment</t>
  </si>
  <si>
    <t>Shenzhen Hochuen Technologies Co. Ltd</t>
  </si>
  <si>
    <t>Onesky Technology Pte Ltd</t>
  </si>
  <si>
    <t>Hare &amp; Forbes</t>
  </si>
  <si>
    <t>Firetail DAQ</t>
  </si>
  <si>
    <t>Ludowici Sealing Solutions (Freundenberg Sealing)</t>
  </si>
  <si>
    <t>Labanda Pty Ltd</t>
  </si>
  <si>
    <t>Bio-Rad Laboratories Pty Ltd</t>
  </si>
  <si>
    <t>Ink Station</t>
  </si>
  <si>
    <t>Sealing Solutions Pty Ltd</t>
  </si>
  <si>
    <t>Stabilus Pty Ltd</t>
  </si>
  <si>
    <t>Coriell Institute for Medical Research</t>
  </si>
  <si>
    <t>Stirlings Performance Steels</t>
  </si>
  <si>
    <t>DHL Express - A/c 964378939</t>
  </si>
  <si>
    <t>Watertest Systems Pty Ltd</t>
  </si>
  <si>
    <t>Concept Fasteners - Credit Card</t>
  </si>
  <si>
    <t>Jaycar Electronics Pty Ltd</t>
  </si>
  <si>
    <t>Machine Knives (Aust) Pty Ltd</t>
  </si>
  <si>
    <t>Open Dialogue Cafe</t>
  </si>
  <si>
    <t>JST Shop [JPY]</t>
  </si>
  <si>
    <t>North East Industrial Supplies Pty Ltd</t>
  </si>
  <si>
    <t>Australian Calibrating Services</t>
  </si>
  <si>
    <t>Action Aluminium</t>
  </si>
  <si>
    <t>Bilby 3D Pty Ltd</t>
  </si>
  <si>
    <t>Essentra Components Pte Ltd (ex Richco Asia)</t>
  </si>
  <si>
    <t>Supagas Pty Ltd</t>
  </si>
  <si>
    <t>On-Line Plastics</t>
  </si>
  <si>
    <t>Onesky Technology Pte Ltd (Credit Card)</t>
  </si>
  <si>
    <t>Mailosaur Ltd</t>
  </si>
  <si>
    <t>ICU Medical Australia Pty Ltd</t>
  </si>
  <si>
    <t>South East Plastics Pty Ltd</t>
  </si>
  <si>
    <t>Lightning Bolt Laser (ex Sign &amp; Display Systems)</t>
  </si>
  <si>
    <t>Simon Spence Credit Card</t>
  </si>
  <si>
    <t>PhaseSep Transition Solutions</t>
  </si>
  <si>
    <t>McNaughtans Pty Ltd (T/AS Concept Latch Lock &amp; Hinge)</t>
  </si>
  <si>
    <t>IDEX Health &amp; Science [USD]</t>
  </si>
  <si>
    <t>Southern Biological</t>
  </si>
  <si>
    <t>Airefrig Australia Pty Ltd</t>
  </si>
  <si>
    <t>Tro Pacific Holdings Pty Ltd t/a Tro Pacific</t>
  </si>
  <si>
    <t>Hobby Tools Australia</t>
  </si>
  <si>
    <t>Essentra Corp Suite  of app [ex:Essentra P/L]</t>
  </si>
  <si>
    <t>ProSciTech Pty Ltd ATF ProSciTech Trust</t>
  </si>
  <si>
    <t>Lee Spring [EUR]</t>
  </si>
  <si>
    <t>Tri Components Pty Ltd</t>
  </si>
  <si>
    <t>Mold-Tech Singapore Pte Ltd</t>
  </si>
  <si>
    <t>Bunnings Trade (Powerpass)</t>
  </si>
  <si>
    <t>Boxshot Software - credit card</t>
  </si>
  <si>
    <t>Australia Ewaste Recycling (Y &amp;Y trading Pty Ltd)</t>
  </si>
  <si>
    <t>3D Printing Solutions</t>
  </si>
  <si>
    <t>Adelab Scientific</t>
  </si>
  <si>
    <t>Reid Industrial Graphic Products Pty Ltd</t>
  </si>
  <si>
    <t>Daily Dose</t>
  </si>
  <si>
    <t>Smiths Medical Australia</t>
  </si>
  <si>
    <t>Bunnings</t>
  </si>
  <si>
    <t>Hafele Australia Pty Ltd</t>
  </si>
  <si>
    <t>Kenelec Scientific Pty Ltd</t>
  </si>
  <si>
    <t>NCS Colour AB</t>
  </si>
  <si>
    <t>Graphic Art Mart Pty Ltd</t>
  </si>
  <si>
    <t>Southco Fasteners Pty Ltd</t>
  </si>
  <si>
    <t>Mouser Electronics</t>
  </si>
  <si>
    <t>Thermoline Scientific</t>
  </si>
  <si>
    <t>RC Hobbies</t>
  </si>
  <si>
    <t>Signet Pty Ltd-Cust# 810546</t>
  </si>
  <si>
    <t>Winc Australia Pty Ltd [ex Staples]</t>
  </si>
  <si>
    <t>Hobbytech Toys</t>
  </si>
  <si>
    <t>Souther Biological</t>
  </si>
  <si>
    <t>Med Shop Australia</t>
  </si>
  <si>
    <t>Aussie Magnet Company</t>
  </si>
  <si>
    <t>FS Australia</t>
  </si>
  <si>
    <t>Rankin Enterprises Pty Ltd</t>
  </si>
  <si>
    <t>Spence, Simon</t>
  </si>
  <si>
    <t>Digi-Key Corporation AUD - A.c 2678629</t>
  </si>
  <si>
    <t>K Mart</t>
  </si>
  <si>
    <t>Target Australia</t>
  </si>
  <si>
    <t>AVS Romer GmBH &amp; Co KG</t>
  </si>
  <si>
    <t>https://www.escatec.com/en/solutions/manufacturing</t>
  </si>
  <si>
    <t>Escatec</t>
  </si>
  <si>
    <t>https://www.d3electronics.com/about-us/</t>
  </si>
  <si>
    <t>D3</t>
  </si>
  <si>
    <t>Selangor</t>
  </si>
  <si>
    <t>https://www.professional-tools.com/</t>
  </si>
  <si>
    <t>PROFESSIONAL TOOLS AND DIES SDN BHD</t>
  </si>
  <si>
    <t>Penang</t>
  </si>
  <si>
    <t>https://www.bslcorp.com.my/manufacturing-services/</t>
  </si>
  <si>
    <t>BSL CORPORATION BHD</t>
  </si>
  <si>
    <t>https://eg.com.my/facilities.html</t>
  </si>
  <si>
    <t>EG ELECTRONIC SDN. BHD.</t>
  </si>
  <si>
    <t>http://www.showa.com.my/home</t>
  </si>
  <si>
    <t>SHOWA ELECTRONICS &amp; SUPPLY CHAIN</t>
  </si>
  <si>
    <t>https://racer.com.sg/#1557120935639-323ba7b2-bef6</t>
  </si>
  <si>
    <t>RACER TECHNOLOGY SDN. BHD.</t>
  </si>
  <si>
    <t>http://www.ceedtec.com/cms/services</t>
  </si>
  <si>
    <t>CEEDTEC TECHNOLOGY SDN. BHD.</t>
  </si>
  <si>
    <t>SRX</t>
  </si>
  <si>
    <t>https://www.meiban.com/injection-molding/</t>
  </si>
  <si>
    <t>MEIBAN TECHNOLOGIES (MALAYSIA) SDN. BHD.</t>
  </si>
  <si>
    <t>http://www.tkrm.com/tkrmav.asp</t>
  </si>
  <si>
    <t>TKR SOUTH EAST ASIA</t>
  </si>
  <si>
    <t>http://www.esmtt.com/facilities.html</t>
  </si>
  <si>
    <t>SMT TECHNOLOGIES</t>
  </si>
  <si>
    <t>https://www.sanmina.com/services-contract-electronics-manufacturing/manufacturing/</t>
  </si>
  <si>
    <t>SANMINA-SCI SYSTEMS (MALAYSIA) SDN. BHD.</t>
  </si>
  <si>
    <t>https://www.plexus.com/en-us/solutions</t>
  </si>
  <si>
    <t>PLEXUS</t>
  </si>
  <si>
    <t>https://www.salutica.com/</t>
  </si>
  <si>
    <t>SALUTICA (Stuart)</t>
  </si>
  <si>
    <t>http://www.cpipenang.com/</t>
  </si>
  <si>
    <t>CPI</t>
  </si>
  <si>
    <t>https://www.deng-kai.com/</t>
  </si>
  <si>
    <t>DENG KAI SDN BHD</t>
  </si>
  <si>
    <t>http://www.kgcompo.com.my/</t>
  </si>
  <si>
    <t>KAGA COMPONENTS (MALAYSIA) SDN.BHD.</t>
  </si>
  <si>
    <t>http://www.t-ksj.co.jp/english/index.html</t>
  </si>
  <si>
    <t>KSJM ELECTRONICS SDN. BHD.</t>
  </si>
  <si>
    <t>https://www.eastool.com.my/</t>
  </si>
  <si>
    <t>EASTOOL INDUSTRIES SDN. BHD.</t>
  </si>
  <si>
    <t>https://www.cincaria.com.my/</t>
  </si>
  <si>
    <t>CINCARIA SDN. BHD.</t>
  </si>
  <si>
    <t>SRXGLOBAL (MALAYSIA) SDN. BHD.</t>
  </si>
  <si>
    <t>https://www.uchi.net/vision-a-mission</t>
  </si>
  <si>
    <t>UCHI ELECTRONIC (M) SDN BHD</t>
  </si>
  <si>
    <t>https://k-one.com/</t>
  </si>
  <si>
    <t>K-ONE INDUSTRY SDN. BHD.</t>
  </si>
  <si>
    <t>http://www.likom.com.my/</t>
  </si>
  <si>
    <t>LIKOM CMS SDN BHD</t>
  </si>
  <si>
    <t>https://alpha-u.com/</t>
  </si>
  <si>
    <t>ALPHA-U TECHNOLOGY SDN. BHD.</t>
  </si>
  <si>
    <t>https://chugai-malaysia.com/</t>
  </si>
  <si>
    <t>CHUGAI (MALAYSIA) SDN. BHD.</t>
  </si>
  <si>
    <t>https://www.hotayi.com/</t>
  </si>
  <si>
    <t>HOTAYI ELECTRONIC (M) SDN. BHD</t>
  </si>
  <si>
    <t>http://www.cgglobal-cem.com/company.html</t>
  </si>
  <si>
    <t>CG GLOBAL PROFASTEX MANUFACTURING SDN. BHD.</t>
  </si>
  <si>
    <t>https://www.scope.com.my/</t>
  </si>
  <si>
    <t>SCOPE MANUFACTURERS (M) SDN BHD</t>
  </si>
  <si>
    <t>https://www.celestica.com/</t>
  </si>
  <si>
    <t>CELESTICA (AMS) SDN. BHD.</t>
  </si>
  <si>
    <t>http://www.nationgate.com.my/</t>
  </si>
  <si>
    <t>NATIONGATE TECHNOLOGY (M) SDN BHD</t>
  </si>
  <si>
    <t>https://www.acm-holdings.com/</t>
  </si>
  <si>
    <t>ALLIANCE CONTRACT MANUFACTURING SDN. BHD.</t>
  </si>
  <si>
    <t>https://www.paramit.com/</t>
  </si>
  <si>
    <t>PARAMIT MALAYSIA SDN. BHD.</t>
  </si>
  <si>
    <t>https://www.bench.com/precision-technologies</t>
  </si>
  <si>
    <t>BENCHMARK ELECTRONICS (M) SDN. BHD.</t>
  </si>
  <si>
    <t>https://www.venture.com.sg/</t>
  </si>
  <si>
    <t>VENTURE ELECTRONICS SERVICES SDN BHD</t>
  </si>
  <si>
    <t>https://flex.com/</t>
  </si>
  <si>
    <t>FLEXTRONICS SYSTEMS (PENANG) SDN. BHD.</t>
  </si>
  <si>
    <t>FLEXTRONICS SHAH ALAM SDN. BHD.</t>
  </si>
  <si>
    <t>https://www.plexus.com/en-us/</t>
  </si>
  <si>
    <t>PLEXUS MANUFACTURING SDN. BHD.</t>
  </si>
  <si>
    <t>Forth Corporation Public Company Limited</t>
  </si>
  <si>
    <t>https://en.forth.co.th/service/</t>
  </si>
  <si>
    <t>CM (Elec)</t>
  </si>
  <si>
    <t>Team Precision Public Company Limited</t>
  </si>
  <si>
    <t>https://www.teampcba.com/</t>
  </si>
  <si>
    <t>Thai Misuwa Public Co.,Ld</t>
  </si>
  <si>
    <t>http://www.thaimitsuwa.com/homeAppliances.php</t>
  </si>
  <si>
    <t>Plasrtics</t>
  </si>
  <si>
    <t>Asia Precision AT</t>
  </si>
  <si>
    <t>https://apat.co.th/</t>
  </si>
  <si>
    <t>Summit Auto Body Industry</t>
  </si>
  <si>
    <t>http://summitautogroup.com/th/category</t>
  </si>
  <si>
    <t>Metal Stamping, forming, Automotive fabr.</t>
  </si>
  <si>
    <t>Hi-Q PLAS CO., LTD.</t>
  </si>
  <si>
    <t>https://www.hiqplas.com/</t>
  </si>
  <si>
    <t>inj moulding</t>
  </si>
  <si>
    <t>Toray</t>
  </si>
  <si>
    <t>https://www.toray.co.th/th/en/tppt/</t>
  </si>
  <si>
    <t>Sanko Mold and Plastics (Thailand) Co.,Ltd</t>
  </si>
  <si>
    <t>https://sanko-mold.co.th/en/</t>
  </si>
  <si>
    <t>https://newton-ltd.co.jp/company/thai-newton/</t>
  </si>
  <si>
    <t>https://www.sakuratech.com/strength-capabilities/#our-capabilities</t>
  </si>
  <si>
    <t>Kasem International Co.,Ltd</t>
  </si>
  <si>
    <t>https://kasem-international.com/</t>
  </si>
  <si>
    <t xml:space="preserve">VEM </t>
  </si>
  <si>
    <t>https://vem-medical.com/advantages-of-manufacturing-in-thailand/</t>
  </si>
  <si>
    <t>Contract Manufacturing (inj moulding based)</t>
  </si>
  <si>
    <t>Stars Microelectronics</t>
  </si>
  <si>
    <t>https://starsmicro.com/</t>
  </si>
  <si>
    <t>HongYang Precision</t>
  </si>
  <si>
    <t>https://www.thy-precision.com/contract-manufacturing.html</t>
  </si>
  <si>
    <t>Primary Type</t>
  </si>
  <si>
    <t>SUPPLIER TYPE
(primary technology)</t>
  </si>
  <si>
    <t>CABLING</t>
  </si>
  <si>
    <t xml:space="preserve"> NETWORK CABLES</t>
  </si>
  <si>
    <t xml:space="preserve"> VIDEO CABLES</t>
  </si>
  <si>
    <t xml:space="preserve"> AUDIO CABLES</t>
  </si>
  <si>
    <t xml:space="preserve"> POWER CABLES</t>
  </si>
  <si>
    <t xml:space="preserve"> PHONE CABLES</t>
  </si>
  <si>
    <t xml:space="preserve"> COMPUTER CABLES</t>
  </si>
  <si>
    <t>OBSOLETE ELECTRONICS COMPONENTS</t>
  </si>
  <si>
    <t>FREIGHT FORWARDER</t>
  </si>
  <si>
    <t xml:space="preserve"> general cargo by sea and by air</t>
  </si>
  <si>
    <t xml:space="preserve"> project cargo including air chartering and vessel slot charters</t>
  </si>
  <si>
    <t xml:space="preserve"> and perishable cargo and hazardous cargo by sea and by air</t>
  </si>
  <si>
    <t>DIECUT</t>
  </si>
  <si>
    <t>IOT</t>
  </si>
  <si>
    <t xml:space="preserve"> Embedded Boards</t>
  </si>
  <si>
    <t xml:space="preserve"> AI Solutions</t>
  </si>
  <si>
    <t xml:space="preserve"> Computing Systems</t>
  </si>
  <si>
    <t>diagnostic pathology</t>
  </si>
  <si>
    <t xml:space="preserve"> medical research</t>
  </si>
  <si>
    <t xml:space="preserve"> and innovative laboratory equipment solutions</t>
  </si>
  <si>
    <t>Primary antibodies</t>
  </si>
  <si>
    <t>Secondary antibodies</t>
  </si>
  <si>
    <t>Biochemicals</t>
  </si>
  <si>
    <t>Isotype controls</t>
  </si>
  <si>
    <t>Flow cytometry multi-color selector</t>
  </si>
  <si>
    <t>Kits</t>
  </si>
  <si>
    <t>Loading controls</t>
  </si>
  <si>
    <t>Lysates</t>
  </si>
  <si>
    <t>Peptides</t>
  </si>
  <si>
    <t>Proteins</t>
  </si>
  <si>
    <t>Slides</t>
  </si>
  <si>
    <t>Tags and cell markers</t>
  </si>
  <si>
    <t>Tools &amp; Reagents</t>
  </si>
  <si>
    <t>TOOLINGS</t>
  </si>
  <si>
    <t xml:space="preserve"> JIGS &amp; FIXTURES</t>
  </si>
  <si>
    <t>CALIBRATION SERVICES</t>
  </si>
  <si>
    <t>ACOUSTIC TESTING</t>
  </si>
  <si>
    <t xml:space="preserve"> AUDIO TESTING</t>
  </si>
  <si>
    <t xml:space="preserve"> DBL TESTING</t>
  </si>
  <si>
    <t>COMPUTER ON MODULE</t>
  </si>
  <si>
    <t xml:space="preserve"> GPU SOLUTIONS</t>
  </si>
  <si>
    <t xml:space="preserve"> HEALTHCARE COMPUTING</t>
  </si>
  <si>
    <t xml:space="preserve"> INDUSTRIAL DISPLAYS</t>
  </si>
  <si>
    <t xml:space="preserve"> RUGGED COMPUTING</t>
  </si>
  <si>
    <t xml:space="preserve"> AUTOMOTOVIE COMPUTING</t>
  </si>
  <si>
    <t xml:space="preserve"> GAMING PLATFORMS</t>
  </si>
  <si>
    <t>LED DRIVERS AND LIGHTING CONTROLS</t>
  </si>
  <si>
    <t xml:space="preserve"> INDUSTRIAL POWER SUPPLIES</t>
  </si>
  <si>
    <t xml:space="preserve"> INDUSTRIAL PROCESS AUTOMATION</t>
  </si>
  <si>
    <t xml:space="preserve"> NUCLEAR TECHNOLOGIES AND OHSE</t>
  </si>
  <si>
    <t xml:space="preserve"> PCA ENCODERS</t>
  </si>
  <si>
    <t xml:space="preserve"> POWER SUPPLIES</t>
  </si>
  <si>
    <t xml:space="preserve"> LED SUPPLIES</t>
  </si>
  <si>
    <t>EMBEDDED SOLUTIONS</t>
  </si>
  <si>
    <t xml:space="preserve"> SYSTEM ON MODULES</t>
  </si>
  <si>
    <t xml:space="preserve"> SINGLE BOARD COMPUTERS</t>
  </si>
  <si>
    <t xml:space="preserve"> COULD MANAGEMENT SOLUTIONS</t>
  </si>
  <si>
    <t xml:space="preserve"> TEC CONTROLLERS</t>
  </si>
  <si>
    <t xml:space="preserve"> TEC ASSEMBLIES</t>
  </si>
  <si>
    <t xml:space="preserve"> MOTION CONTROL BOARDS</t>
  </si>
  <si>
    <t xml:space="preserve"> VIO</t>
  </si>
  <si>
    <t xml:space="preserve"> SYRINGE PUMPS</t>
  </si>
  <si>
    <t xml:space="preserve"> ILLUMINATION MODULES</t>
  </si>
  <si>
    <t xml:space="preserve"> IHEALTHCARE</t>
  </si>
  <si>
    <t xml:space="preserve"> INDUSTRIAL EQUIPMENT MANUFACTURING</t>
  </si>
  <si>
    <t xml:space="preserve"> IRETAIL</t>
  </si>
  <si>
    <t xml:space="preserve"> ILOGISTICS</t>
  </si>
  <si>
    <t xml:space="preserve"> INTELLIGENT TRANSPORT SYSTEMS</t>
  </si>
  <si>
    <t xml:space="preserve"> VIDEO SOLUTIONS</t>
  </si>
  <si>
    <t xml:space="preserve"> IFACTORY</t>
  </si>
  <si>
    <t xml:space="preserve"> INDUSTRIAL AND TELECOM SERVICES</t>
  </si>
  <si>
    <t>HEPA FILTERS</t>
  </si>
  <si>
    <t xml:space="preserve"> HVAC FILTRATION</t>
  </si>
  <si>
    <t xml:space="preserve"> LAB EQUIPMENT</t>
  </si>
  <si>
    <t xml:space="preserve"> DUST COLLECTION</t>
  </si>
  <si>
    <t xml:space="preserve"> SEMI ABSOLUTE FILTERS</t>
  </si>
  <si>
    <t xml:space="preserve"> UV DECONTAMINATION</t>
  </si>
  <si>
    <t xml:space="preserve"> ASBESTOS REMOVAL EQUIPMENT</t>
  </si>
  <si>
    <t>FOAM</t>
  </si>
  <si>
    <t xml:space="preserve"> DIE-CUT</t>
  </si>
  <si>
    <t>POISON INFORMATION DATABASE</t>
  </si>
  <si>
    <t>WIRE BENDING CNC</t>
  </si>
  <si>
    <t xml:space="preserve"> CNC MACHINES</t>
  </si>
  <si>
    <t>desiccants</t>
  </si>
  <si>
    <t xml:space="preserve"> oxygen absorbers and other atmosphere controlled packaging solutions</t>
  </si>
  <si>
    <t>LED LIGHTING</t>
  </si>
  <si>
    <t xml:space="preserve"> HVAC</t>
  </si>
  <si>
    <t xml:space="preserve"> AIR PURIFICATION</t>
  </si>
  <si>
    <t>ALUMINIUM DIE CASTING</t>
  </si>
  <si>
    <t xml:space="preserve"> PRESSURE CASTING</t>
  </si>
  <si>
    <t xml:space="preserve"> GRAVITY CASTING</t>
  </si>
  <si>
    <t>WINDOWS</t>
  </si>
  <si>
    <t xml:space="preserve"> POOL FENCING</t>
  </si>
  <si>
    <t xml:space="preserve"> SHOWER PANELS</t>
  </si>
  <si>
    <t xml:space="preserve"> SPLASHBACKS</t>
  </si>
  <si>
    <t xml:space="preserve"> GLASS PROCESSING</t>
  </si>
  <si>
    <t xml:space="preserve"> GLASS CUTTING</t>
  </si>
  <si>
    <t>COUPLINGS</t>
  </si>
  <si>
    <t xml:space="preserve"> HEAVY DUTY CLUTCHES</t>
  </si>
  <si>
    <t xml:space="preserve"> BRAKES</t>
  </si>
  <si>
    <t xml:space="preserve"> LIMIT SWITCHES</t>
  </si>
  <si>
    <t xml:space="preserve"> OVERRUNNING CLUTCHES</t>
  </si>
  <si>
    <t xml:space="preserve"> BACKSTOPS</t>
  </si>
  <si>
    <t>WEB SERVICE PROVIDER</t>
  </si>
  <si>
    <t>VIBRATION ISOLATORS</t>
  </si>
  <si>
    <t xml:space="preserve"> ACOUSTIC HANGERS</t>
  </si>
  <si>
    <t xml:space="preserve"> SPRING MOUNTS</t>
  </si>
  <si>
    <t xml:space="preserve"> SOUND INSULATION</t>
  </si>
  <si>
    <t>3D PRINTS</t>
  </si>
  <si>
    <t>MICROSCOPES</t>
  </si>
  <si>
    <t>AC/DC Power supplies - Standard / Commercial</t>
  </si>
  <si>
    <t>AC/DC Power supplies - Industrial</t>
  </si>
  <si>
    <t>AC/DC Power supplies - Medical</t>
  </si>
  <si>
    <t>AC/DC Power supplies - External</t>
  </si>
  <si>
    <t>Power Supplies: Land Mobile and Wireless Broadband</t>
  </si>
  <si>
    <t>DIN Rail Power Supplies (AC/DC &amp; DC/DC)</t>
  </si>
  <si>
    <t>DC/DC Converters - PCB Mounting</t>
  </si>
  <si>
    <t>DC/DC Power Modules</t>
  </si>
  <si>
    <t>DC/DC Converters - Industrial</t>
  </si>
  <si>
    <t>DC/DC Converters - Rail</t>
  </si>
  <si>
    <t xml:space="preserve">Battery </t>
  </si>
  <si>
    <t>hargers - Standard and Industrial</t>
  </si>
  <si>
    <t>DC/AC power inverters</t>
  </si>
  <si>
    <t>Frequency converters</t>
  </si>
  <si>
    <t>laboratory/Bench power supplies</t>
  </si>
  <si>
    <t>LED supplies</t>
  </si>
  <si>
    <t>19in Rack mount</t>
  </si>
  <si>
    <t>STEPPER MOTORS</t>
  </si>
  <si>
    <t xml:space="preserve"> BRUSHLESS DC</t>
  </si>
  <si>
    <t xml:space="preserve"> GEARBOXES</t>
  </si>
  <si>
    <t xml:space="preserve"> SERVO MOTORS</t>
  </si>
  <si>
    <t xml:space="preserve"> LINEAR COMPONENTS</t>
  </si>
  <si>
    <t xml:space="preserve"> LINEAR ACTUATOR</t>
  </si>
  <si>
    <t xml:space="preserve"> AC</t>
  </si>
  <si>
    <t xml:space="preserve"> HMI</t>
  </si>
  <si>
    <t xml:space="preserve"> PLC</t>
  </si>
  <si>
    <t xml:space="preserve"> BRUSH DC</t>
  </si>
  <si>
    <t xml:space="preserve"> ENCODERS</t>
  </si>
  <si>
    <t xml:space="preserve"> COUPLINGS</t>
  </si>
  <si>
    <t xml:space="preserve"> INTEGRATED CIRCUIT</t>
  </si>
  <si>
    <t>TEC/Peltier Controllers</t>
  </si>
  <si>
    <t>Laser Drivers/Power Supplies &amp; Accessories</t>
  </si>
  <si>
    <t>TEC_Laser_Controller_Combo</t>
  </si>
  <si>
    <t>High Voltage Amplifiers</t>
  </si>
  <si>
    <t>Medium Voltage Amplifiers</t>
  </si>
  <si>
    <t>High Voltage Isolation Amplifiers</t>
  </si>
  <si>
    <t>High Voltage Operational Amplifiers</t>
  </si>
  <si>
    <t>Switching Power Supply</t>
  </si>
  <si>
    <t>Isolated DC-DC Power Modules</t>
  </si>
  <si>
    <t>High Voltage Power Supplies</t>
  </si>
  <si>
    <t>SMT/SMD Component Kits</t>
  </si>
  <si>
    <t xml:space="preserve">TEC (Thermo-Electric Cooler) </t>
  </si>
  <si>
    <t>Modules</t>
  </si>
  <si>
    <t>TEG Modules</t>
  </si>
  <si>
    <t>Thermistors</t>
  </si>
  <si>
    <t>Gas Discharge Tube</t>
  </si>
  <si>
    <t>Voltage References</t>
  </si>
  <si>
    <t>Noise Measurement Amplifiers</t>
  </si>
  <si>
    <t>Variable Resistor/Capacitor Decade Boxes</t>
  </si>
  <si>
    <t>Thermal System Components</t>
  </si>
  <si>
    <t>Temperature Plate Systems</t>
  </si>
  <si>
    <t>Metal Ceramic Heaters</t>
  </si>
  <si>
    <t>Piezo Driver Modules</t>
  </si>
  <si>
    <t>General Electronic Products</t>
  </si>
  <si>
    <t>LED Related Products</t>
  </si>
  <si>
    <t>GAS METERS</t>
  </si>
  <si>
    <t xml:space="preserve"> SPECTROMETERS</t>
  </si>
  <si>
    <t xml:space="preserve"> MOISTURE ANALYZER</t>
  </si>
  <si>
    <t xml:space="preserve"> OXYGEN ANALYZER</t>
  </si>
  <si>
    <t xml:space="preserve"> LIQUID ANALYZER</t>
  </si>
  <si>
    <t xml:space="preserve"> PARTICULATE MONITORING CONTROL SOLUTIONS</t>
  </si>
  <si>
    <t xml:space="preserve"> GAS SAFETY DETECTORS</t>
  </si>
  <si>
    <t>SPECTROMETERS</t>
  </si>
  <si>
    <t>cfDNA Standards For Molecular Testing</t>
  </si>
  <si>
    <t>DNA-Depleted Plasma</t>
  </si>
  <si>
    <t>NIPT Trisomy 13</t>
  </si>
  <si>
    <t xml:space="preserve"> 18 &amp; 21 Controls</t>
  </si>
  <si>
    <t>AM Normal Cell Free gDNA</t>
  </si>
  <si>
    <t>AM Variant Cell Free gDNA</t>
  </si>
  <si>
    <t>RNA Fusions Controls</t>
  </si>
  <si>
    <t>Mass Spec Zero</t>
  </si>
  <si>
    <t>Customized Infectious Disease Controls</t>
  </si>
  <si>
    <t>Custom COIVD19/Influenza/RSV Quality Controls</t>
  </si>
  <si>
    <t>Anchor SARS-COV-2 Quality Control</t>
  </si>
  <si>
    <t>Anchor SARS-COV-2 Reference Panel</t>
  </si>
  <si>
    <t>cfDNA Extraction Sensitivity Controls</t>
  </si>
  <si>
    <t>cfDNA Extraction Specificity Controls</t>
  </si>
  <si>
    <t>INDUSTRIAL ETHERNET SWITCHES</t>
  </si>
  <si>
    <t xml:space="preserve"> SERIAL COMMUNICATION</t>
  </si>
  <si>
    <t xml:space="preserve"> SFP MODULES</t>
  </si>
  <si>
    <t xml:space="preserve"> INDUSTRIAL WIRELESS</t>
  </si>
  <si>
    <t xml:space="preserve"> INDUSTRIAL USB</t>
  </si>
  <si>
    <t xml:space="preserve"> ETHERNET MEDIA CONVERTERS</t>
  </si>
  <si>
    <t>ANTENNAS</t>
  </si>
  <si>
    <t xml:space="preserve">LEAD FREE SOLDER </t>
  </si>
  <si>
    <t xml:space="preserve"> CUSTOM PIEZOELECTRIC ELEMENTS</t>
  </si>
  <si>
    <t xml:space="preserve"> IN-HOUSE ASSEMBLY &amp; CONTRACT MANUFACTURING</t>
  </si>
  <si>
    <t xml:space="preserve"> BUZZERS</t>
  </si>
  <si>
    <t xml:space="preserve"> COMPOSITE MATERIALS</t>
  </si>
  <si>
    <t xml:space="preserve"> AIR TRANSDUCERS</t>
  </si>
  <si>
    <t xml:space="preserve"> STACK ACTUATORS</t>
  </si>
  <si>
    <t xml:space="preserve"> STRIPE ACTUATORS</t>
  </si>
  <si>
    <t xml:space="preserve"> ULTRASONIC POWER TRANSDUCERS</t>
  </si>
  <si>
    <t xml:space="preserve"> CYLINDERS</t>
  </si>
  <si>
    <t xml:space="preserve"> AMPLIFIERS</t>
  </si>
  <si>
    <t xml:space="preserve"> WIDE-RANGE D33 METER</t>
  </si>
  <si>
    <t>PHARMACOLOGICAL PRODUCTS</t>
  </si>
  <si>
    <t>FIBRE OPTICS</t>
  </si>
  <si>
    <t xml:space="preserve"> sealants &amp; tape</t>
  </si>
  <si>
    <t>Automotive</t>
  </si>
  <si>
    <t>Bearings</t>
  </si>
  <si>
    <t>Chemicals</t>
  </si>
  <si>
    <t xml:space="preserve"> coatings and compounds</t>
  </si>
  <si>
    <t>Electric motors</t>
  </si>
  <si>
    <t>Fasteners &amp; fixings</t>
  </si>
  <si>
    <t>Filtration</t>
  </si>
  <si>
    <t>General industrial products</t>
  </si>
  <si>
    <t>Hose and fittings</t>
  </si>
  <si>
    <t>Hydraulic products</t>
  </si>
  <si>
    <t>Linear motion</t>
  </si>
  <si>
    <t>Lubrication and equipment</t>
  </si>
  <si>
    <t>Material handling</t>
  </si>
  <si>
    <t>Pneumatics</t>
  </si>
  <si>
    <t>Power transmission</t>
  </si>
  <si>
    <t>Process equipment</t>
  </si>
  <si>
    <t>Seals</t>
  </si>
  <si>
    <t xml:space="preserve"> gaskets and accessories</t>
  </si>
  <si>
    <t>Tools</t>
  </si>
  <si>
    <t>Power Distribution</t>
  </si>
  <si>
    <t>Motor Control &amp; Drives</t>
  </si>
  <si>
    <t>Wiring &amp; Control</t>
  </si>
  <si>
    <t>Cable</t>
  </si>
  <si>
    <t>Enclosures</t>
  </si>
  <si>
    <t>DIN Rail Power Supplies</t>
  </si>
  <si>
    <t>Aluminium Housed Wire Wound Resistors</t>
  </si>
  <si>
    <t>Switch Plate Assemblies</t>
  </si>
  <si>
    <t>Cam Switches</t>
  </si>
  <si>
    <t>Buzzers &amp; Sounders</t>
  </si>
  <si>
    <t>Connection - Power</t>
  </si>
  <si>
    <t>EMI Mains Filters</t>
  </si>
  <si>
    <t>Fuses &amp; Fuseholders</t>
  </si>
  <si>
    <t>Hardware</t>
  </si>
  <si>
    <t>Relays</t>
  </si>
  <si>
    <t>Storage Systems</t>
  </si>
  <si>
    <t>Switches</t>
  </si>
  <si>
    <t>Terminals &amp; Lugs</t>
  </si>
  <si>
    <t>Bioprocessing Osmometers</t>
  </si>
  <si>
    <t>Clinical Osmometers</t>
  </si>
  <si>
    <t>Cell Line Development</t>
  </si>
  <si>
    <t>Artel Liquid Handling Verification</t>
  </si>
  <si>
    <t>Anaerobic Jar Systems</t>
  </si>
  <si>
    <t>CSF Cell Counter</t>
  </si>
  <si>
    <t>Bilirubin Testing</t>
  </si>
  <si>
    <t>Dairy Testing</t>
  </si>
  <si>
    <t>CLUSTERS</t>
  </si>
  <si>
    <t xml:space="preserve"> SERVERS</t>
  </si>
  <si>
    <t xml:space="preserve"> STORAGE</t>
  </si>
  <si>
    <t xml:space="preserve"> WORKSTATIONS</t>
  </si>
  <si>
    <t>Antibodies</t>
  </si>
  <si>
    <t>ANTIBODIES for IHC Wertern Blotting &amp; Immunofluoresence</t>
  </si>
  <si>
    <t>Antibodies for Neuroscience Research</t>
  </si>
  <si>
    <t>Apoptosis</t>
  </si>
  <si>
    <t>Cell Culture</t>
  </si>
  <si>
    <t>Cell-based Assays</t>
  </si>
  <si>
    <t>Cell-based Validated Assays</t>
  </si>
  <si>
    <t>CRISPR Complete Kits</t>
  </si>
  <si>
    <t>ELISA Kits</t>
  </si>
  <si>
    <t>Epigenetics</t>
  </si>
  <si>
    <t>Exosome Research</t>
  </si>
  <si>
    <t>Fluorescence</t>
  </si>
  <si>
    <t>Fluorescent Probes</t>
  </si>
  <si>
    <t>In vivo Antibodies</t>
  </si>
  <si>
    <t>Inhibitors</t>
  </si>
  <si>
    <t>Liquid Biopsy</t>
  </si>
  <si>
    <t>Magnetic Beads/ Purifications</t>
  </si>
  <si>
    <t>Metabolism Assays</t>
  </si>
  <si>
    <t>Multiplex Immunoassay For Flow Cytometry</t>
  </si>
  <si>
    <t>Nanoparticles (Magnetic</t>
  </si>
  <si>
    <t xml:space="preserve"> Gold</t>
  </si>
  <si>
    <t xml:space="preserve"> Silver)</t>
  </si>
  <si>
    <t>Neurodegenerative Fibrillized Proteins</t>
  </si>
  <si>
    <t xml:space="preserve">Other </t>
  </si>
  <si>
    <t>roducts</t>
  </si>
  <si>
    <t>Primary Cells/ Reagents</t>
  </si>
  <si>
    <t>Protein Cross Linkers/ Reagents For Mass Spec.</t>
  </si>
  <si>
    <t>Protein Isolation &amp; Analysis</t>
  </si>
  <si>
    <t>Recombinant Proteins</t>
  </si>
  <si>
    <t>RNAi</t>
  </si>
  <si>
    <t>Sam &amp; Methylation Index</t>
  </si>
  <si>
    <t>Stable Cell Lines</t>
  </si>
  <si>
    <t>Stem Cells</t>
  </si>
  <si>
    <t>TUNR Flexible Gene Editor</t>
  </si>
  <si>
    <t>DNA / RNA COLLECTION</t>
  </si>
  <si>
    <t>Laboratory Chemicals</t>
  </si>
  <si>
    <t>CHEMICALS</t>
  </si>
  <si>
    <t>PREMIUM PCR ESSENTIALS</t>
  </si>
  <si>
    <t xml:space="preserve">Laboratory Consumables </t>
  </si>
  <si>
    <t>PLASTICWARE</t>
  </si>
  <si>
    <t>Specialty laboratory labels</t>
  </si>
  <si>
    <t>SPECIALTY LABORATORY LABELS</t>
  </si>
  <si>
    <t>STORAGE SYSTEMS</t>
  </si>
  <si>
    <t xml:space="preserve">Sample identification and inventory management for laboratories </t>
  </si>
  <si>
    <t>CONSUMABLES</t>
  </si>
  <si>
    <t>Clinical Diagnostics by LC-MS and HPLC</t>
  </si>
  <si>
    <t>CLINICAL DIAGNOSTICS BY LC/MS-MS &amp; HPLC</t>
  </si>
  <si>
    <t xml:space="preserve">Molecular Biology </t>
  </si>
  <si>
    <t>MOLECULAR BIOLOGY</t>
  </si>
  <si>
    <t>ELECTRICAL TEST &amp; MEASUREMENT</t>
  </si>
  <si>
    <t xml:space="preserve"> DATA LOGGERS</t>
  </si>
  <si>
    <t xml:space="preserve"> OSCILLOSCOPES</t>
  </si>
  <si>
    <t xml:space="preserve"> APPLIANCE TESTING</t>
  </si>
  <si>
    <t xml:space="preserve"> BATTERY TESTING</t>
  </si>
  <si>
    <t xml:space="preserve"> CALIBRATORS</t>
  </si>
  <si>
    <t xml:space="preserve"> CIRCUIT IDENTIFIERS</t>
  </si>
  <si>
    <t xml:space="preserve"> CLAMP METERS</t>
  </si>
  <si>
    <t xml:space="preserve"> CURRENT SENSORS</t>
  </si>
  <si>
    <t xml:space="preserve"> EARTH TESTERS</t>
  </si>
  <si>
    <t xml:space="preserve"> ENVIRONMENTAL TESTING</t>
  </si>
  <si>
    <t xml:space="preserve"> EV &amp; EVSE TESTING</t>
  </si>
  <si>
    <t xml:space="preserve"> INFRARED THERMOMETERS</t>
  </si>
  <si>
    <t xml:space="preserve"> INSULATION TESTERSMEDICAL EQUIPMENT TESTING</t>
  </si>
  <si>
    <t xml:space="preserve"> MULTIFUNCTION TESTERS</t>
  </si>
  <si>
    <t xml:space="preserve"> MULTIMETERS</t>
  </si>
  <si>
    <t xml:space="preserve"> NETWORK TESTERS</t>
  </si>
  <si>
    <t xml:space="preserve"> OPTICAL POWER METERS</t>
  </si>
  <si>
    <t xml:space="preserve"> PV TESTERS</t>
  </si>
  <si>
    <t xml:space="preserve"> PHASE ROTATION</t>
  </si>
  <si>
    <t xml:space="preserve"> RESISTANCE METERS</t>
  </si>
  <si>
    <t xml:space="preserve"> VOLTAGE DETECTORS</t>
  </si>
  <si>
    <t xml:space="preserve"> MICROWAVE RADIO EQUIPMENT</t>
  </si>
  <si>
    <t>ACCELERATED AGING</t>
  </si>
  <si>
    <t xml:space="preserve"> CLIMATIC TESTING</t>
  </si>
  <si>
    <t xml:space="preserve"> EARTHQUAKE VIBRATION TESTING</t>
  </si>
  <si>
    <t xml:space="preserve"> ELECTRICAL PRODUCT SAFETY TESTING</t>
  </si>
  <si>
    <t xml:space="preserve"> ELECTRO-MAGNETIC COMPATIBILITY</t>
  </si>
  <si>
    <t xml:space="preserve"> ENCLOSURE PROTECTION</t>
  </si>
  <si>
    <t xml:space="preserve"> ENERGU EFFICIENCY TESTING</t>
  </si>
  <si>
    <t xml:space="preserve"> MEPS</t>
  </si>
  <si>
    <t xml:space="preserve"> GEMS</t>
  </si>
  <si>
    <t xml:space="preserve"> MECHANICAL DYNAMIC TESTING</t>
  </si>
  <si>
    <t xml:space="preserve"> PRESSURE ALTITUDE TESTING</t>
  </si>
  <si>
    <t xml:space="preserve"> SALT CORROSION</t>
  </si>
  <si>
    <t xml:space="preserve"> TELECOMMUNICATIONS</t>
  </si>
  <si>
    <t xml:space="preserve"> TOY TESTING</t>
  </si>
  <si>
    <t xml:space="preserve"> UV SOLAR RADIATION</t>
  </si>
  <si>
    <t xml:space="preserve"> VIBRATION SHOCK TESTING</t>
  </si>
  <si>
    <t xml:space="preserve"> WIRELESS TESTING</t>
  </si>
  <si>
    <t>PATHOLOGY</t>
  </si>
  <si>
    <t xml:space="preserve"> LIFE SCIENCE</t>
  </si>
  <si>
    <t xml:space="preserve"> MEDICAL</t>
  </si>
  <si>
    <t>PRESSURE CALIBRATION</t>
  </si>
  <si>
    <t xml:space="preserve"> VACUUM CALIBRATION</t>
  </si>
  <si>
    <t xml:space="preserve"> ELECTRICAL CALIBRATION </t>
  </si>
  <si>
    <t xml:space="preserve"> NATA ACCREDITED</t>
  </si>
  <si>
    <t>PRINTERS</t>
  </si>
  <si>
    <t xml:space="preserve"> INKS</t>
  </si>
  <si>
    <t>INDUSTRIAL AND EMBEDDED MOTHERBOARDS</t>
  </si>
  <si>
    <t xml:space="preserve"> COMPUTING SYSTEMS</t>
  </si>
  <si>
    <t xml:space="preserve"> PANEL PC</t>
  </si>
  <si>
    <t xml:space="preserve"> COMPUTER ON MODULE</t>
  </si>
  <si>
    <t xml:space="preserve"> POS TERMINAL</t>
  </si>
  <si>
    <t xml:space="preserve"> TABLET</t>
  </si>
  <si>
    <t xml:space="preserve"> DEVICE MANAGEMENT</t>
  </si>
  <si>
    <t xml:space="preserve"> E-INK</t>
  </si>
  <si>
    <t>Spectrometers</t>
  </si>
  <si>
    <t>Light Sources</t>
  </si>
  <si>
    <t>Fiber Optics</t>
  </si>
  <si>
    <t>Accessories</t>
  </si>
  <si>
    <t>Software</t>
  </si>
  <si>
    <t>OEM Products</t>
  </si>
  <si>
    <t>Bundles</t>
  </si>
  <si>
    <t>WEB SERVICES</t>
  </si>
  <si>
    <t>Humidity sensors</t>
  </si>
  <si>
    <t xml:space="preserve"> Pressure Sensors</t>
  </si>
  <si>
    <t xml:space="preserve"> Brightness  sensors</t>
  </si>
  <si>
    <t xml:space="preserve"> Motion sensors</t>
  </si>
  <si>
    <t>LINEAR BEARINGS AND GUIDES</t>
  </si>
  <si>
    <t>Ball Bushing® Bearings</t>
  </si>
  <si>
    <t>RoundRail Shafting</t>
  </si>
  <si>
    <t>Profile Rail Linear Guides</t>
  </si>
  <si>
    <t>RoundRail Linear Guide Systems</t>
  </si>
  <si>
    <t>SCREWS</t>
  </si>
  <si>
    <t>Lead Screws</t>
  </si>
  <si>
    <t>Ball Screws</t>
  </si>
  <si>
    <t>Ball Splines</t>
  </si>
  <si>
    <t>ACTUATORS</t>
  </si>
  <si>
    <t>Electrification</t>
  </si>
  <si>
    <t>Linear Actuators</t>
  </si>
  <si>
    <t>Precision Linear Actuators</t>
  </si>
  <si>
    <t>Stepper Motor Linear Actuators</t>
  </si>
  <si>
    <t>Compact Linear Systems</t>
  </si>
  <si>
    <t>Linear Motion Systems</t>
  </si>
  <si>
    <t>Screw Jacks</t>
  </si>
  <si>
    <t>Lifting Columns</t>
  </si>
  <si>
    <t>OTHER THOMSON COMPONENTS</t>
  </si>
  <si>
    <t>Precision Balls</t>
  </si>
  <si>
    <t>API Delevan Electrical Components</t>
  </si>
  <si>
    <t>API Delevan Resolvers</t>
  </si>
  <si>
    <t>sensors and systems for position measurement</t>
  </si>
  <si>
    <t xml:space="preserve"> identification</t>
  </si>
  <si>
    <t xml:space="preserve"> object detection</t>
  </si>
  <si>
    <t xml:space="preserve"> process media monitoring and a comprehensive portfolio for industrial image processing</t>
  </si>
  <si>
    <t xml:space="preserve"> QR CODES</t>
  </si>
  <si>
    <t xml:space="preserve"> GS1 QR CODES</t>
  </si>
  <si>
    <t xml:space="preserve"> V BUSINESS CARD</t>
  </si>
  <si>
    <t>HANDHELD COMPUTERS</t>
  </si>
  <si>
    <t xml:space="preserve"> BARCODE PRINTERS</t>
  </si>
  <si>
    <t xml:space="preserve"> BARCODE SCANNERS</t>
  </si>
  <si>
    <t xml:space="preserve"> TABLET COMPUTERS</t>
  </si>
  <si>
    <t xml:space="preserve"> RECEIPT PRINTERS</t>
  </si>
  <si>
    <t xml:space="preserve"> BARCODE LABELS</t>
  </si>
  <si>
    <t xml:space="preserve"> RDIF READERS</t>
  </si>
  <si>
    <t xml:space="preserve"> AUTONOMOUS MOBILE ROBOTICS</t>
  </si>
  <si>
    <t>RUST REMOVER</t>
  </si>
  <si>
    <t xml:space="preserve"> RADIATOR COOLING</t>
  </si>
  <si>
    <t xml:space="preserve"> CAR FLUIDS</t>
  </si>
  <si>
    <t>controllers</t>
  </si>
  <si>
    <t>HMIs</t>
  </si>
  <si>
    <t>sensing</t>
  </si>
  <si>
    <t xml:space="preserve"> encoders</t>
  </si>
  <si>
    <t xml:space="preserve"> and instrumentation</t>
  </si>
  <si>
    <t>safety + signal towers</t>
  </si>
  <si>
    <t>temperature control</t>
  </si>
  <si>
    <t xml:space="preserve"> static control</t>
  </si>
  <si>
    <t>linear bearings</t>
  </si>
  <si>
    <t>leadscrews + ballscrews</t>
  </si>
  <si>
    <t>stepper actuators</t>
  </si>
  <si>
    <t>electric cylinders</t>
  </si>
  <si>
    <t>precision linear actuators and stages</t>
  </si>
  <si>
    <t>motors + drives</t>
  </si>
  <si>
    <t>gearheads</t>
  </si>
  <si>
    <t>roller pinion systems</t>
  </si>
  <si>
    <t>CUSTOM LABELS</t>
  </si>
  <si>
    <t>BIOLOGICAL</t>
  </si>
  <si>
    <t>SYSTEM ENGINEERING</t>
  </si>
  <si>
    <t xml:space="preserve"> SOFTWARE PRODUCT DEVELOPMENT</t>
  </si>
  <si>
    <t xml:space="preserve"> HUMAN FACTOR UX</t>
  </si>
  <si>
    <t xml:space="preserve"> REGULATORY COMPLIANCE</t>
  </si>
  <si>
    <t xml:space="preserve"> REMEDIATION</t>
  </si>
  <si>
    <t>Automotive Bearings</t>
  </si>
  <si>
    <t>Ball Bearings</t>
  </si>
  <si>
    <t>Cylindrical Roller Bearings</t>
  </si>
  <si>
    <t>Tapered Roller Bearings</t>
  </si>
  <si>
    <t>Needle Roller Bearings</t>
  </si>
  <si>
    <t>Bearing Housings</t>
  </si>
  <si>
    <t>Linear Motion Bearings</t>
  </si>
  <si>
    <t>Self-Aligning Plain Bearings</t>
  </si>
  <si>
    <t>Bearing Bushes</t>
  </si>
  <si>
    <t>FASTENERS THREAD LOCKING ADHESIVES</t>
  </si>
  <si>
    <t>COLOUR CODING</t>
  </si>
  <si>
    <t xml:space="preserve"> DRY FINISH</t>
  </si>
  <si>
    <t xml:space="preserve"> LONG SHELF-LIFE</t>
  </si>
  <si>
    <t xml:space="preserve"> ANTI-FRICTION COATINGS</t>
  </si>
  <si>
    <t xml:space="preserve"> LUBRICANT</t>
  </si>
  <si>
    <t xml:space="preserve"> SEALANT</t>
  </si>
  <si>
    <t>Fittings</t>
  </si>
  <si>
    <t>Quick Disconnects</t>
  </si>
  <si>
    <t>Regulators</t>
  </si>
  <si>
    <t>Valves</t>
  </si>
  <si>
    <t>Orifice Restrictors</t>
  </si>
  <si>
    <t>Filters</t>
  </si>
  <si>
    <t xml:space="preserve"> Mufflers</t>
  </si>
  <si>
    <t xml:space="preserve"> &amp; Breathers</t>
  </si>
  <si>
    <t>Tubing &amp; Accessories</t>
  </si>
  <si>
    <t xml:space="preserve"> DIAPHRAGM PUMPS</t>
  </si>
  <si>
    <t xml:space="preserve"> AIR &amp; GAS PUMPS</t>
  </si>
  <si>
    <t xml:space="preserve"> LIQUID PUMPS</t>
  </si>
  <si>
    <t>Cancer</t>
  </si>
  <si>
    <t>Cardiovascular</t>
  </si>
  <si>
    <t>Drugs</t>
  </si>
  <si>
    <t>Endocrine Thyroid</t>
  </si>
  <si>
    <t>Human Serum Proteins</t>
  </si>
  <si>
    <t>Infectious Diseases</t>
  </si>
  <si>
    <t>Miscellaneous</t>
  </si>
  <si>
    <t>Steroids</t>
  </si>
  <si>
    <t>Liquid Handling</t>
  </si>
  <si>
    <t xml:space="preserve"> Biospecimen Storage</t>
  </si>
  <si>
    <t xml:space="preserve"> PCR Equipment</t>
  </si>
  <si>
    <t xml:space="preserve"> Automated Instruments &amp; Robotic Integration Platforms</t>
  </si>
  <si>
    <t>Flexible Heaters</t>
  </si>
  <si>
    <t>High Temperature Heating Element</t>
  </si>
  <si>
    <t>Cartridge Heater</t>
  </si>
  <si>
    <t>Kapton® Heating Solutions</t>
  </si>
  <si>
    <t>Silicone Rubber Heating Systems</t>
  </si>
  <si>
    <t>Mica Insulated Heating Elements and Systems</t>
  </si>
  <si>
    <t>Butyl Rubber Heating Solutions</t>
  </si>
  <si>
    <t>Temperature Sensors</t>
  </si>
  <si>
    <t>Bare Element</t>
  </si>
  <si>
    <t>RTD Sensors</t>
  </si>
  <si>
    <t>Thermocouple Sensors</t>
  </si>
  <si>
    <t>Bolt-On Temperature Sensors</t>
  </si>
  <si>
    <t>RTD High Temperature Probes</t>
  </si>
  <si>
    <t>Surface Mount Sensors</t>
  </si>
  <si>
    <t>Customized Sensor Solutions</t>
  </si>
  <si>
    <t>WORKSTATION PCs</t>
  </si>
  <si>
    <t xml:space="preserve"> LAPTOPS</t>
  </si>
  <si>
    <t xml:space="preserve"> COMPUTING PRODUCTS</t>
  </si>
  <si>
    <t>Safety PPE</t>
  </si>
  <si>
    <t>Workplace Safety</t>
  </si>
  <si>
    <t>Clothing &amp; Footwear</t>
  </si>
  <si>
    <t>Lifting &amp; Manual Handling</t>
  </si>
  <si>
    <t>Electrical &amp; Automotive</t>
  </si>
  <si>
    <t>Mechanical Engineering</t>
  </si>
  <si>
    <t>Cleaning</t>
  </si>
  <si>
    <t xml:space="preserve"> Packaging and Office Supplies</t>
  </si>
  <si>
    <t>Building &amp; Hardware</t>
  </si>
  <si>
    <t>Fabrication</t>
  </si>
  <si>
    <t>Fasteners &amp; Fixings</t>
  </si>
  <si>
    <t>BLUETOOTH TECHNOLOGY</t>
  </si>
  <si>
    <t>WEBSITE DESIGN</t>
  </si>
  <si>
    <t xml:space="preserve">LED </t>
  </si>
  <si>
    <t xml:space="preserve"> NUTS</t>
  </si>
  <si>
    <t xml:space="preserve"> INSERTS</t>
  </si>
  <si>
    <t xml:space="preserve"> SIGNAGE</t>
  </si>
  <si>
    <t xml:space="preserve"> FIRST AID</t>
  </si>
  <si>
    <t>DATA TRANSMISSION CABLES OEM</t>
  </si>
  <si>
    <t xml:space="preserve"> DIGITAL ELECTRONICS CABLES</t>
  </si>
  <si>
    <t>Auditing</t>
  </si>
  <si>
    <t xml:space="preserve"> certification and training</t>
  </si>
  <si>
    <t>Assessment</t>
  </si>
  <si>
    <t xml:space="preserve"> ISO certification and others: IATF</t>
  </si>
  <si>
    <t xml:space="preserve"> FSSC</t>
  </si>
  <si>
    <t>Auditing and verification</t>
  </si>
  <si>
    <t>Product testing and certification</t>
  </si>
  <si>
    <t>BSI Kitemark</t>
  </si>
  <si>
    <t xml:space="preserve"> CE marking and verification</t>
  </si>
  <si>
    <t xml:space="preserve"> Market access solutions</t>
  </si>
  <si>
    <t>Validate BSI-issued certificates</t>
  </si>
  <si>
    <t>Training courses</t>
  </si>
  <si>
    <t>Medical devices services</t>
  </si>
  <si>
    <t>BSI Certification Guidebooks</t>
  </si>
  <si>
    <t>BSI Connect</t>
  </si>
  <si>
    <t>Software tools and solutions for audit</t>
  </si>
  <si>
    <t xml:space="preserve"> risk</t>
  </si>
  <si>
    <t xml:space="preserve"> compliance and supply chain management</t>
  </si>
  <si>
    <t>Consulting practices</t>
  </si>
  <si>
    <t>Digital trust</t>
  </si>
  <si>
    <t>Supply chain management</t>
  </si>
  <si>
    <t>View all BSI services</t>
  </si>
  <si>
    <t>BIOLOGICAL SAFETY WORKSTATION</t>
  </si>
  <si>
    <t xml:space="preserve"> COMBINATION PCR WORKSTATION</t>
  </si>
  <si>
    <t xml:space="preserve"> LAMINAR FLOW CLEAN BENCH</t>
  </si>
  <si>
    <t xml:space="preserve"> MICROSCOPE ENCLOSURE</t>
  </si>
  <si>
    <t xml:space="preserve"> DEAD AIR BOX</t>
  </si>
  <si>
    <t xml:space="preserve"> CHEMICAL WORKSTATION</t>
  </si>
  <si>
    <t xml:space="preserve"> FUME HOOD</t>
  </si>
  <si>
    <t xml:space="preserve"> ROBOTIC SAFETY ENCLOSURE</t>
  </si>
  <si>
    <t xml:space="preserve"> CYANOACRYLATE FUMING CHAMBER</t>
  </si>
  <si>
    <t xml:space="preserve"> PRINT DUSTING STATION</t>
  </si>
  <si>
    <t xml:space="preserve"> CARBON FILTRARION</t>
  </si>
  <si>
    <t xml:space="preserve"> HEPA</t>
  </si>
  <si>
    <t xml:space="preserve"> ULPA &amp; PRE-FILTERS</t>
  </si>
  <si>
    <t>AUTOMATED CATHETER TIPPING</t>
  </si>
  <si>
    <t xml:space="preserve"> BONDING</t>
  </si>
  <si>
    <t xml:space="preserve"> FLARING</t>
  </si>
  <si>
    <t>Anaesthesia System</t>
  </si>
  <si>
    <t>Ventilator system</t>
  </si>
  <si>
    <t>endoscopy</t>
  </si>
  <si>
    <t xml:space="preserve"> defibrillators</t>
  </si>
  <si>
    <t xml:space="preserve"> patient monitoring</t>
  </si>
  <si>
    <t>COMPUTER PRODUCTS</t>
  </si>
  <si>
    <t>CIRCLIPS</t>
  </si>
  <si>
    <t xml:space="preserve"> RETAINING RINGS</t>
  </si>
  <si>
    <t xml:space="preserve"> DISC SPRINGS</t>
  </si>
  <si>
    <t xml:space="preserve"> HANDY PACK</t>
  </si>
  <si>
    <t xml:space="preserve"> WAVE SPRINGS</t>
  </si>
  <si>
    <t xml:space="preserve"> ROLL PINS</t>
  </si>
  <si>
    <t>ELECTRONICS DESIGN</t>
  </si>
  <si>
    <t>FACILITY SIGNAGE</t>
  </si>
  <si>
    <t xml:space="preserve"> FACILITY LABELS</t>
  </si>
  <si>
    <t xml:space="preserve"> CUSTOM SIGNAGE</t>
  </si>
  <si>
    <t xml:space="preserve"> MACHINERY RISK SOLUTIONS</t>
  </si>
  <si>
    <t>CLEAN ROOM TUBING CUTTERS</t>
  </si>
  <si>
    <t xml:space="preserve"> CLEAN ROOM FITTING INSERTERS</t>
  </si>
  <si>
    <t xml:space="preserve"> CLEAN ROOM TUBING EXPANDERS</t>
  </si>
  <si>
    <t xml:space="preserve"> CLEAN ROOM PASS-THROUGH WINDOWS</t>
  </si>
  <si>
    <t>ACE</t>
  </si>
  <si>
    <t>Exergen Precalibrated IRt/c's</t>
  </si>
  <si>
    <t>Exergen AutoSmart IRt/c's</t>
  </si>
  <si>
    <t>Exergen Custom Specific IRt/c's</t>
  </si>
  <si>
    <t>Exergen Adjustable IRt/c's</t>
  </si>
  <si>
    <t>Exergen Handheld Scanners</t>
  </si>
  <si>
    <t>Dali Thermal Camera's</t>
  </si>
  <si>
    <t>Novus PID controller</t>
  </si>
  <si>
    <t>pharmaceuticals</t>
  </si>
  <si>
    <t xml:space="preserve"> medical consumables</t>
  </si>
  <si>
    <t xml:space="preserve"> nutritional</t>
  </si>
  <si>
    <t xml:space="preserve"> OTC</t>
  </si>
  <si>
    <t xml:space="preserve"> medical equipment and medical supplies</t>
  </si>
  <si>
    <t>PHARMACEUTICAL STANDARD</t>
  </si>
  <si>
    <t xml:space="preserve"> ISO STANDARD</t>
  </si>
  <si>
    <t xml:space="preserve"> QMS STANDARD</t>
  </si>
  <si>
    <t xml:space="preserve"> POINT OF CARE TESTING STANDARD</t>
  </si>
  <si>
    <t>METROLOGY</t>
  </si>
  <si>
    <t>MEDICAL DESIGN</t>
  </si>
  <si>
    <t xml:space="preserve"> SOFTWARE MEDICAL DESIGN</t>
  </si>
  <si>
    <t xml:space="preserve"> ELECTRONICS DESIGN</t>
  </si>
  <si>
    <t>CNC KNIFE CUTTING</t>
  </si>
  <si>
    <t xml:space="preserve"> PACKAGING</t>
  </si>
  <si>
    <t xml:space="preserve"> FOAM SPLITTING</t>
  </si>
  <si>
    <t>SPECIALTY LAMINATING</t>
  </si>
  <si>
    <t xml:space="preserve"> SLITTING</t>
  </si>
  <si>
    <t xml:space="preserve"> SHEETING</t>
  </si>
  <si>
    <t xml:space="preserve"> MICROFLUIDICS</t>
  </si>
  <si>
    <t xml:space="preserve"> OPTICS</t>
  </si>
  <si>
    <t>LOCK</t>
  </si>
  <si>
    <t xml:space="preserve"> LATCHES</t>
  </si>
  <si>
    <t xml:space="preserve"> HINGES</t>
  </si>
  <si>
    <t>CONSUMER CABLES</t>
  </si>
  <si>
    <t>COMPRESSED AIR</t>
  </si>
  <si>
    <t xml:space="preserve"> ACETYLENE GAS</t>
  </si>
  <si>
    <t xml:space="preserve"> CARBON DIOXIDE GAS</t>
  </si>
  <si>
    <t xml:space="preserve"> HELIUM</t>
  </si>
  <si>
    <t>DOCUMENT DESTRUCTION</t>
  </si>
  <si>
    <t xml:space="preserve"> SHREDDING</t>
  </si>
  <si>
    <t xml:space="preserve"> HARD DRIVE DESTRUCTION</t>
  </si>
  <si>
    <t>SOFTWARE COMPLIANCE</t>
  </si>
  <si>
    <t xml:space="preserve"> FDA COMPLIANCE</t>
  </si>
  <si>
    <t xml:space="preserve"> IEC 62304</t>
  </si>
  <si>
    <t>BLUE NODE</t>
  </si>
  <si>
    <t xml:space="preserve"> PENETRATION TESTING</t>
  </si>
  <si>
    <t xml:space="preserve"> GOVERNANCE RISK AND COMPLIANCE</t>
  </si>
  <si>
    <t xml:space="preserve"> CYBER ADVISORY</t>
  </si>
  <si>
    <t>EMPLOYEE WELLBEING</t>
  </si>
  <si>
    <t>PENETRATION TESTING</t>
  </si>
  <si>
    <t xml:space="preserve"> CLOUD SECURITY SOLUTIONS</t>
  </si>
  <si>
    <t xml:space="preserve"> IDENTITY AND ACCESS MANAGEMENT</t>
  </si>
  <si>
    <t>TOUCHSCREEN</t>
  </si>
  <si>
    <t>IoT</t>
  </si>
  <si>
    <t xml:space="preserve"> INDUSTRIAL GATEWAY</t>
  </si>
  <si>
    <t xml:space="preserve"> LORAWAN NODE</t>
  </si>
  <si>
    <t xml:space="preserve"> LTE CAT M1 NODE</t>
  </si>
  <si>
    <t xml:space="preserve"> LTE NB-IOT NODE</t>
  </si>
  <si>
    <t xml:space="preserve"> LEO SATELLITE NODE</t>
  </si>
  <si>
    <t>COMPUTER</t>
  </si>
  <si>
    <t xml:space="preserve"> IT INFRASTRACTURE</t>
  </si>
  <si>
    <t>Balloon Catheter</t>
  </si>
  <si>
    <t>Inflation Devices</t>
  </si>
  <si>
    <t>Y Connector Kit</t>
  </si>
  <si>
    <t>Introducer Sheath</t>
  </si>
  <si>
    <t>Tourniquet</t>
  </si>
  <si>
    <t>Peelable Introducer</t>
  </si>
  <si>
    <t>RESPIRATORY DEVICE</t>
  </si>
  <si>
    <t>ENGRAVINGS</t>
  </si>
  <si>
    <t xml:space="preserve"> LASER MARKINGS</t>
  </si>
  <si>
    <t xml:space="preserve"> CNC ROUTING</t>
  </si>
  <si>
    <t xml:space="preserve"> VYNIL PRINTING</t>
  </si>
  <si>
    <t>ENVIRONMENTAL CONSULTANCY</t>
  </si>
  <si>
    <t xml:space="preserve"> PRODUCT LIFECYCLE</t>
  </si>
  <si>
    <t xml:space="preserve"> SUPPLY CHAIN</t>
  </si>
  <si>
    <t xml:space="preserve"> DRIVES</t>
  </si>
  <si>
    <t xml:space="preserve"> BELTS</t>
  </si>
  <si>
    <t xml:space="preserve"> THERMAL LABELS</t>
  </si>
  <si>
    <t xml:space="preserve"> DYMO LABELS</t>
  </si>
  <si>
    <t xml:space="preserve"> PRINTERS</t>
  </si>
  <si>
    <t xml:space="preserve"> THERMAL PRINTERS</t>
  </si>
  <si>
    <t xml:space="preserve"> TSC PRINTERS</t>
  </si>
  <si>
    <t>METERING PUMPS</t>
  </si>
  <si>
    <t xml:space="preserve"> GEAR PUMPS</t>
  </si>
  <si>
    <t>OEM COMPUTING  PRODUCTS</t>
  </si>
  <si>
    <t>CNC</t>
  </si>
  <si>
    <t xml:space="preserve"> FEEDERS</t>
  </si>
  <si>
    <t xml:space="preserve"> TOOL SETTERS</t>
  </si>
  <si>
    <t xml:space="preserve"> JAWS</t>
  </si>
  <si>
    <t xml:space="preserve"> MILLING MACHINES</t>
  </si>
  <si>
    <t xml:space="preserve"> WEARABLES</t>
  </si>
  <si>
    <t xml:space="preserve"> SEALS</t>
  </si>
  <si>
    <t xml:space="preserve"> GASKETS</t>
  </si>
  <si>
    <t xml:space="preserve"> ADHESIVES</t>
  </si>
  <si>
    <t>MARKET EXPANSION SERVICE PROVIDER</t>
  </si>
  <si>
    <t>STAGES</t>
  </si>
  <si>
    <t>IV BAGS</t>
  </si>
  <si>
    <t xml:space="preserve"> A-CLAMPS</t>
  </si>
  <si>
    <t xml:space="preserve"> T-CLAMPS</t>
  </si>
  <si>
    <t>FIXTURES</t>
  </si>
  <si>
    <t>ANTIBODIES</t>
  </si>
  <si>
    <t xml:space="preserve"> ANTIGENS</t>
  </si>
  <si>
    <t xml:space="preserve"> MATCHED PAIRS</t>
  </si>
  <si>
    <t>Air Velocity</t>
  </si>
  <si>
    <t>CO2 / Air Quality Measurement</t>
  </si>
  <si>
    <t>Controllers &amp; Indicators</t>
  </si>
  <si>
    <t>Data Loggers &amp; Recorders</t>
  </si>
  <si>
    <t>Displacement Sensors</t>
  </si>
  <si>
    <t>Environmental Monitoring Solutions</t>
  </si>
  <si>
    <t>Flow Sensors &amp; Switches</t>
  </si>
  <si>
    <t>Hand Held Test &amp; Measurement Meters</t>
  </si>
  <si>
    <t>HMI &amp; IO Modules</t>
  </si>
  <si>
    <t>Humidity</t>
  </si>
  <si>
    <t xml:space="preserve"> Dew Point</t>
  </si>
  <si>
    <t xml:space="preserve"> Moisture</t>
  </si>
  <si>
    <t>Level Sensing</t>
  </si>
  <si>
    <t>Load Cells &amp; Force Gauges</t>
  </si>
  <si>
    <t>Ovens &amp; Furnaces</t>
  </si>
  <si>
    <t>Pressure</t>
  </si>
  <si>
    <t>Signal Conditioning Devices &amp; transmitters</t>
  </si>
  <si>
    <t>Temperature – Infrared</t>
  </si>
  <si>
    <t>Temperature – Sensors</t>
  </si>
  <si>
    <t>Temperature – Thermometers &amp; Probes</t>
  </si>
  <si>
    <t>Thermocouple Cable</t>
  </si>
  <si>
    <t>Thermal Validation Solutions</t>
  </si>
  <si>
    <t>TRANSFORMERS</t>
  </si>
  <si>
    <t>ENVIRONMENTAL MONITORING</t>
  </si>
  <si>
    <t xml:space="preserve"> INDUSTRIAL RELIABILITY</t>
  </si>
  <si>
    <t xml:space="preserve"> SECURITY SOLUTIONS</t>
  </si>
  <si>
    <t>POWER ADAPTERS</t>
  </si>
  <si>
    <t>SCREEN PRITNING</t>
  </si>
  <si>
    <t>TOUCHSCREENS</t>
  </si>
  <si>
    <t>CASTOR WHEELS</t>
  </si>
  <si>
    <t>EMC</t>
  </si>
  <si>
    <t>REGULATORY COMPLAINCE</t>
  </si>
  <si>
    <t xml:space="preserve"> MARKET ACCESS</t>
  </si>
  <si>
    <t xml:space="preserve"> IVD COMPLIANCE</t>
  </si>
  <si>
    <t xml:space="preserve"> HUMAN DESIGN RESEARCH &amp;  DESIGN</t>
  </si>
  <si>
    <t xml:space="preserve"> PROVACY &amp; SECURITY SERVICES</t>
  </si>
  <si>
    <t xml:space="preserve"> CM</t>
  </si>
  <si>
    <t>ELECTRONIC TEST &amp; MEASUREMENT</t>
  </si>
  <si>
    <t xml:space="preserve"> TEST &amp; TAG ELECTRICAL INSTRUMENTS</t>
  </si>
  <si>
    <t xml:space="preserve"> 3D PRINTERS AND ADDITIVE MANUFACTURING</t>
  </si>
  <si>
    <t xml:space="preserve"> ENGINEERING TEACHING &amp; RESEARCH EQUIPMENT</t>
  </si>
  <si>
    <t xml:space="preserve"> CALIBRATION</t>
  </si>
  <si>
    <t>MEDICAL</t>
  </si>
  <si>
    <t>INDUSTRIAL DESIGN SERVICES</t>
  </si>
  <si>
    <t>electrical enclosures</t>
  </si>
  <si>
    <t>PLASTIC CLIPS</t>
  </si>
  <si>
    <t>PRODUCT SAFETY TESTING &amp; CERTIFICATION</t>
  </si>
  <si>
    <t xml:space="preserve"> ENERGY EFFICIENCY TESTING &amp; CERTIFICATION</t>
  </si>
  <si>
    <t xml:space="preserve"> EMC TESTING</t>
  </si>
  <si>
    <t xml:space="preserve"> EXPERT SERVICES</t>
  </si>
  <si>
    <t xml:space="preserve"> ENVIRONMENTAL SIMULATION TESTING</t>
  </si>
  <si>
    <t xml:space="preserve"> ON-SITE FIELD TESTING &amp; EVALUATION</t>
  </si>
  <si>
    <t xml:space="preserve"> TELECOM NEBS TESTING</t>
  </si>
  <si>
    <t xml:space="preserve"> WIRELESS RF TESTING</t>
  </si>
  <si>
    <t>RIM</t>
  </si>
  <si>
    <t>PACKAGING TESTING</t>
  </si>
  <si>
    <t xml:space="preserve"> DG PACKAGE TESTING</t>
  </si>
  <si>
    <t xml:space="preserve"> PRODUCT TESTING</t>
  </si>
  <si>
    <t xml:space="preserve"> PALLET TESTING</t>
  </si>
  <si>
    <t xml:space="preserve"> DROP TESTING</t>
  </si>
  <si>
    <t xml:space="preserve"> SHOCK TESTING</t>
  </si>
  <si>
    <t>SOFTWARE TESTING</t>
  </si>
  <si>
    <t xml:space="preserve"> LIVE VISUAL STUDIO TESTING</t>
  </si>
  <si>
    <t>ELECTRONICS KNOWLEDGE COURSES ONLINE</t>
  </si>
  <si>
    <t>PNEUMATIC</t>
  </si>
  <si>
    <t>MEASUREMENT INSTRUMENTS</t>
  </si>
  <si>
    <t>Assay Kits &amp; Development Tools</t>
  </si>
  <si>
    <t>Biosafety Equipment &amp; Accessories</t>
  </si>
  <si>
    <t>Cell &amp; Tissue Culture</t>
  </si>
  <si>
    <t>Centrifugation &amp; Accessories</t>
  </si>
  <si>
    <t>Protein Analysis</t>
  </si>
  <si>
    <t xml:space="preserve"> Cloning</t>
  </si>
  <si>
    <t xml:space="preserve"> Expression and Purification</t>
  </si>
  <si>
    <t>Cooling &amp; Refrigeration Equipment</t>
  </si>
  <si>
    <t>DNA/RNA Extraction/Purification &amp; Sampling Kits</t>
  </si>
  <si>
    <t>Electrophoresis Equipment &amp; Accessories</t>
  </si>
  <si>
    <t>Electroporation &amp; Electrofusion</t>
  </si>
  <si>
    <t>Heating &amp; Drying Equipment</t>
  </si>
  <si>
    <t>Imaging &amp; Gel Documentation Systems</t>
  </si>
  <si>
    <t>Instruments &amp; Laboratory Equipment</t>
  </si>
  <si>
    <t>Liquid Handling &amp; Automation</t>
  </si>
  <si>
    <t>PCR Instrumentation</t>
  </si>
  <si>
    <t xml:space="preserve"> Reagents &amp; Consumables</t>
  </si>
  <si>
    <t>Plastic Labware &amp; Consumables</t>
  </si>
  <si>
    <t>Promotions</t>
  </si>
  <si>
    <t>CUSTOM USB STICKS</t>
  </si>
  <si>
    <t>MEDICAL TUBING</t>
  </si>
  <si>
    <t xml:space="preserve"> FITTINGS</t>
  </si>
  <si>
    <t>RELAY</t>
  </si>
  <si>
    <t xml:space="preserve"> FUSES</t>
  </si>
  <si>
    <t>GAUGES</t>
  </si>
  <si>
    <t xml:space="preserve"> GAGES</t>
  </si>
  <si>
    <t xml:space="preserve"> thread measurement tools</t>
  </si>
  <si>
    <t xml:space="preserve"> gages and services</t>
  </si>
  <si>
    <t xml:space="preserve"> like hard to find Acme</t>
  </si>
  <si>
    <t xml:space="preserve"> API</t>
  </si>
  <si>
    <t xml:space="preserve"> Before-Coating</t>
  </si>
  <si>
    <t xml:space="preserve"> Before-Plate</t>
  </si>
  <si>
    <t xml:space="preserve"> Buttress</t>
  </si>
  <si>
    <t xml:space="preserve"> British</t>
  </si>
  <si>
    <t xml:space="preserve"> Knuckle</t>
  </si>
  <si>
    <t xml:space="preserve"> Left Hand</t>
  </si>
  <si>
    <t xml:space="preserve"> Light-Bulb</t>
  </si>
  <si>
    <t xml:space="preserve"> Medical</t>
  </si>
  <si>
    <t xml:space="preserve"> Metric</t>
  </si>
  <si>
    <t xml:space="preserve"> Oilfield</t>
  </si>
  <si>
    <t xml:space="preserve"> Pipe</t>
  </si>
  <si>
    <t xml:space="preserve"> Trapezoidal and other gauges</t>
  </si>
  <si>
    <t>COMPRESSORS</t>
  </si>
  <si>
    <t xml:space="preserve"> BLOWERS</t>
  </si>
  <si>
    <t>FILTERS</t>
  </si>
  <si>
    <t xml:space="preserve"> SOLENOID</t>
  </si>
  <si>
    <t xml:space="preserve"> RELAYS</t>
  </si>
  <si>
    <t xml:space="preserve"> ELECTRONICS</t>
  </si>
  <si>
    <t>METROLOGY SERVICES</t>
  </si>
  <si>
    <t xml:space="preserve"> VAC CASTING</t>
  </si>
  <si>
    <t xml:space="preserve"> INJ MOULDING</t>
  </si>
  <si>
    <t>EMI SHIELDS</t>
  </si>
  <si>
    <t xml:space="preserve"> CASTING</t>
  </si>
  <si>
    <t xml:space="preserve">MEDICAL </t>
  </si>
  <si>
    <t>RFID TAGS</t>
  </si>
  <si>
    <t>AUTOMATION</t>
  </si>
  <si>
    <t>CD-DVD DUPLICATION</t>
  </si>
  <si>
    <t xml:space="preserve"> VYNIL RECORD PRESSING</t>
  </si>
  <si>
    <t xml:space="preserve"> PROMOTIONAL USB DRIVE</t>
  </si>
  <si>
    <t xml:space="preserve"> DOWNLOAD CARDS</t>
  </si>
  <si>
    <t xml:space="preserve"> GARMENT PRINTING</t>
  </si>
  <si>
    <t xml:space="preserve"> BUSINESS CARDS</t>
  </si>
  <si>
    <t>INJECTION MOUNDING CONSULTANTS</t>
  </si>
  <si>
    <t xml:space="preserve"> MOLDFLOW  SIMULATIONS</t>
  </si>
  <si>
    <t>IP TESTING</t>
  </si>
  <si>
    <t xml:space="preserve"> LEAK TESTING EQUIPMENT</t>
  </si>
  <si>
    <t xml:space="preserve"> FLUIDICS</t>
  </si>
  <si>
    <t>HAPTIC MOTORS</t>
  </si>
  <si>
    <t xml:space="preserve"> VIBRATION MOTORS</t>
  </si>
  <si>
    <t>MONITOR ARMS</t>
  </si>
  <si>
    <t xml:space="preserve"> DESKTOP CONVERTERS</t>
  </si>
  <si>
    <t xml:space="preserve"> POINT-OF-SALE MOUNTS</t>
  </si>
  <si>
    <t xml:space="preserve"> SEATING</t>
  </si>
  <si>
    <t xml:space="preserve"> HATWAREHOUSE</t>
  </si>
  <si>
    <t>TEST INSTRUMENTS</t>
  </si>
  <si>
    <t>QUALITY ASSURANCE TESTING</t>
  </si>
  <si>
    <t xml:space="preserve"> MATERIAL TESTING</t>
  </si>
  <si>
    <t xml:space="preserve"> CERTIFICATIONS</t>
  </si>
  <si>
    <t>GENERAL COURIER</t>
  </si>
  <si>
    <t xml:space="preserve"> EXPRESS COURIER</t>
  </si>
  <si>
    <t xml:space="preserve"> DIRECT COURIER</t>
  </si>
  <si>
    <t>AUDIO</t>
  </si>
  <si>
    <t xml:space="preserve"> VIDEO EQUIPMENT</t>
  </si>
  <si>
    <t>MEDICAL COMPLIANCE</t>
  </si>
  <si>
    <t xml:space="preserve"> TGA</t>
  </si>
  <si>
    <t xml:space="preserve"> CE MARKINGS</t>
  </si>
  <si>
    <t xml:space="preserve"> FDA</t>
  </si>
  <si>
    <t xml:space="preserve"> HEALTH CANADA</t>
  </si>
  <si>
    <t>STERILIZATION EQUIPEMTN</t>
  </si>
  <si>
    <t>AUDIO &amp; VIDEO CABLES</t>
  </si>
  <si>
    <t xml:space="preserve"> USB CABLES</t>
  </si>
  <si>
    <t xml:space="preserve"> THUNDERBOLT CABLES</t>
  </si>
  <si>
    <t xml:space="preserve"> FIREWIRE</t>
  </si>
  <si>
    <t xml:space="preserve"> I/0 CABLES</t>
  </si>
  <si>
    <t>MEDICAL GLASS TUUBES</t>
  </si>
  <si>
    <t xml:space="preserve"> MICRO APERTURE</t>
  </si>
  <si>
    <t>TIES</t>
  </si>
  <si>
    <t>FOAMS</t>
  </si>
  <si>
    <t xml:space="preserve"> SILICONE</t>
  </si>
  <si>
    <t xml:space="preserve"> LASER CUTTING</t>
  </si>
  <si>
    <t>INDICATORS &amp; DISPLAYS</t>
  </si>
  <si>
    <t xml:space="preserve"> CONDITIONERS &amp; TRANSMITTERS</t>
  </si>
  <si>
    <t xml:space="preserve"> LOAD CELLS</t>
  </si>
  <si>
    <t xml:space="preserve"> TANK/SILO WEIGHTING ASSEMBLIES</t>
  </si>
  <si>
    <t xml:space="preserve"> SPECIAL PURPOSE AND SHACKLE PINS</t>
  </si>
  <si>
    <t>POWER CORDS</t>
  </si>
  <si>
    <t>RAILS</t>
  </si>
  <si>
    <t>PRECISION COMPONENTS</t>
  </si>
  <si>
    <t xml:space="preserve"> GAUGES</t>
  </si>
  <si>
    <t xml:space="preserve"> CALIBRATION TOOLS</t>
  </si>
  <si>
    <t xml:space="preserve"> TOUCH PROBES</t>
  </si>
  <si>
    <t>3D SCANNING</t>
  </si>
  <si>
    <t xml:space="preserve">  REVERSE ENGINEERING3D SCANNERS</t>
  </si>
  <si>
    <t xml:space="preserve"> HANDHELD METROLOGY</t>
  </si>
  <si>
    <t xml:space="preserve"> AUTOMATED METROLOGY</t>
  </si>
  <si>
    <t xml:space="preserve"> CT &amp; X-RAY METROLOGY</t>
  </si>
  <si>
    <t xml:space="preserve"> 3D PRINTERS</t>
  </si>
  <si>
    <t>MATERIAL TESTING</t>
  </si>
  <si>
    <t xml:space="preserve">  AUDITING CERTIFICATION</t>
  </si>
  <si>
    <t xml:space="preserve"> MEDICAL DEVICE REGULATORY COMPLIANCE</t>
  </si>
  <si>
    <t xml:space="preserve"> SGS ASSURANCE SERVICES</t>
  </si>
  <si>
    <t xml:space="preserve"> SUPPLY CHAIN ASSURANCE</t>
  </si>
  <si>
    <t>Polyethylene Encasement (polywrap)</t>
  </si>
  <si>
    <t>Underground Marking Tape</t>
  </si>
  <si>
    <t>Barricade Tape</t>
  </si>
  <si>
    <t>Pipewrap Tape</t>
  </si>
  <si>
    <t>Electrical Tape</t>
  </si>
  <si>
    <t>PTFE Thread Seal Tape</t>
  </si>
  <si>
    <t>AMPLIFIERS</t>
  </si>
  <si>
    <t>IT PRODUCTS</t>
  </si>
  <si>
    <t xml:space="preserve"> PERIPHERAL CARDS</t>
  </si>
  <si>
    <t>COOLING</t>
  </si>
  <si>
    <t xml:space="preserve"> MEASURING TOOLS REPAIR</t>
  </si>
  <si>
    <t>POWER SUPPLY</t>
  </si>
  <si>
    <t>CERTIFICATIONS</t>
  </si>
  <si>
    <t xml:space="preserve"> TESTING</t>
  </si>
  <si>
    <t xml:space="preserve"> ENERGY EFFICIENCY TESTING</t>
  </si>
  <si>
    <t xml:space="preserve"> INDOOR AIR QUALITY TESTING</t>
  </si>
  <si>
    <t xml:space="preserve"> INTEROPERABILITY TESTING</t>
  </si>
  <si>
    <t xml:space="preserve"> PERFORMANCE AND QUALITY TESTING</t>
  </si>
  <si>
    <t xml:space="preserve"> 'SAFET TESTING</t>
  </si>
  <si>
    <t xml:space="preserve">ELECTRICAL  </t>
  </si>
  <si>
    <t>CCTV SURVEILLANCE</t>
  </si>
  <si>
    <t xml:space="preserve"> ACCESS CONTROL SYSTEMS</t>
  </si>
  <si>
    <t xml:space="preserve"> FACE &amp; FINGERPRINT SYSTEMS</t>
  </si>
  <si>
    <t>SURGICAL MASKS</t>
  </si>
  <si>
    <t>FLOW METERS</t>
  </si>
  <si>
    <t>State Relay</t>
  </si>
  <si>
    <t xml:space="preserve"> Motor Reversing Module</t>
  </si>
  <si>
    <t xml:space="preserve"> Voltage Regulator</t>
  </si>
  <si>
    <t xml:space="preserve"> Power Semiconductor Products</t>
  </si>
  <si>
    <t>#N/A</t>
  </si>
  <si>
    <t>SEALS</t>
  </si>
  <si>
    <t>ADHESIVES / TAPES / FOAMS / SEALS / BONDING</t>
  </si>
  <si>
    <t>ADHESIVES / TAPES / FOAMS / SEALS / BONDING / LAMINATION</t>
  </si>
  <si>
    <t>CABLES / HARNESS / LOOMS / WIRING</t>
  </si>
  <si>
    <t>DIE-CUT</t>
  </si>
  <si>
    <t>ELECTRONIC COMPONENTS</t>
  </si>
  <si>
    <t>TIERS</t>
  </si>
  <si>
    <t>TIER 1</t>
  </si>
  <si>
    <t>TIER 2</t>
  </si>
  <si>
    <t>OEM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</si>
</sst>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quot;$&quot;* #,##0.00_-;_-&quot;$&quot;* &quot;-&quot;??_-;_-@_-"/>
    <numFmt numFmtId="165" formatCode="[$-409]d\-mmm\-yy;@"/>
    <numFmt numFmtId="166" formatCode="0.0"/>
    <numFmt numFmtId="167" formatCode="[$-C09]dd\-mmm\-yy;@"/>
    <numFmt numFmtId="168" formatCode="dd\-mmm\-yy"/>
  </numFmts>
  <fonts count="60" x14ac:knownFonts="1">
    <font>
      <sz val="11"/>
      <color theme="1"/>
      <name val="Calibri"/>
      <family val="2"/>
      <scheme val="minor"/>
    </font>
    <font>
      <sz val="11"/>
      <color theme="1"/>
      <name val="Arial"/>
      <family val="2"/>
    </font>
    <font>
      <b/>
      <sz val="12"/>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8"/>
      <color theme="1"/>
      <name val="Calibri"/>
      <family val="2"/>
      <scheme val="minor"/>
    </font>
    <font>
      <sz val="11"/>
      <color theme="1"/>
      <name val="Calibri"/>
      <family val="2"/>
      <scheme val="minor"/>
    </font>
    <font>
      <b/>
      <sz val="11"/>
      <name val="Calibri"/>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0"/>
      <name val="Arial"/>
      <family val="2"/>
    </font>
    <font>
      <sz val="10"/>
      <name val="Arial"/>
      <family val="2"/>
    </font>
    <font>
      <b/>
      <sz val="18"/>
      <color theme="3"/>
      <name val="Cambria"/>
      <family val="2"/>
      <scheme val="major"/>
    </font>
    <font>
      <sz val="11"/>
      <color rgb="FF9C6500"/>
      <name val="Calibri"/>
      <family val="2"/>
      <scheme val="minor"/>
    </font>
    <font>
      <sz val="11"/>
      <name val="Arial"/>
      <family val="2"/>
    </font>
    <font>
      <sz val="10"/>
      <name val="Arial"/>
      <family val="2"/>
    </font>
    <font>
      <b/>
      <sz val="10"/>
      <name val="Arial"/>
      <family val="2"/>
    </font>
    <font>
      <sz val="6"/>
      <name val="Arial"/>
      <family val="2"/>
    </font>
    <font>
      <sz val="8"/>
      <name val="Arial"/>
      <family val="2"/>
    </font>
    <font>
      <b/>
      <sz val="6"/>
      <color theme="0"/>
      <name val="Calibri"/>
      <family val="2"/>
    </font>
    <font>
      <sz val="6"/>
      <color theme="1"/>
      <name val="Calibri"/>
      <family val="2"/>
      <scheme val="minor"/>
    </font>
    <font>
      <b/>
      <sz val="6"/>
      <color theme="1"/>
      <name val="Calibri"/>
      <family val="2"/>
      <scheme val="minor"/>
    </font>
    <font>
      <b/>
      <sz val="14"/>
      <color theme="1"/>
      <name val="Calibri"/>
      <family val="2"/>
      <scheme val="minor"/>
    </font>
    <font>
      <b/>
      <sz val="8"/>
      <color theme="0"/>
      <name val="Arial Nova"/>
      <family val="2"/>
    </font>
    <font>
      <sz val="8"/>
      <color theme="0"/>
      <name val="Arial Nova"/>
      <family val="2"/>
    </font>
    <font>
      <sz val="8"/>
      <color theme="1" tint="0.249977111117893"/>
      <name val="Arial Nova"/>
      <family val="2"/>
    </font>
    <font>
      <b/>
      <sz val="8"/>
      <color theme="0"/>
      <name val="Calibri"/>
      <family val="2"/>
      <scheme val="minor"/>
    </font>
    <font>
      <sz val="18"/>
      <color theme="3"/>
      <name val="Cambria"/>
      <family val="2"/>
      <scheme val="major"/>
    </font>
    <font>
      <sz val="11"/>
      <color rgb="FF9C5700"/>
      <name val="Calibri"/>
      <family val="2"/>
      <scheme val="minor"/>
    </font>
    <font>
      <b/>
      <sz val="6"/>
      <color theme="0"/>
      <name val="Arial Nova"/>
      <family val="2"/>
    </font>
    <font>
      <sz val="6"/>
      <color theme="0"/>
      <name val="Arial Nova"/>
      <family val="2"/>
    </font>
    <font>
      <sz val="8"/>
      <name val="Calibri"/>
      <family val="2"/>
      <scheme val="minor"/>
    </font>
    <font>
      <sz val="6"/>
      <color theme="1"/>
      <name val="Arial Nova"/>
      <family val="2"/>
    </font>
    <font>
      <b/>
      <sz val="6"/>
      <color theme="1" tint="0.249977111117893"/>
      <name val="Arial Nova"/>
      <family val="2"/>
    </font>
    <font>
      <sz val="8"/>
      <color theme="1"/>
      <name val="Calibri"/>
      <family val="2"/>
      <scheme val="minor"/>
    </font>
    <font>
      <u/>
      <sz val="8"/>
      <color theme="1" tint="0.14999847407452621"/>
      <name val="Calibri"/>
      <family val="2"/>
      <scheme val="minor"/>
    </font>
    <font>
      <b/>
      <sz val="8"/>
      <color theme="1" tint="0.14999847407452621"/>
      <name val="Calibri"/>
      <family val="2"/>
      <scheme val="minor"/>
    </font>
    <font>
      <sz val="8"/>
      <color theme="1" tint="0.14999847407452621"/>
      <name val="Calibri"/>
      <family val="2"/>
      <scheme val="minor"/>
    </font>
    <font>
      <sz val="6"/>
      <color theme="1" tint="0.249977111117893"/>
      <name val="Arial Nova"/>
      <family val="2"/>
    </font>
    <font>
      <b/>
      <sz val="5"/>
      <color theme="1" tint="0.249977111117893"/>
      <name val="Arial Nova"/>
      <family val="2"/>
    </font>
    <font>
      <u/>
      <sz val="5"/>
      <color theme="1" tint="0.249977111117893"/>
      <name val="Arial Nova"/>
      <family val="2"/>
    </font>
    <font>
      <sz val="5"/>
      <color theme="1" tint="0.249977111117893"/>
      <name val="Arial Nova"/>
      <family val="2"/>
    </font>
    <font>
      <u/>
      <sz val="5"/>
      <color theme="10"/>
      <name val="Arial Nova"/>
      <family val="2"/>
    </font>
    <font>
      <sz val="5"/>
      <name val="Arial Nova"/>
      <family val="2"/>
    </font>
    <font>
      <sz val="5"/>
      <color theme="1"/>
      <name val="Arial Nova"/>
      <family val="2"/>
    </font>
    <font>
      <b/>
      <sz val="9"/>
      <color theme="0"/>
      <name val="Arial Nova"/>
      <family val="2"/>
    </font>
    <font>
      <sz val="10"/>
      <color rgb="FF000000"/>
      <name val="Calibri"/>
      <family val="2"/>
      <scheme val="minor"/>
    </font>
  </fonts>
  <fills count="42">
    <fill>
      <patternFill patternType="none"/>
    </fill>
    <fill>
      <patternFill patternType="gray125"/>
    </fill>
    <fill>
      <patternFill patternType="solid">
        <fgColor rgb="FFFFC7CE"/>
      </patternFill>
    </fill>
    <fill>
      <patternFill patternType="solid">
        <fgColor theme="0" tint="-4.9989318521683403E-2"/>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70C0"/>
        <bgColor rgb="FF000000"/>
      </patternFill>
    </fill>
    <fill>
      <patternFill patternType="solid">
        <fgColor rgb="FF385D8A"/>
        <bgColor indexed="64"/>
      </patternFill>
    </fill>
    <fill>
      <patternFill patternType="solid">
        <fgColor theme="0"/>
        <bgColor indexed="64"/>
      </patternFill>
    </fill>
    <fill>
      <patternFill patternType="solid">
        <fgColor theme="1" tint="0.34998626667073579"/>
        <bgColor indexed="64"/>
      </patternFill>
    </fill>
    <fill>
      <patternFill patternType="solid">
        <fgColor rgb="FF00B050"/>
        <bgColor indexed="64"/>
      </patternFill>
    </fill>
    <fill>
      <patternFill patternType="solid">
        <fgColor rgb="FF1155CC"/>
        <bgColor indexed="64"/>
      </patternFill>
    </fill>
    <fill>
      <patternFill patternType="solid">
        <fgColor rgb="FFDCDCDC"/>
        <bgColor indexed="64"/>
      </patternFill>
    </fill>
    <fill>
      <patternFill patternType="solid">
        <fgColor theme="4"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style="medium">
        <color indexed="64"/>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bottom style="medium">
        <color theme="0" tint="-0.34998626667073579"/>
      </bottom>
      <diagonal/>
    </border>
    <border>
      <left/>
      <right style="thin">
        <color theme="0" tint="-0.34998626667073579"/>
      </right>
      <top/>
      <bottom/>
      <diagonal/>
    </border>
    <border>
      <left/>
      <right/>
      <top/>
      <bottom style="medium">
        <color theme="1" tint="4.9989318521683403E-2"/>
      </bottom>
      <diagonal/>
    </border>
    <border>
      <left/>
      <right style="thin">
        <color theme="0" tint="-0.34998626667073579"/>
      </right>
      <top/>
      <bottom style="medium">
        <color theme="1" tint="4.9989318521683403E-2"/>
      </bottom>
      <diagonal/>
    </border>
    <border>
      <left style="dashed">
        <color theme="0"/>
      </left>
      <right style="dashed">
        <color theme="0"/>
      </right>
      <top style="dashed">
        <color theme="0"/>
      </top>
      <bottom style="dashed">
        <color theme="0"/>
      </bottom>
      <diagonal/>
    </border>
  </borders>
  <cellStyleXfs count="171">
    <xf numFmtId="0" fontId="0" fillId="0" borderId="0"/>
    <xf numFmtId="0" fontId="5" fillId="2" borderId="0" applyNumberFormat="0" applyBorder="0" applyAlignment="0" applyProtection="0"/>
    <xf numFmtId="164" fontId="7" fillId="0" borderId="0" applyFont="0" applyFill="0" applyBorder="0" applyAlignment="0" applyProtection="0"/>
    <xf numFmtId="0" fontId="9" fillId="0" borderId="11" applyNumberFormat="0" applyFill="0" applyAlignment="0" applyProtection="0"/>
    <xf numFmtId="0" fontId="10" fillId="0" borderId="12" applyNumberFormat="0" applyFill="0" applyAlignment="0" applyProtection="0"/>
    <xf numFmtId="0" fontId="11" fillId="0" borderId="13" applyNumberFormat="0" applyFill="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6" borderId="14" applyNumberFormat="0" applyAlignment="0" applyProtection="0"/>
    <xf numFmtId="0" fontId="14" fillId="7" borderId="15" applyNumberFormat="0" applyAlignment="0" applyProtection="0"/>
    <xf numFmtId="0" fontId="15" fillId="7" borderId="14" applyNumberFormat="0" applyAlignment="0" applyProtection="0"/>
    <xf numFmtId="0" fontId="16" fillId="0" borderId="16" applyNumberFormat="0" applyFill="0" applyAlignment="0" applyProtection="0"/>
    <xf numFmtId="0" fontId="17" fillId="8" borderId="17" applyNumberFormat="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0" fillId="0" borderId="19" applyNumberFormat="0" applyFill="0" applyAlignment="0" applyProtection="0"/>
    <xf numFmtId="0" fontId="21"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21"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21"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21"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21"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21"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23" fillId="0" borderId="0"/>
    <xf numFmtId="164" fontId="24" fillId="0" borderId="0" applyFont="0" applyFill="0" applyBorder="0" applyAlignment="0" applyProtection="0"/>
    <xf numFmtId="164" fontId="24" fillId="0" borderId="0" applyFont="0" applyFill="0" applyBorder="0" applyAlignment="0" applyProtection="0"/>
    <xf numFmtId="0" fontId="24" fillId="0" borderId="0"/>
    <xf numFmtId="0" fontId="24" fillId="0" borderId="0"/>
    <xf numFmtId="0" fontId="25" fillId="0" borderId="0" applyNumberFormat="0" applyFill="0" applyBorder="0" applyAlignment="0" applyProtection="0"/>
    <xf numFmtId="0" fontId="26" fillId="5" borderId="0" applyNumberFormat="0" applyBorder="0" applyAlignment="0" applyProtection="0"/>
    <xf numFmtId="0" fontId="21" fillId="13" borderId="0" applyNumberFormat="0" applyBorder="0" applyAlignment="0" applyProtection="0"/>
    <xf numFmtId="0" fontId="21" fillId="17" borderId="0" applyNumberFormat="0" applyBorder="0" applyAlignment="0" applyProtection="0"/>
    <xf numFmtId="0" fontId="21" fillId="21" borderId="0" applyNumberFormat="0" applyBorder="0" applyAlignment="0" applyProtection="0"/>
    <xf numFmtId="0" fontId="21" fillId="25" borderId="0" applyNumberFormat="0" applyBorder="0" applyAlignment="0" applyProtection="0"/>
    <xf numFmtId="0" fontId="21" fillId="29" borderId="0" applyNumberFormat="0" applyBorder="0" applyAlignment="0" applyProtection="0"/>
    <xf numFmtId="0" fontId="21" fillId="33" borderId="0" applyNumberFormat="0" applyBorder="0" applyAlignment="0" applyProtection="0"/>
    <xf numFmtId="164" fontId="24" fillId="0" borderId="0" applyFont="0" applyFill="0" applyBorder="0" applyAlignment="0" applyProtection="0"/>
    <xf numFmtId="0" fontId="24" fillId="0" borderId="0"/>
    <xf numFmtId="0" fontId="7" fillId="0" borderId="0"/>
    <xf numFmtId="0" fontId="24" fillId="0" borderId="0"/>
    <xf numFmtId="164" fontId="24" fillId="0" borderId="0" applyFont="0" applyFill="0" applyBorder="0" applyAlignment="0" applyProtection="0"/>
    <xf numFmtId="0" fontId="24" fillId="0" borderId="0"/>
    <xf numFmtId="164" fontId="24" fillId="0" borderId="0" applyFont="0" applyFill="0" applyBorder="0" applyAlignment="0" applyProtection="0"/>
    <xf numFmtId="0" fontId="7" fillId="0" borderId="0"/>
    <xf numFmtId="0" fontId="7" fillId="0" borderId="0"/>
    <xf numFmtId="0" fontId="27" fillId="0" borderId="0"/>
    <xf numFmtId="0" fontId="7" fillId="0" borderId="0"/>
    <xf numFmtId="164" fontId="7" fillId="0" borderId="0" applyFont="0" applyFill="0" applyBorder="0" applyAlignment="0" applyProtection="0"/>
    <xf numFmtId="0" fontId="24" fillId="0" borderId="0"/>
    <xf numFmtId="0" fontId="7" fillId="0" borderId="0"/>
    <xf numFmtId="0" fontId="7" fillId="0" borderId="0"/>
    <xf numFmtId="164" fontId="7" fillId="0" borderId="0" applyFont="0" applyFill="0" applyBorder="0" applyAlignment="0" applyProtection="0"/>
    <xf numFmtId="0" fontId="22" fillId="0" borderId="0" applyNumberFormat="0" applyFill="0" applyBorder="0" applyAlignment="0" applyProtection="0"/>
    <xf numFmtId="0" fontId="7" fillId="0" borderId="0"/>
    <xf numFmtId="0" fontId="24"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0" borderId="0"/>
    <xf numFmtId="9" fontId="24" fillId="0" borderId="0" applyFont="0" applyFill="0" applyBorder="0" applyAlignment="0" applyProtection="0"/>
    <xf numFmtId="0" fontId="7" fillId="0" borderId="0"/>
    <xf numFmtId="0" fontId="7" fillId="0" borderId="0"/>
    <xf numFmtId="0" fontId="24" fillId="0" borderId="0"/>
    <xf numFmtId="0" fontId="7" fillId="0" borderId="0"/>
    <xf numFmtId="0" fontId="7" fillId="0" borderId="0"/>
    <xf numFmtId="164" fontId="24" fillId="0" borderId="0" applyFont="0" applyFill="0" applyBorder="0" applyAlignment="0" applyProtection="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0" borderId="0"/>
    <xf numFmtId="9" fontId="24" fillId="0" borderId="0" applyFont="0" applyFill="0" applyBorder="0" applyAlignment="0" applyProtection="0"/>
    <xf numFmtId="0" fontId="7" fillId="0" borderId="0"/>
    <xf numFmtId="164" fontId="7" fillId="0" borderId="0" applyFont="0" applyFill="0" applyBorder="0" applyAlignment="0" applyProtection="0"/>
    <xf numFmtId="0" fontId="7" fillId="9" borderId="18" applyNumberFormat="0" applyFont="0" applyAlignment="0" applyProtection="0"/>
    <xf numFmtId="0" fontId="24" fillId="0" borderId="0"/>
    <xf numFmtId="0" fontId="7" fillId="0" borderId="0"/>
    <xf numFmtId="164" fontId="24" fillId="0" borderId="0" applyFont="0" applyFill="0" applyBorder="0" applyAlignment="0" applyProtection="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0" borderId="0"/>
    <xf numFmtId="9" fontId="24"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0" borderId="0"/>
    <xf numFmtId="164" fontId="24" fillId="0" borderId="0" applyFont="0" applyFill="0" applyBorder="0" applyAlignment="0" applyProtection="0"/>
    <xf numFmtId="164" fontId="24"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0" fontId="7" fillId="0" borderId="0"/>
    <xf numFmtId="0" fontId="7" fillId="0" borderId="0"/>
    <xf numFmtId="0" fontId="7" fillId="0" borderId="0"/>
    <xf numFmtId="0" fontId="7" fillId="0" borderId="0"/>
    <xf numFmtId="0" fontId="7" fillId="9" borderId="18" applyNumberFormat="0" applyFont="0" applyAlignment="0" applyProtection="0"/>
    <xf numFmtId="0" fontId="7" fillId="11" borderId="0" applyNumberFormat="0" applyBorder="0" applyAlignment="0" applyProtection="0"/>
    <xf numFmtId="0" fontId="7" fillId="12"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28" fillId="0" borderId="0">
      <alignment vertical="center"/>
    </xf>
    <xf numFmtId="0" fontId="22" fillId="0" borderId="0" applyNumberFormat="0" applyFill="0" applyBorder="0" applyAlignment="0" applyProtection="0"/>
    <xf numFmtId="0" fontId="40" fillId="0" borderId="0" applyNumberFormat="0" applyFill="0" applyBorder="0" applyAlignment="0" applyProtection="0"/>
    <xf numFmtId="0" fontId="41" fillId="5" borderId="0" applyNumberFormat="0" applyBorder="0" applyAlignment="0" applyProtection="0"/>
    <xf numFmtId="0" fontId="7" fillId="9" borderId="18" applyNumberFormat="0" applyFont="0" applyAlignment="0" applyProtection="0"/>
    <xf numFmtId="0" fontId="7" fillId="13" borderId="0" applyNumberFormat="0" applyBorder="0" applyAlignment="0" applyProtection="0"/>
    <xf numFmtId="0" fontId="7" fillId="17" borderId="0" applyNumberFormat="0" applyBorder="0" applyAlignment="0" applyProtection="0"/>
    <xf numFmtId="0" fontId="7" fillId="21" borderId="0" applyNumberFormat="0" applyBorder="0" applyAlignment="0" applyProtection="0"/>
    <xf numFmtId="0" fontId="7" fillId="25" borderId="0" applyNumberFormat="0" applyBorder="0" applyAlignment="0" applyProtection="0"/>
    <xf numFmtId="0" fontId="7" fillId="29" borderId="0" applyNumberFormat="0" applyBorder="0" applyAlignment="0" applyProtection="0"/>
    <xf numFmtId="0" fontId="7" fillId="33" borderId="0" applyNumberFormat="0" applyBorder="0" applyAlignment="0" applyProtection="0"/>
    <xf numFmtId="0" fontId="59" fillId="0" borderId="0"/>
  </cellStyleXfs>
  <cellXfs count="157">
    <xf numFmtId="0" fontId="0" fillId="0" borderId="0" xfId="0"/>
    <xf numFmtId="0" fontId="0" fillId="0" borderId="1" xfId="0" applyBorder="1" applyAlignment="1">
      <alignment vertical="center"/>
    </xf>
    <xf numFmtId="0" fontId="1" fillId="0" borderId="1" xfId="0" applyFont="1" applyBorder="1" applyAlignment="1">
      <alignment vertical="center" wrapText="1"/>
    </xf>
    <xf numFmtId="0" fontId="1" fillId="0" borderId="1" xfId="0" applyFont="1" applyBorder="1" applyAlignment="1">
      <alignment horizontal="center" vertical="center" wrapText="1"/>
    </xf>
    <xf numFmtId="166" fontId="1" fillId="0" borderId="1" xfId="0" applyNumberFormat="1" applyFont="1" applyBorder="1" applyAlignment="1">
      <alignment horizontal="center" vertical="center" wrapText="1"/>
    </xf>
    <xf numFmtId="0" fontId="0" fillId="0" borderId="0" xfId="0" applyAlignment="1">
      <alignment vertical="center"/>
    </xf>
    <xf numFmtId="0" fontId="2" fillId="0" borderId="0" xfId="0" applyFont="1" applyAlignment="1">
      <alignment vertical="center"/>
    </xf>
    <xf numFmtId="0" fontId="0" fillId="0" borderId="0" xfId="0" applyAlignment="1">
      <alignment horizontal="left" vertical="center"/>
    </xf>
    <xf numFmtId="0" fontId="2" fillId="0" borderId="0" xfId="0" applyFont="1" applyAlignment="1">
      <alignment horizontal="left" vertical="center"/>
    </xf>
    <xf numFmtId="166" fontId="0" fillId="0" borderId="1" xfId="0" quotePrefix="1" applyNumberFormat="1" applyBorder="1" applyAlignment="1">
      <alignment horizontal="center" vertical="center" wrapText="1"/>
    </xf>
    <xf numFmtId="167" fontId="0" fillId="0" borderId="1" xfId="0" applyNumberFormat="1" applyBorder="1" applyAlignment="1">
      <alignment horizontal="left" vertical="center" wrapText="1"/>
    </xf>
    <xf numFmtId="14" fontId="0" fillId="0" borderId="0" xfId="0" applyNumberFormat="1" applyAlignment="1">
      <alignment horizontal="left" vertical="center"/>
    </xf>
    <xf numFmtId="0" fontId="0" fillId="0" borderId="1" xfId="0" applyBorder="1"/>
    <xf numFmtId="0" fontId="0" fillId="0" borderId="1" xfId="0" applyBorder="1" applyAlignment="1">
      <alignment horizontal="left" vertical="center" wrapText="1"/>
    </xf>
    <xf numFmtId="166" fontId="0" fillId="0" borderId="0" xfId="0" quotePrefix="1" applyNumberFormat="1" applyAlignment="1">
      <alignment horizontal="center" vertical="center" wrapText="1"/>
    </xf>
    <xf numFmtId="167" fontId="0" fillId="0" borderId="0" xfId="0" applyNumberFormat="1" applyAlignment="1">
      <alignment horizontal="left" vertical="center" wrapText="1"/>
    </xf>
    <xf numFmtId="0" fontId="0" fillId="0" borderId="0" xfId="0" applyAlignment="1">
      <alignment horizontal="left" vertical="top" wrapText="1"/>
    </xf>
    <xf numFmtId="0" fontId="0" fillId="3" borderId="0" xfId="0" applyFill="1"/>
    <xf numFmtId="0" fontId="8" fillId="0" borderId="0" xfId="0" applyFont="1" applyAlignment="1">
      <alignment horizontal="center" vertical="center"/>
    </xf>
    <xf numFmtId="164" fontId="8" fillId="0" borderId="0" xfId="2" applyFont="1" applyAlignment="1">
      <alignment horizontal="center" vertical="center"/>
    </xf>
    <xf numFmtId="164" fontId="0" fillId="0" borderId="0" xfId="2" applyFont="1"/>
    <xf numFmtId="0" fontId="0" fillId="0" borderId="0" xfId="0" applyAlignment="1">
      <alignment horizontal="right" vertical="center"/>
    </xf>
    <xf numFmtId="0" fontId="29" fillId="0" borderId="0" xfId="159" applyFont="1">
      <alignment vertical="center"/>
    </xf>
    <xf numFmtId="0" fontId="28" fillId="0" borderId="0" xfId="159">
      <alignment vertical="center"/>
    </xf>
    <xf numFmtId="0" fontId="28" fillId="0" borderId="0" xfId="159" applyAlignment="1">
      <alignment horizontal="right" vertical="center"/>
    </xf>
    <xf numFmtId="168" fontId="28" fillId="0" borderId="0" xfId="159" applyNumberFormat="1">
      <alignment vertical="center"/>
    </xf>
    <xf numFmtId="0" fontId="28" fillId="3" borderId="0" xfId="159" applyFill="1">
      <alignment vertical="center"/>
    </xf>
    <xf numFmtId="0" fontId="0" fillId="3" borderId="0" xfId="0" applyFill="1" applyAlignment="1">
      <alignment horizontal="left"/>
    </xf>
    <xf numFmtId="0" fontId="32" fillId="34" borderId="20" xfId="0" applyFont="1" applyFill="1" applyBorder="1" applyAlignment="1">
      <alignment horizontal="left" wrapText="1"/>
    </xf>
    <xf numFmtId="0" fontId="32" fillId="34" borderId="21" xfId="0" applyFont="1" applyFill="1" applyBorder="1" applyAlignment="1">
      <alignment wrapText="1"/>
    </xf>
    <xf numFmtId="0" fontId="32" fillId="34" borderId="22" xfId="0" applyFont="1" applyFill="1" applyBorder="1" applyAlignment="1">
      <alignment wrapText="1"/>
    </xf>
    <xf numFmtId="0" fontId="32" fillId="34" borderId="22" xfId="0" applyFont="1" applyFill="1" applyBorder="1"/>
    <xf numFmtId="0" fontId="33" fillId="0" borderId="0" xfId="0" applyFont="1"/>
    <xf numFmtId="0" fontId="34" fillId="0" borderId="0" xfId="0" applyFont="1"/>
    <xf numFmtId="49" fontId="33" fillId="0" borderId="0" xfId="0" applyNumberFormat="1" applyFont="1"/>
    <xf numFmtId="164" fontId="35" fillId="0" borderId="0" xfId="0" applyNumberFormat="1" applyFont="1"/>
    <xf numFmtId="0" fontId="20" fillId="0" borderId="0" xfId="0" applyFont="1"/>
    <xf numFmtId="0" fontId="6" fillId="3" borderId="0" xfId="0" applyFont="1" applyFill="1" applyAlignment="1">
      <alignment vertical="center"/>
    </xf>
    <xf numFmtId="0" fontId="6" fillId="3" borderId="29" xfId="0" applyFont="1" applyFill="1" applyBorder="1" applyAlignment="1">
      <alignment vertical="center"/>
    </xf>
    <xf numFmtId="0" fontId="6" fillId="37" borderId="0" xfId="0" applyFont="1" applyFill="1" applyAlignment="1">
      <alignment vertical="center"/>
    </xf>
    <xf numFmtId="0" fontId="39" fillId="37" borderId="0" xfId="0" applyFont="1" applyFill="1" applyAlignment="1">
      <alignment vertical="center"/>
    </xf>
    <xf numFmtId="0" fontId="6" fillId="37" borderId="31" xfId="0" applyFont="1" applyFill="1" applyBorder="1" applyAlignment="1">
      <alignment vertical="center"/>
    </xf>
    <xf numFmtId="0" fontId="37" fillId="35" borderId="0" xfId="0" applyFont="1" applyFill="1" applyProtection="1">
      <protection locked="0"/>
    </xf>
    <xf numFmtId="0" fontId="42" fillId="35" borderId="0" xfId="0" applyFont="1" applyFill="1" applyProtection="1">
      <protection locked="0"/>
    </xf>
    <xf numFmtId="0" fontId="43" fillId="35" borderId="0" xfId="0" applyFont="1" applyFill="1" applyProtection="1">
      <protection locked="0"/>
    </xf>
    <xf numFmtId="0" fontId="38" fillId="38" borderId="0" xfId="0" applyFont="1" applyFill="1" applyAlignment="1" applyProtection="1">
      <alignment horizontal="left" vertical="center"/>
      <protection locked="0"/>
    </xf>
    <xf numFmtId="0" fontId="36" fillId="38" borderId="0" xfId="0" applyFont="1" applyFill="1" applyAlignment="1" applyProtection="1">
      <alignment vertical="center"/>
      <protection locked="0"/>
    </xf>
    <xf numFmtId="0" fontId="42" fillId="38" borderId="0" xfId="0" applyFont="1" applyFill="1" applyAlignment="1" applyProtection="1">
      <alignment vertical="center"/>
      <protection locked="0"/>
    </xf>
    <xf numFmtId="0" fontId="47" fillId="0" borderId="0" xfId="0" applyFont="1"/>
    <xf numFmtId="0" fontId="6" fillId="0" borderId="0" xfId="0" applyFont="1"/>
    <xf numFmtId="0" fontId="22" fillId="0" borderId="0" xfId="160"/>
    <xf numFmtId="0" fontId="46" fillId="38" borderId="0" xfId="0" applyFont="1" applyFill="1" applyAlignment="1">
      <alignment horizontal="left" wrapText="1"/>
    </xf>
    <xf numFmtId="0" fontId="42" fillId="38" borderId="0" xfId="0" applyFont="1" applyFill="1" applyAlignment="1">
      <alignment horizontal="left" wrapText="1"/>
    </xf>
    <xf numFmtId="0" fontId="42" fillId="38" borderId="0" xfId="0" applyFont="1" applyFill="1" applyAlignment="1">
      <alignment horizontal="center" vertical="center" wrapText="1"/>
    </xf>
    <xf numFmtId="0" fontId="42" fillId="35" borderId="0" xfId="0" applyFont="1" applyFill="1" applyAlignment="1">
      <alignment wrapText="1"/>
    </xf>
    <xf numFmtId="0" fontId="48" fillId="0" borderId="0" xfId="160" applyFont="1" applyFill="1" applyBorder="1" applyAlignment="1">
      <alignment vertical="center" wrapText="1"/>
    </xf>
    <xf numFmtId="0" fontId="49" fillId="0" borderId="0" xfId="0" applyFont="1" applyAlignment="1">
      <alignment vertical="center" wrapText="1"/>
    </xf>
    <xf numFmtId="0" fontId="48" fillId="0" borderId="0" xfId="160" applyFont="1" applyFill="1" applyBorder="1" applyAlignment="1">
      <alignment vertical="center"/>
    </xf>
    <xf numFmtId="0" fontId="49" fillId="0" borderId="0" xfId="0" applyFont="1" applyAlignment="1">
      <alignment wrapText="1"/>
    </xf>
    <xf numFmtId="0" fontId="50" fillId="0" borderId="0" xfId="0" applyFont="1" applyAlignment="1">
      <alignment wrapText="1"/>
    </xf>
    <xf numFmtId="0" fontId="49" fillId="0" borderId="0" xfId="0" applyFont="1"/>
    <xf numFmtId="0" fontId="50" fillId="0" borderId="0" xfId="0" applyFont="1"/>
    <xf numFmtId="0" fontId="51" fillId="0" borderId="0" xfId="1" applyFont="1" applyFill="1" applyBorder="1" applyAlignment="1">
      <alignment horizontal="left" vertical="center"/>
    </xf>
    <xf numFmtId="0" fontId="58" fillId="38" borderId="0" xfId="0" applyFont="1" applyFill="1" applyAlignment="1" applyProtection="1">
      <alignment vertical="center"/>
      <protection locked="0"/>
    </xf>
    <xf numFmtId="0" fontId="42" fillId="38" borderId="0" xfId="0" applyFont="1" applyFill="1" applyProtection="1">
      <protection locked="0"/>
    </xf>
    <xf numFmtId="0" fontId="46" fillId="40" borderId="0" xfId="0" applyFont="1" applyFill="1" applyAlignment="1">
      <alignment horizontal="left" wrapText="1"/>
    </xf>
    <xf numFmtId="0" fontId="58" fillId="41" borderId="0" xfId="0" applyFont="1" applyFill="1" applyAlignment="1" applyProtection="1">
      <alignment horizontal="left"/>
      <protection locked="0"/>
    </xf>
    <xf numFmtId="0" fontId="36" fillId="41" borderId="0" xfId="0" applyFont="1" applyFill="1" applyProtection="1">
      <protection locked="0"/>
    </xf>
    <xf numFmtId="0" fontId="37" fillId="41" borderId="0" xfId="0" applyFont="1" applyFill="1" applyProtection="1">
      <protection locked="0"/>
    </xf>
    <xf numFmtId="0" fontId="36" fillId="41" borderId="0" xfId="0" applyFont="1" applyFill="1" applyAlignment="1" applyProtection="1">
      <alignment vertical="center"/>
      <protection locked="0"/>
    </xf>
    <xf numFmtId="0" fontId="42" fillId="41" borderId="0" xfId="0" applyFont="1" applyFill="1" applyAlignment="1">
      <alignment wrapText="1"/>
    </xf>
    <xf numFmtId="0" fontId="43" fillId="41" borderId="0" xfId="0" applyFont="1" applyFill="1" applyProtection="1">
      <protection locked="0"/>
    </xf>
    <xf numFmtId="0" fontId="51" fillId="0" borderId="0" xfId="0" applyFont="1" applyAlignment="1">
      <alignment vertical="center"/>
    </xf>
    <xf numFmtId="0" fontId="51" fillId="0" borderId="0" xfId="0" applyFont="1" applyAlignment="1">
      <alignment horizontal="left" vertical="center"/>
    </xf>
    <xf numFmtId="0" fontId="51" fillId="0" borderId="0" xfId="0" applyFont="1" applyAlignment="1">
      <alignment horizontal="left" vertical="center" wrapText="1"/>
    </xf>
    <xf numFmtId="0" fontId="45" fillId="0" borderId="9" xfId="0" applyFont="1" applyBorder="1" applyProtection="1">
      <protection locked="0"/>
    </xf>
    <xf numFmtId="0" fontId="45" fillId="0" borderId="0" xfId="0" applyFont="1" applyProtection="1">
      <protection locked="0"/>
    </xf>
    <xf numFmtId="0" fontId="51" fillId="0" borderId="0" xfId="0" applyFont="1" applyProtection="1">
      <protection locked="0"/>
    </xf>
    <xf numFmtId="0" fontId="45" fillId="0" borderId="0" xfId="0" applyFont="1"/>
    <xf numFmtId="0" fontId="45" fillId="0" borderId="9" xfId="0" applyFont="1" applyBorder="1"/>
    <xf numFmtId="0" fontId="51" fillId="40" borderId="0" xfId="0" applyFont="1" applyFill="1" applyAlignment="1">
      <alignment horizontal="left" vertical="center" wrapText="1"/>
    </xf>
    <xf numFmtId="0" fontId="51" fillId="40" borderId="0" xfId="0" applyFont="1" applyFill="1" applyAlignment="1">
      <alignment vertical="center"/>
    </xf>
    <xf numFmtId="0" fontId="51" fillId="40" borderId="0" xfId="0" applyFont="1" applyFill="1" applyProtection="1">
      <protection locked="0"/>
    </xf>
    <xf numFmtId="0" fontId="36" fillId="38" borderId="0" xfId="0" applyFont="1" applyFill="1" applyAlignment="1" applyProtection="1">
      <alignment horizontal="left" vertical="center"/>
      <protection locked="0"/>
    </xf>
    <xf numFmtId="0" fontId="12" fillId="4" borderId="0" xfId="7" applyAlignment="1">
      <alignment vertical="center" wrapText="1"/>
    </xf>
    <xf numFmtId="0" fontId="5" fillId="2" borderId="0" xfId="1" applyAlignment="1">
      <alignment vertical="center" wrapText="1"/>
    </xf>
    <xf numFmtId="0" fontId="41" fillId="5" borderId="0" xfId="162" applyAlignment="1">
      <alignment vertical="center" wrapText="1"/>
    </xf>
    <xf numFmtId="0" fontId="22" fillId="0" borderId="0" xfId="160" applyFill="1" applyBorder="1" applyAlignment="1">
      <alignment vertical="center" wrapText="1"/>
    </xf>
    <xf numFmtId="0" fontId="22" fillId="0" borderId="0" xfId="160" applyFill="1" applyBorder="1" applyAlignment="1">
      <alignment vertical="center"/>
    </xf>
    <xf numFmtId="0" fontId="53" fillId="0" borderId="33" xfId="160" applyFont="1" applyFill="1" applyBorder="1" applyAlignment="1" applyProtection="1">
      <alignment horizontal="left" vertical="center"/>
      <protection locked="0"/>
    </xf>
    <xf numFmtId="0" fontId="22" fillId="0" borderId="33" xfId="160" applyFill="1" applyBorder="1" applyAlignment="1" applyProtection="1">
      <alignment horizontal="left" vertical="center"/>
      <protection locked="0"/>
    </xf>
    <xf numFmtId="0" fontId="55" fillId="0" borderId="33" xfId="160" applyFont="1" applyFill="1" applyBorder="1" applyAlignment="1" applyProtection="1">
      <alignment horizontal="left" vertical="center"/>
      <protection locked="0"/>
    </xf>
    <xf numFmtId="0" fontId="54" fillId="0" borderId="33" xfId="1" applyFont="1" applyFill="1" applyBorder="1" applyAlignment="1">
      <alignment horizontal="left" vertical="center"/>
    </xf>
    <xf numFmtId="0" fontId="53" fillId="40" borderId="33" xfId="160" applyFont="1" applyFill="1" applyBorder="1" applyAlignment="1" applyProtection="1">
      <alignment horizontal="left" vertical="center"/>
      <protection locked="0"/>
    </xf>
    <xf numFmtId="49" fontId="52" fillId="40" borderId="33" xfId="0" applyNumberFormat="1" applyFont="1" applyFill="1" applyBorder="1" applyAlignment="1">
      <alignment horizontal="left"/>
    </xf>
    <xf numFmtId="0" fontId="54" fillId="40" borderId="33" xfId="0" applyFont="1" applyFill="1" applyBorder="1" applyAlignment="1">
      <alignment vertical="center"/>
    </xf>
    <xf numFmtId="165" fontId="54" fillId="40" borderId="33" xfId="0" applyNumberFormat="1" applyFont="1" applyFill="1" applyBorder="1" applyAlignment="1">
      <alignment horizontal="center" vertical="center"/>
    </xf>
    <xf numFmtId="0" fontId="54" fillId="40" borderId="33" xfId="0" applyFont="1" applyFill="1" applyBorder="1" applyProtection="1">
      <protection locked="0"/>
    </xf>
    <xf numFmtId="49" fontId="52" fillId="0" borderId="33" xfId="0" applyNumberFormat="1" applyFont="1" applyBorder="1" applyAlignment="1">
      <alignment horizontal="left"/>
    </xf>
    <xf numFmtId="165" fontId="54" fillId="0" borderId="33" xfId="0" applyNumberFormat="1" applyFont="1" applyBorder="1" applyAlignment="1">
      <alignment horizontal="center" vertical="center"/>
    </xf>
    <xf numFmtId="0" fontId="54" fillId="0" borderId="33" xfId="0" applyFont="1" applyBorder="1" applyAlignment="1">
      <alignment vertical="center"/>
    </xf>
    <xf numFmtId="0" fontId="54" fillId="0" borderId="33" xfId="0" applyFont="1" applyBorder="1" applyAlignment="1">
      <alignment horizontal="left" vertical="center"/>
    </xf>
    <xf numFmtId="0" fontId="52" fillId="0" borderId="33" xfId="0" applyFont="1" applyBorder="1" applyAlignment="1">
      <alignment vertical="center"/>
    </xf>
    <xf numFmtId="0" fontId="54" fillId="0" borderId="33" xfId="0" applyFont="1" applyBorder="1" applyProtection="1">
      <protection locked="0"/>
    </xf>
    <xf numFmtId="0" fontId="52" fillId="0" borderId="33" xfId="0" applyFont="1" applyBorder="1"/>
    <xf numFmtId="49" fontId="52" fillId="0" borderId="33" xfId="0" applyNumberFormat="1" applyFont="1" applyBorder="1" applyAlignment="1">
      <alignment vertical="center"/>
    </xf>
    <xf numFmtId="49" fontId="52" fillId="0" borderId="33" xfId="0" applyNumberFormat="1" applyFont="1" applyBorder="1" applyAlignment="1">
      <alignment horizontal="left" wrapText="1"/>
    </xf>
    <xf numFmtId="0" fontId="57" fillId="0" borderId="33" xfId="0" applyFont="1" applyBorder="1" applyProtection="1">
      <protection locked="0"/>
    </xf>
    <xf numFmtId="0" fontId="57" fillId="0" borderId="33" xfId="0" applyFont="1" applyBorder="1"/>
    <xf numFmtId="0" fontId="52" fillId="0" borderId="33" xfId="0" applyFont="1" applyBorder="1" applyAlignment="1">
      <alignment vertical="center" wrapText="1"/>
    </xf>
    <xf numFmtId="49" fontId="52" fillId="0" borderId="33" xfId="0" applyNumberFormat="1" applyFont="1" applyBorder="1" applyAlignment="1">
      <alignment horizontal="left" vertical="top"/>
    </xf>
    <xf numFmtId="0" fontId="54" fillId="0" borderId="33" xfId="0" applyFont="1" applyBorder="1" applyAlignment="1" applyProtection="1">
      <alignment vertical="center"/>
      <protection locked="0"/>
    </xf>
    <xf numFmtId="0" fontId="54" fillId="0" borderId="33" xfId="0" applyFont="1" applyBorder="1" applyAlignment="1" applyProtection="1">
      <alignment horizontal="left" vertical="center"/>
      <protection locked="0"/>
    </xf>
    <xf numFmtId="0" fontId="56" fillId="0" borderId="33" xfId="0" applyFont="1" applyBorder="1" applyProtection="1">
      <protection locked="0"/>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1" xfId="0" applyBorder="1" applyAlignment="1">
      <alignment vertical="center" wrapText="1"/>
    </xf>
    <xf numFmtId="0" fontId="1" fillId="0" borderId="6" xfId="0" applyFont="1" applyBorder="1" applyAlignment="1">
      <alignment horizontal="left" vertical="center" wrapText="1"/>
    </xf>
    <xf numFmtId="0" fontId="1" fillId="0" borderId="7" xfId="0" applyFont="1" applyBorder="1" applyAlignment="1">
      <alignment horizontal="left" vertical="center" wrapText="1"/>
    </xf>
    <xf numFmtId="0" fontId="1" fillId="0" borderId="8" xfId="0" applyFont="1" applyBorder="1" applyAlignment="1">
      <alignment horizontal="left" vertical="center" wrapText="1"/>
    </xf>
    <xf numFmtId="0" fontId="1" fillId="0" borderId="5" xfId="0" applyFont="1" applyBorder="1" applyAlignment="1">
      <alignment horizontal="left" vertical="center" wrapText="1"/>
    </xf>
    <xf numFmtId="0" fontId="1" fillId="0" borderId="9" xfId="0" applyFont="1" applyBorder="1" applyAlignment="1">
      <alignment horizontal="left" vertical="center" wrapText="1"/>
    </xf>
    <xf numFmtId="0" fontId="1" fillId="0" borderId="10" xfId="0" applyFont="1" applyBorder="1" applyAlignment="1">
      <alignment horizontal="left" vertical="center" wrapText="1"/>
    </xf>
    <xf numFmtId="0" fontId="0" fillId="0" borderId="2"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left" vertical="center" wrapText="1"/>
    </xf>
    <xf numFmtId="0" fontId="0" fillId="0" borderId="1" xfId="0" applyBorder="1" applyAlignment="1">
      <alignment horizontal="left" vertical="top" wrapText="1"/>
    </xf>
    <xf numFmtId="0" fontId="0" fillId="0" borderId="1" xfId="0" applyBorder="1" applyAlignment="1">
      <alignment horizontal="left" vertical="center" wrapText="1"/>
    </xf>
    <xf numFmtId="0" fontId="6" fillId="36" borderId="23" xfId="0" applyFont="1" applyFill="1" applyBorder="1" applyAlignment="1">
      <alignment horizontal="center" vertical="center"/>
    </xf>
    <xf numFmtId="0" fontId="6" fillId="37" borderId="0" xfId="0" applyFont="1" applyFill="1" applyAlignment="1">
      <alignment horizontal="center" vertical="center"/>
    </xf>
    <xf numFmtId="0" fontId="6" fillId="37" borderId="30" xfId="0" applyFont="1" applyFill="1" applyBorder="1" applyAlignment="1">
      <alignment horizontal="center" vertical="center"/>
    </xf>
    <xf numFmtId="0" fontId="6" fillId="36" borderId="0" xfId="0" applyFont="1" applyFill="1" applyAlignment="1">
      <alignment horizontal="center" vertical="center"/>
    </xf>
    <xf numFmtId="0" fontId="6" fillId="36" borderId="31" xfId="0" applyFont="1" applyFill="1" applyBorder="1" applyAlignment="1">
      <alignment horizontal="center" vertical="center"/>
    </xf>
    <xf numFmtId="0" fontId="6" fillId="36" borderId="25" xfId="0" applyFont="1" applyFill="1" applyBorder="1" applyAlignment="1">
      <alignment horizontal="center" vertical="center"/>
    </xf>
    <xf numFmtId="0" fontId="6" fillId="36" borderId="24" xfId="0" applyFont="1" applyFill="1" applyBorder="1" applyAlignment="1">
      <alignment horizontal="center" vertical="center"/>
    </xf>
    <xf numFmtId="0" fontId="6" fillId="36" borderId="32" xfId="0" applyFont="1" applyFill="1" applyBorder="1" applyAlignment="1">
      <alignment horizontal="center" vertical="center"/>
    </xf>
    <xf numFmtId="0" fontId="39" fillId="37" borderId="0" xfId="0" applyFont="1" applyFill="1" applyAlignment="1">
      <alignment horizontal="right" vertical="center"/>
    </xf>
    <xf numFmtId="0" fontId="39" fillId="37" borderId="31" xfId="0" applyFont="1" applyFill="1" applyBorder="1" applyAlignment="1">
      <alignment horizontal="right" vertical="center"/>
    </xf>
    <xf numFmtId="0" fontId="6" fillId="3" borderId="23" xfId="0" applyFont="1" applyFill="1" applyBorder="1" applyAlignment="1">
      <alignment horizontal="center" vertical="center"/>
    </xf>
    <xf numFmtId="0" fontId="39" fillId="37" borderId="23" xfId="0" applyFont="1" applyFill="1" applyBorder="1" applyAlignment="1">
      <alignment horizontal="center" vertical="center" wrapText="1"/>
    </xf>
    <xf numFmtId="0" fontId="6" fillId="36" borderId="26" xfId="0" applyFont="1" applyFill="1" applyBorder="1" applyAlignment="1">
      <alignment horizontal="center" vertical="center"/>
    </xf>
    <xf numFmtId="0" fontId="6" fillId="36" borderId="27" xfId="0" applyFont="1" applyFill="1" applyBorder="1" applyAlignment="1">
      <alignment horizontal="center" vertical="center"/>
    </xf>
    <xf numFmtId="0" fontId="6" fillId="36" borderId="28" xfId="0" applyFont="1" applyFill="1" applyBorder="1" applyAlignment="1">
      <alignment horizontal="center" vertical="center"/>
    </xf>
    <xf numFmtId="0" fontId="6" fillId="3" borderId="26" xfId="0" applyFont="1" applyFill="1" applyBorder="1" applyAlignment="1">
      <alignment horizontal="right" vertical="center"/>
    </xf>
    <xf numFmtId="0" fontId="6" fillId="3" borderId="27" xfId="0" applyFont="1" applyFill="1" applyBorder="1" applyAlignment="1">
      <alignment horizontal="right" vertical="center"/>
    </xf>
    <xf numFmtId="0" fontId="6" fillId="3" borderId="28" xfId="0" applyFont="1" applyFill="1" applyBorder="1" applyAlignment="1">
      <alignment horizontal="right" vertical="center"/>
    </xf>
    <xf numFmtId="0" fontId="6" fillId="3" borderId="0" xfId="0" applyFont="1" applyFill="1" applyAlignment="1">
      <alignment horizontal="center" vertical="center" wrapText="1"/>
    </xf>
    <xf numFmtId="0" fontId="6" fillId="3" borderId="0" xfId="0" applyFont="1" applyFill="1" applyAlignment="1">
      <alignment horizontal="center" vertical="center"/>
    </xf>
    <xf numFmtId="0" fontId="6" fillId="3" borderId="23" xfId="0" applyFont="1" applyFill="1" applyBorder="1" applyAlignment="1">
      <alignment horizontal="right" vertical="center"/>
    </xf>
    <xf numFmtId="0" fontId="6" fillId="36" borderId="23" xfId="0" applyFont="1" applyFill="1" applyBorder="1" applyAlignment="1">
      <alignment horizontal="left" vertical="top" wrapText="1"/>
    </xf>
    <xf numFmtId="0" fontId="6" fillId="36" borderId="23" xfId="0" applyFont="1" applyFill="1" applyBorder="1" applyAlignment="1">
      <alignment horizontal="left" vertical="top"/>
    </xf>
    <xf numFmtId="0" fontId="31" fillId="3" borderId="0" xfId="159" applyFont="1" applyFill="1" applyAlignment="1">
      <alignment horizontal="center" vertical="center" wrapText="1"/>
    </xf>
    <xf numFmtId="0" fontId="23" fillId="3" borderId="0" xfId="159" applyFont="1" applyFill="1" applyAlignment="1">
      <alignment horizontal="center" vertical="center"/>
    </xf>
    <xf numFmtId="0" fontId="28" fillId="3" borderId="0" xfId="159" applyFill="1" applyAlignment="1">
      <alignment horizontal="center" vertical="center"/>
    </xf>
    <xf numFmtId="0" fontId="30" fillId="3" borderId="0" xfId="159" applyFont="1" applyFill="1" applyAlignment="1">
      <alignment horizontal="center" vertical="center" wrapText="1"/>
    </xf>
    <xf numFmtId="0" fontId="0" fillId="0" borderId="0" xfId="0" applyAlignment="1">
      <alignment horizontal="center"/>
    </xf>
    <xf numFmtId="0" fontId="47" fillId="39" borderId="1" xfId="0" applyFont="1" applyFill="1" applyBorder="1" applyAlignment="1">
      <alignment vertical="center" wrapText="1"/>
    </xf>
  </cellXfs>
  <cellStyles count="171">
    <cellStyle name="20% - Accent1" xfId="17" builtinId="30" customBuiltin="1"/>
    <cellStyle name="20% - Accent1 2" xfId="147" xr:uid="{D73E306A-F5E0-486A-B681-9400CDABC18C}"/>
    <cellStyle name="20% - Accent2" xfId="20" builtinId="34" customBuiltin="1"/>
    <cellStyle name="20% - Accent2 2" xfId="149" xr:uid="{D9A05777-2DB4-4391-B6DD-6ED12298090B}"/>
    <cellStyle name="20% - Accent3" xfId="23" builtinId="38" customBuiltin="1"/>
    <cellStyle name="20% - Accent3 2" xfId="151" xr:uid="{9C0BE34E-F7D2-491B-AEDA-C6A25BF50FF5}"/>
    <cellStyle name="20% - Accent4" xfId="26" builtinId="42" customBuiltin="1"/>
    <cellStyle name="20% - Accent4 2" xfId="153" xr:uid="{C6642AD7-EB4D-45FA-A562-3B22372B7952}"/>
    <cellStyle name="20% - Accent5" xfId="29" builtinId="46" customBuiltin="1"/>
    <cellStyle name="20% - Accent5 2" xfId="155" xr:uid="{91F27FBB-B9F3-4C6B-A0E9-3672896451E5}"/>
    <cellStyle name="20% - Accent6" xfId="32" builtinId="50" customBuiltin="1"/>
    <cellStyle name="20% - Accent6 2" xfId="157" xr:uid="{629AEF04-51E3-4E1D-A268-11D85BEFF748}"/>
    <cellStyle name="40% - Accent1" xfId="18" builtinId="31" customBuiltin="1"/>
    <cellStyle name="40% - Accent1 2" xfId="148" xr:uid="{12686BF3-15A5-4C53-9CFC-90164FB542BB}"/>
    <cellStyle name="40% - Accent2" xfId="21" builtinId="35" customBuiltin="1"/>
    <cellStyle name="40% - Accent2 2" xfId="150" xr:uid="{B7822C23-6B57-4FFA-9F9B-798C9842B05A}"/>
    <cellStyle name="40% - Accent3" xfId="24" builtinId="39" customBuiltin="1"/>
    <cellStyle name="40% - Accent3 2" xfId="152" xr:uid="{C3D8AA08-C045-42D7-8BA1-30BF702F031A}"/>
    <cellStyle name="40% - Accent4" xfId="27" builtinId="43" customBuiltin="1"/>
    <cellStyle name="40% - Accent4 2" xfId="154" xr:uid="{2153B8AC-969E-4533-B7E4-22BE3ADE7D55}"/>
    <cellStyle name="40% - Accent5" xfId="30" builtinId="47" customBuiltin="1"/>
    <cellStyle name="40% - Accent5 2" xfId="156" xr:uid="{023E56DA-61B0-4E12-A817-F9F83ACD079A}"/>
    <cellStyle name="40% - Accent6" xfId="33" builtinId="51" customBuiltin="1"/>
    <cellStyle name="40% - Accent6 2" xfId="158" xr:uid="{595CE8FE-276B-4CEA-BE7A-CF8B24E76E39}"/>
    <cellStyle name="60% - Accent1" xfId="164" builtinId="32" customBuiltin="1"/>
    <cellStyle name="60% - Accent1 2" xfId="41" xr:uid="{B205B16A-60BA-4453-A413-F88494B78720}"/>
    <cellStyle name="60% - Accent2" xfId="165" builtinId="36" customBuiltin="1"/>
    <cellStyle name="60% - Accent2 2" xfId="42" xr:uid="{BA03C887-346D-4B63-B5FE-50A738A57547}"/>
    <cellStyle name="60% - Accent3" xfId="166" builtinId="40" customBuiltin="1"/>
    <cellStyle name="60% - Accent3 2" xfId="43" xr:uid="{49F2E0A9-B434-4580-97A6-E3666DCF3AD2}"/>
    <cellStyle name="60% - Accent4" xfId="167" builtinId="44" customBuiltin="1"/>
    <cellStyle name="60% - Accent4 2" xfId="44" xr:uid="{D9161302-0351-4B9C-B7F4-3C668046E71D}"/>
    <cellStyle name="60% - Accent5" xfId="168" builtinId="48" customBuiltin="1"/>
    <cellStyle name="60% - Accent5 2" xfId="45" xr:uid="{9064CC5A-EFBF-49EE-B199-6D3616ABA1DA}"/>
    <cellStyle name="60% - Accent6" xfId="169" builtinId="52" customBuiltin="1"/>
    <cellStyle name="60% - Accent6 2" xfId="46" xr:uid="{CAA4759F-831A-4F0F-9DD8-09FDCD1E46B5}"/>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1" builtinId="27" customBuiltin="1"/>
    <cellStyle name="Calculation" xfId="10" builtinId="22" customBuiltin="1"/>
    <cellStyle name="Check Cell" xfId="12" builtinId="23" customBuiltin="1"/>
    <cellStyle name="Currency" xfId="2" builtinId="4"/>
    <cellStyle name="Currency 2" xfId="35" xr:uid="{56CE9C21-4E6D-4D83-AD69-7052DEF36501}"/>
    <cellStyle name="Currency 2 2" xfId="51" xr:uid="{2847A1D8-D89E-49F4-B2D7-B993975DD6CE}"/>
    <cellStyle name="Currency 2 2 2" xfId="71" xr:uid="{EE6F200C-1D1D-42FF-BA33-087FB0C5C205}"/>
    <cellStyle name="Currency 2 2 2 2" xfId="93" xr:uid="{E91AFF87-8FA0-4078-BFA6-B0724A1D01C0}"/>
    <cellStyle name="Currency 2 2 2 2 2" xfId="135" xr:uid="{B13E9DF3-4508-4B26-8D8E-1CC32069954C}"/>
    <cellStyle name="Currency 2 2 2 3" xfId="115" xr:uid="{D03EEE04-0ABA-44B6-AD6C-78D42213B755}"/>
    <cellStyle name="Currency 2 2 3" xfId="62" xr:uid="{EE1BF624-19A2-48BF-B345-42BE4B05FF1B}"/>
    <cellStyle name="Currency 2 2 3 2" xfId="86" xr:uid="{1EF2D2FD-88FE-4B53-9073-BF39AF3907A6}"/>
    <cellStyle name="Currency 2 2 3 2 2" xfId="128" xr:uid="{1FC15CE8-8B86-46D9-888A-E562AE8F4BED}"/>
    <cellStyle name="Currency 2 2 3 3" xfId="108" xr:uid="{BB1CB8B5-9806-443E-9281-42E56C1B6C0B}"/>
    <cellStyle name="Currency 2 3" xfId="68" xr:uid="{B18D4E49-B202-4CDA-9F47-91947036F9B7}"/>
    <cellStyle name="Currency 2 3 2" xfId="90" xr:uid="{2CA3B51E-AA82-4A5B-8A38-4EE0E5764E89}"/>
    <cellStyle name="Currency 2 3 2 2" xfId="132" xr:uid="{DD058641-8FC4-4AF6-878A-8870E598D651}"/>
    <cellStyle name="Currency 2 3 3" xfId="112" xr:uid="{B9C867EF-C9DE-4FF5-A46A-F3BE4FB6ED0C}"/>
    <cellStyle name="Currency 2 4" xfId="58" xr:uid="{2B6A4644-87C3-42C1-B3CD-59EB47C94CD0}"/>
    <cellStyle name="Currency 2 4 2" xfId="83" xr:uid="{1D18DA33-2B02-4FC0-B6C8-3D59F1D8191A}"/>
    <cellStyle name="Currency 2 4 2 2" xfId="125" xr:uid="{086EDB44-1A32-4969-A777-86E68BBA532B}"/>
    <cellStyle name="Currency 2 4 3" xfId="105" xr:uid="{EF67F731-CB28-41FC-A283-861F46A4E4A7}"/>
    <cellStyle name="Currency 2 5" xfId="47" xr:uid="{01CBBA5C-CDBE-4FFD-A1FA-BC0B9A667787}"/>
    <cellStyle name="Currency 3" xfId="36" xr:uid="{339F0905-99A0-457F-8DD4-63F60CCC5DB9}"/>
    <cellStyle name="Currency 4" xfId="79" xr:uid="{D2C14253-7E7D-4670-B131-7889C1A0FC43}"/>
    <cellStyle name="Currency 4 2" xfId="137" xr:uid="{21A3104C-B74C-4FD0-AC5E-A4ED89649574}"/>
    <cellStyle name="Currency 5" xfId="101" xr:uid="{98E92B21-9D5B-4D72-97B3-AD7E03FDEFCA}"/>
    <cellStyle name="Currency 6" xfId="138" xr:uid="{5D31994C-BD08-44F7-B463-F3DCDB6D8974}"/>
    <cellStyle name="Currency 7" xfId="97" xr:uid="{CF837EDB-B4C3-4EC8-BE40-18FBF2CF000D}"/>
    <cellStyle name="Currency 8" xfId="53" xr:uid="{63CC8509-73A4-4609-9EFE-952EC574D816}"/>
    <cellStyle name="Explanatory Text" xfId="14"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60" builtinId="8"/>
    <cellStyle name="Hyperlink 2" xfId="63" xr:uid="{D0A750DB-E9AB-4318-B8C0-0116E8579D04}"/>
    <cellStyle name="Input" xfId="8" builtinId="20" customBuiltin="1"/>
    <cellStyle name="Linked Cell" xfId="11" builtinId="24" customBuiltin="1"/>
    <cellStyle name="Neutral" xfId="162" builtinId="28" customBuiltin="1"/>
    <cellStyle name="Neutral 2" xfId="40" xr:uid="{6DD00FA5-C916-4F69-A289-97A0F0739602}"/>
    <cellStyle name="Normal" xfId="0" builtinId="0"/>
    <cellStyle name="Normal 10" xfId="74" xr:uid="{EF27652E-659F-42BE-A6F2-0396D47885F3}"/>
    <cellStyle name="Normal 10 2" xfId="76" xr:uid="{73CC7B24-2B91-4954-B121-7768EE97C195}"/>
    <cellStyle name="Normal 10 2 2" xfId="140" xr:uid="{A3C33701-FD96-4B98-AB3F-DBE7B21476DB}"/>
    <cellStyle name="Normal 10 3" xfId="118" xr:uid="{D92AFD4B-57F8-40D2-9521-6CFBF27619A5}"/>
    <cellStyle name="Normal 11" xfId="75" xr:uid="{629CDD11-53A1-465E-BB56-1E056DAD4037}"/>
    <cellStyle name="Normal 11 2" xfId="78" xr:uid="{4AB7A46F-3512-4776-A008-0FE05103772C}"/>
    <cellStyle name="Normal 11 2 2" xfId="121" xr:uid="{C4C3133D-C426-4FF4-A09F-A1CF9F904081}"/>
    <cellStyle name="Normal 11 3" xfId="119" xr:uid="{B6AD8211-36AA-40A2-B593-DE5AA1F1D52E}"/>
    <cellStyle name="Normal 12" xfId="99" xr:uid="{65054363-DFE7-4D1C-8491-F13F80E9BC9E}"/>
    <cellStyle name="Normal 13" xfId="96" xr:uid="{029C383C-6E03-40FB-9F24-A98053C22F07}"/>
    <cellStyle name="Normal 14" xfId="142" xr:uid="{8689659A-299B-41E1-B05C-30B3F7C73CD9}"/>
    <cellStyle name="Normal 15" xfId="143" xr:uid="{6F6EDD31-175F-4168-9F27-DA4DDE1EFEB8}"/>
    <cellStyle name="Normal 15 2" xfId="144" xr:uid="{B647E3CA-04A1-4A98-BA20-9078F5AE758F}"/>
    <cellStyle name="Normal 16" xfId="145" xr:uid="{3C50C5D9-C8C4-4202-91F3-C7DE73974960}"/>
    <cellStyle name="Normal 17" xfId="34" xr:uid="{702A3C58-76EB-45A4-B770-CAC24CAF7809}"/>
    <cellStyle name="Normal 18" xfId="159" xr:uid="{51A67868-E4AB-40DC-A80C-948492F721A2}"/>
    <cellStyle name="Normal 19" xfId="170" xr:uid="{A2A4FEF2-1AD3-4E76-9542-B73977D98F54}"/>
    <cellStyle name="Normal 2" xfId="37" xr:uid="{D3C54274-20AB-4D61-BFE6-0C8F8B5895DD}"/>
    <cellStyle name="Normal 2 2" xfId="52" xr:uid="{9513E5FA-D85E-4065-8282-BA3B4379EB1F}"/>
    <cellStyle name="Normal 2 3" xfId="48" xr:uid="{ABAFEF0B-8B19-4A1B-94C3-BAE6F320CF26}"/>
    <cellStyle name="Normal 3" xfId="38" xr:uid="{6B037B2F-03DB-4EBB-ABDC-1AA46241308C}"/>
    <cellStyle name="Normal 3 2" xfId="60" xr:uid="{A69B0F09-0F97-45A4-B356-92F31D7FB8B0}"/>
    <cellStyle name="Normal 3 2 2" xfId="69" xr:uid="{DD02B4B3-49D9-47A1-A87D-F870FC5E51EC}"/>
    <cellStyle name="Normal 3 2 2 2" xfId="91" xr:uid="{9A0B966A-55B1-4D0C-9A20-50946D8AFBCF}"/>
    <cellStyle name="Normal 3 2 2 2 2" xfId="133" xr:uid="{B2B79652-4FB5-4B55-9036-6EBE0927CD41}"/>
    <cellStyle name="Normal 3 2 2 3" xfId="113" xr:uid="{AADC0855-4FDA-483B-9679-356DB2DEA338}"/>
    <cellStyle name="Normal 3 2 3" xfId="84" xr:uid="{766B31B7-AA32-4495-9A9C-F606D502F4EF}"/>
    <cellStyle name="Normal 3 2 3 2" xfId="126" xr:uid="{87C7CBEA-F30D-48B3-839C-6383AB4E3C88}"/>
    <cellStyle name="Normal 3 2 4" xfId="106" xr:uid="{647B8A34-0B0F-4F43-AD59-27E33C7060B4}"/>
    <cellStyle name="Normal 3 3" xfId="66" xr:uid="{B545E169-BCC3-4E00-91D5-2111046E3E5E}"/>
    <cellStyle name="Normal 3 3 2" xfId="88" xr:uid="{63097620-73EE-4D9E-8E26-E8542A4FEAB8}"/>
    <cellStyle name="Normal 3 3 2 2" xfId="130" xr:uid="{1D19FDA1-304A-451B-8A26-7F95A84F3654}"/>
    <cellStyle name="Normal 3 3 3" xfId="110" xr:uid="{D59374DA-1E04-434E-9C94-A80D7F47A275}"/>
    <cellStyle name="Normal 3 4" xfId="55" xr:uid="{813CFD73-6ACE-4468-9647-682AC742FC5C}"/>
    <cellStyle name="Normal 3 4 2" xfId="81" xr:uid="{0B7ABD96-47AC-4895-983A-3A132B8F4FFA}"/>
    <cellStyle name="Normal 3 4 2 2" xfId="123" xr:uid="{B39F44B4-FC91-4991-A56E-7FE907DBA81F}"/>
    <cellStyle name="Normal 3 4 3" xfId="103" xr:uid="{B88C1C6B-0ADF-42F5-84D5-47CC65FE5E39}"/>
    <cellStyle name="Normal 4" xfId="50" xr:uid="{0CF0E4E5-8BD9-415D-91C8-5E5B676E7BC7}"/>
    <cellStyle name="Normal 4 2" xfId="56" xr:uid="{211BC9E1-F824-4D4A-98CF-BB4DA2963611}"/>
    <cellStyle name="Normal 5" xfId="49" xr:uid="{796EA475-A115-43AA-A900-698449A5218D}"/>
    <cellStyle name="Normal 5 2" xfId="61" xr:uid="{7EFF148F-BC06-4C45-8692-31073312AE07}"/>
    <cellStyle name="Normal 5 2 2" xfId="70" xr:uid="{B60A1DD0-9C56-468B-A0AA-EFAE79EB3D85}"/>
    <cellStyle name="Normal 5 2 2 2" xfId="92" xr:uid="{BE50DD32-D1AE-48DE-8B8D-AA17A2183C2D}"/>
    <cellStyle name="Normal 5 2 2 2 2" xfId="134" xr:uid="{EE4E85BA-D975-4F8D-AAA0-C341E6E776F2}"/>
    <cellStyle name="Normal 5 2 2 3" xfId="114" xr:uid="{CDCAEC1D-44C6-4974-8315-A0ECFE10EAE6}"/>
    <cellStyle name="Normal 5 2 3" xfId="85" xr:uid="{B5F3315B-4D6F-44F3-A827-D2A7846E6DE2}"/>
    <cellStyle name="Normal 5 2 3 2" xfId="127" xr:uid="{B6DD30C4-9337-4946-AB55-B7162EACA76C}"/>
    <cellStyle name="Normal 5 2 4" xfId="107" xr:uid="{484CDA68-45A5-48BE-BAB0-17372004900D}"/>
    <cellStyle name="Normal 5 3" xfId="67" xr:uid="{3E3DF4F0-5D09-46D2-85F5-75E77805942F}"/>
    <cellStyle name="Normal 5 3 2" xfId="89" xr:uid="{16A572BC-B0BD-4520-B831-9B943FAD66E6}"/>
    <cellStyle name="Normal 5 3 2 2" xfId="131" xr:uid="{FD79869B-4B26-4A15-8D62-01E67A48B530}"/>
    <cellStyle name="Normal 5 3 3" xfId="111" xr:uid="{358EFE83-75F0-4939-9506-8F88FFDAE04F}"/>
    <cellStyle name="Normal 5 4" xfId="57" xr:uid="{4EAD53E3-8826-41B2-8F57-0ABDBFEF4DCE}"/>
    <cellStyle name="Normal 5 4 2" xfId="82" xr:uid="{837D1E3E-332A-4AEA-BA88-714F32251944}"/>
    <cellStyle name="Normal 5 4 2 2" xfId="124" xr:uid="{9569610C-BAD0-4A07-ABE8-A7457F722857}"/>
    <cellStyle name="Normal 5 4 3" xfId="104" xr:uid="{AB75BAB9-58B9-492F-90F1-51AEDFF365FD}"/>
    <cellStyle name="Normal 5 5" xfId="77" xr:uid="{FDD2E075-B9D2-42DD-8DEA-8D9577D33865}"/>
    <cellStyle name="Normal 5 5 2" xfId="120" xr:uid="{15B00BAD-7CB0-4DE7-B074-E4BC74633764}"/>
    <cellStyle name="Normal 5 6" xfId="100" xr:uid="{3CBA6F12-BC93-4669-B05F-B02C6525A908}"/>
    <cellStyle name="Normal 6" xfId="54" xr:uid="{B384053E-B0FA-44C7-944C-917F4583A516}"/>
    <cellStyle name="Normal 6 2" xfId="59" xr:uid="{7CD5AD4B-B70A-42E4-A30B-5B650D4696EA}"/>
    <cellStyle name="Normal 6 3" xfId="80" xr:uid="{661FB424-B8F1-46C1-A346-820F03248C14}"/>
    <cellStyle name="Normal 6 3 2" xfId="122" xr:uid="{ADAB2003-C8DA-4678-A113-28404D12A09A}"/>
    <cellStyle name="Normal 6 4" xfId="102" xr:uid="{698CBFED-CF51-45B7-8C37-41175D792E4E}"/>
    <cellStyle name="Normal 7" xfId="65" xr:uid="{283856C1-A450-47A8-A689-004696BDBD88}"/>
    <cellStyle name="Normal 8" xfId="64" xr:uid="{E42E1ACB-4D9D-4FC8-948E-30DFE7E6EF5B}"/>
    <cellStyle name="Normal 8 2" xfId="87" xr:uid="{84C1EAC5-6FCE-4339-839B-B914BCBDCF98}"/>
    <cellStyle name="Normal 8 2 2" xfId="129" xr:uid="{B835247F-392E-4650-AC9D-A5BA43657CD2}"/>
    <cellStyle name="Normal 8 3" xfId="109" xr:uid="{45BB6357-42CC-4DD2-9E4C-764F56B77AC9}"/>
    <cellStyle name="Normal 9" xfId="72" xr:uid="{55984938-3C6E-4A32-A5DE-C3D713879BD3}"/>
    <cellStyle name="Normal 9 2" xfId="94" xr:uid="{669DE559-31B9-4209-ABEE-E05E58BEEF88}"/>
    <cellStyle name="Normal 9 2 2" xfId="136" xr:uid="{63079895-AF79-47BF-8BF8-1B8B47861B93}"/>
    <cellStyle name="Normal 9 3" xfId="116" xr:uid="{520F9FFB-9B83-42D2-960D-4237E5AE47A1}"/>
    <cellStyle name="Note" xfId="163" builtinId="10" customBuiltin="1"/>
    <cellStyle name="Note 2" xfId="98" xr:uid="{38B02136-4E9B-4F25-9FA4-C213280718BD}"/>
    <cellStyle name="Note 3" xfId="146" xr:uid="{6926F73D-6E26-424B-BC7C-BAEAC3CEFBB2}"/>
    <cellStyle name="Output" xfId="9" builtinId="21" customBuiltin="1"/>
    <cellStyle name="Percent 2" xfId="95" xr:uid="{288022EC-8A53-4F91-98B1-0B327A7F9F6A}"/>
    <cellStyle name="Percent 2 2" xfId="141" xr:uid="{88CAFA14-4280-4787-AFC3-221B4AD2C833}"/>
    <cellStyle name="Percent 3" xfId="117" xr:uid="{EEA3DB11-2B39-49EB-A04C-44E5AA9FF84B}"/>
    <cellStyle name="Percent 4" xfId="139" xr:uid="{16C3CB3B-6A8D-4FA3-817C-246F6D73B7F3}"/>
    <cellStyle name="Percent 5" xfId="73" xr:uid="{794AE813-B01E-497C-930A-6C2F5B05A9C7}"/>
    <cellStyle name="Title" xfId="161" builtinId="15" customBuiltin="1"/>
    <cellStyle name="Title 2" xfId="39" xr:uid="{B24B69E4-F796-430C-B6A9-6405108E6D36}"/>
    <cellStyle name="Total" xfId="15" builtinId="25" customBuiltin="1"/>
    <cellStyle name="Warning Text" xfId="13" builtinId="11" customBuiltin="1"/>
  </cellStyles>
  <dxfs count="10">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color theme="5" tint="0.39994506668294322"/>
      </font>
      <fill>
        <patternFill patternType="none">
          <bgColor auto="1"/>
        </patternFill>
      </fill>
    </dxf>
    <dxf>
      <font>
        <color rgb="FF9C0006"/>
      </font>
      <fill>
        <patternFill>
          <bgColor rgb="FFFFC7CE"/>
        </patternFill>
      </fill>
    </dxf>
  </dxfs>
  <tableStyles count="0" defaultTableStyle="TableStyleMedium2" defaultPivotStyle="PivotStyleLight16"/>
  <colors>
    <mruColors>
      <color rgb="FF385D8A"/>
      <color rgb="FF00B0F0"/>
      <color rgb="FF08A5CA"/>
      <color rgb="FF12CBF6"/>
      <color rgb="FF74E0FA"/>
      <color rgb="FFFE34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3.xml"/><Relationship Id="rId10" Type="http://schemas.openxmlformats.org/officeDocument/2006/relationships/externalLink" Target="externalLinks/externalLink1.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Suppliers</a:t>
            </a:r>
            <a:r>
              <a:rPr lang="en-AU" baseline="0"/>
              <a:t> </a:t>
            </a:r>
            <a:r>
              <a:rPr lang="en-AU"/>
              <a:t>by Allocated Value PIPL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[3]Sheet1!$F$2:$F$7</c:f>
              <c:strCache>
                <c:ptCount val="6"/>
                <c:pt idx="0">
                  <c:v>$0 - $100</c:v>
                </c:pt>
                <c:pt idx="1">
                  <c:v>$100 - $1000</c:v>
                </c:pt>
                <c:pt idx="2">
                  <c:v>$1000 - $10000</c:v>
                </c:pt>
                <c:pt idx="3">
                  <c:v>$10000 - $50000</c:v>
                </c:pt>
                <c:pt idx="4">
                  <c:v>$50000 - $100000</c:v>
                </c:pt>
                <c:pt idx="5">
                  <c:v>&gt; $100000</c:v>
                </c:pt>
              </c:strCache>
            </c:strRef>
          </c:cat>
          <c:val>
            <c:numRef>
              <c:f>[3]Sheet1!$G$2:$G$7</c:f>
              <c:numCache>
                <c:formatCode>General</c:formatCode>
                <c:ptCount val="6"/>
                <c:pt idx="0">
                  <c:v>33</c:v>
                </c:pt>
                <c:pt idx="1">
                  <c:v>134</c:v>
                </c:pt>
                <c:pt idx="2">
                  <c:v>231</c:v>
                </c:pt>
                <c:pt idx="3">
                  <c:v>104</c:v>
                </c:pt>
                <c:pt idx="4">
                  <c:v>29</c:v>
                </c:pt>
                <c:pt idx="5">
                  <c:v>34</c:v>
                </c:pt>
              </c:numCache>
            </c:numRef>
          </c:val>
          <c:extLst>
            <c:ext xmlns:c16="http://schemas.microsoft.com/office/drawing/2014/chart" uri="{C3380CC4-5D6E-409C-BE32-E72D297353CC}">
              <c16:uniqueId val="{00000000-CAD5-4AB1-B2E3-D86460D84B81}"/>
            </c:ext>
          </c:extLst>
        </c:ser>
        <c:dLbls>
          <c:showLegendKey val="0"/>
          <c:showVal val="0"/>
          <c:showCatName val="0"/>
          <c:showSerName val="0"/>
          <c:showPercent val="0"/>
          <c:showBubbleSize val="0"/>
        </c:dLbls>
        <c:gapWidth val="182"/>
        <c:axId val="871530688"/>
        <c:axId val="871524784"/>
      </c:barChart>
      <c:catAx>
        <c:axId val="87153068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Allocated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524784"/>
        <c:crosses val="autoZero"/>
        <c:auto val="1"/>
        <c:lblAlgn val="ctr"/>
        <c:lblOffset val="100"/>
        <c:noMultiLvlLbl val="0"/>
      </c:catAx>
      <c:valAx>
        <c:axId val="8715247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Suppliers Count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530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26.png"/><Relationship Id="rId7" Type="http://schemas.openxmlformats.org/officeDocument/2006/relationships/image" Target="../media/image30.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 Id="rId9" Type="http://schemas.openxmlformats.org/officeDocument/2006/relationships/image" Target="../media/image3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1.emf"/><Relationship Id="rId18" Type="http://schemas.openxmlformats.org/officeDocument/2006/relationships/image" Target="../media/image6.emf"/><Relationship Id="rId3" Type="http://schemas.openxmlformats.org/officeDocument/2006/relationships/image" Target="../media/image21.emf"/><Relationship Id="rId21" Type="http://schemas.openxmlformats.org/officeDocument/2006/relationships/image" Target="../media/image3.emf"/><Relationship Id="rId7" Type="http://schemas.openxmlformats.org/officeDocument/2006/relationships/image" Target="../media/image17.emf"/><Relationship Id="rId12" Type="http://schemas.openxmlformats.org/officeDocument/2006/relationships/image" Target="../media/image12.emf"/><Relationship Id="rId17" Type="http://schemas.openxmlformats.org/officeDocument/2006/relationships/image" Target="../media/image7.emf"/><Relationship Id="rId2" Type="http://schemas.openxmlformats.org/officeDocument/2006/relationships/image" Target="../media/image22.emf"/><Relationship Id="rId16" Type="http://schemas.openxmlformats.org/officeDocument/2006/relationships/image" Target="../media/image8.emf"/><Relationship Id="rId20" Type="http://schemas.openxmlformats.org/officeDocument/2006/relationships/image" Target="../media/image4.emf"/><Relationship Id="rId1" Type="http://schemas.openxmlformats.org/officeDocument/2006/relationships/image" Target="../media/image23.emf"/><Relationship Id="rId6" Type="http://schemas.openxmlformats.org/officeDocument/2006/relationships/image" Target="../media/image18.emf"/><Relationship Id="rId11" Type="http://schemas.openxmlformats.org/officeDocument/2006/relationships/image" Target="../media/image13.emf"/><Relationship Id="rId5" Type="http://schemas.openxmlformats.org/officeDocument/2006/relationships/image" Target="../media/image19.emf"/><Relationship Id="rId15" Type="http://schemas.openxmlformats.org/officeDocument/2006/relationships/image" Target="../media/image9.emf"/><Relationship Id="rId10" Type="http://schemas.openxmlformats.org/officeDocument/2006/relationships/image" Target="../media/image14.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xdr:twoCellAnchor editAs="oneCell">
    <xdr:from>
      <xdr:col>0</xdr:col>
      <xdr:colOff>180983</xdr:colOff>
      <xdr:row>1</xdr:row>
      <xdr:rowOff>38099</xdr:rowOff>
    </xdr:from>
    <xdr:to>
      <xdr:col>2</xdr:col>
      <xdr:colOff>0</xdr:colOff>
      <xdr:row>2</xdr:row>
      <xdr:rowOff>371206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0983" y="218016"/>
          <a:ext cx="1201200" cy="516198"/>
        </a:xfrm>
        <a:prstGeom prst="rect">
          <a:avLst/>
        </a:prstGeom>
      </xdr:spPr>
    </xdr:pic>
    <xdr:clientData/>
  </xdr:twoCellAnchor>
  <xdr:twoCellAnchor editAs="oneCell">
    <xdr:from>
      <xdr:col>8</xdr:col>
      <xdr:colOff>296333</xdr:colOff>
      <xdr:row>0</xdr:row>
      <xdr:rowOff>1</xdr:rowOff>
    </xdr:from>
    <xdr:to>
      <xdr:col>17</xdr:col>
      <xdr:colOff>81491</xdr:colOff>
      <xdr:row>20</xdr:row>
      <xdr:rowOff>336266</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7842250" y="1"/>
          <a:ext cx="5309658" cy="7861015"/>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61</xdr:col>
      <xdr:colOff>68580</xdr:colOff>
      <xdr:row>4</xdr:row>
      <xdr:rowOff>24765</xdr:rowOff>
    </xdr:from>
    <xdr:to>
      <xdr:col>62</xdr:col>
      <xdr:colOff>148590</xdr:colOff>
      <xdr:row>5</xdr:row>
      <xdr:rowOff>123825</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tretch>
          <a:fillRect/>
        </a:stretch>
      </xdr:blipFill>
      <xdr:spPr>
        <a:xfrm>
          <a:off x="12470130" y="567690"/>
          <a:ext cx="280035" cy="280035"/>
        </a:xfrm>
        <a:prstGeom prst="rect">
          <a:avLst/>
        </a:prstGeom>
      </xdr:spPr>
    </xdr:pic>
    <xdr:clientData/>
  </xdr:twoCellAnchor>
  <xdr:twoCellAnchor editAs="oneCell">
    <xdr:from>
      <xdr:col>63</xdr:col>
      <xdr:colOff>47626</xdr:colOff>
      <xdr:row>4</xdr:row>
      <xdr:rowOff>38101</xdr:rowOff>
    </xdr:from>
    <xdr:to>
      <xdr:col>64</xdr:col>
      <xdr:colOff>133351</xdr:colOff>
      <xdr:row>5</xdr:row>
      <xdr:rowOff>142876</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
        <a:stretch>
          <a:fillRect/>
        </a:stretch>
      </xdr:blipFill>
      <xdr:spPr>
        <a:xfrm>
          <a:off x="12849226" y="581026"/>
          <a:ext cx="285750" cy="285750"/>
        </a:xfrm>
        <a:prstGeom prst="rect">
          <a:avLst/>
        </a:prstGeom>
      </xdr:spPr>
    </xdr:pic>
    <xdr:clientData/>
  </xdr:twoCellAnchor>
  <xdr:twoCellAnchor editAs="oneCell">
    <xdr:from>
      <xdr:col>59</xdr:col>
      <xdr:colOff>66676</xdr:colOff>
      <xdr:row>4</xdr:row>
      <xdr:rowOff>28576</xdr:rowOff>
    </xdr:from>
    <xdr:to>
      <xdr:col>60</xdr:col>
      <xdr:colOff>133351</xdr:colOff>
      <xdr:row>5</xdr:row>
      <xdr:rowOff>114301</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3"/>
        <a:stretch>
          <a:fillRect/>
        </a:stretch>
      </xdr:blipFill>
      <xdr:spPr>
        <a:xfrm>
          <a:off x="12068176" y="571501"/>
          <a:ext cx="266700" cy="266700"/>
        </a:xfrm>
        <a:prstGeom prst="rect">
          <a:avLst/>
        </a:prstGeom>
      </xdr:spPr>
    </xdr:pic>
    <xdr:clientData/>
  </xdr:twoCellAnchor>
  <xdr:twoCellAnchor editAs="oneCell">
    <xdr:from>
      <xdr:col>53</xdr:col>
      <xdr:colOff>47625</xdr:colOff>
      <xdr:row>4</xdr:row>
      <xdr:rowOff>28575</xdr:rowOff>
    </xdr:from>
    <xdr:to>
      <xdr:col>54</xdr:col>
      <xdr:colOff>161925</xdr:colOff>
      <xdr:row>5</xdr:row>
      <xdr:rowOff>161925</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4"/>
        <a:stretch>
          <a:fillRect/>
        </a:stretch>
      </xdr:blipFill>
      <xdr:spPr>
        <a:xfrm>
          <a:off x="10848975" y="571500"/>
          <a:ext cx="314325" cy="314325"/>
        </a:xfrm>
        <a:prstGeom prst="rect">
          <a:avLst/>
        </a:prstGeom>
      </xdr:spPr>
    </xdr:pic>
    <xdr:clientData/>
  </xdr:twoCellAnchor>
  <xdr:twoCellAnchor editAs="oneCell">
    <xdr:from>
      <xdr:col>57</xdr:col>
      <xdr:colOff>38101</xdr:colOff>
      <xdr:row>4</xdr:row>
      <xdr:rowOff>1</xdr:rowOff>
    </xdr:from>
    <xdr:to>
      <xdr:col>58</xdr:col>
      <xdr:colOff>180976</xdr:colOff>
      <xdr:row>5</xdr:row>
      <xdr:rowOff>161926</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
        <a:stretch>
          <a:fillRect/>
        </a:stretch>
      </xdr:blipFill>
      <xdr:spPr>
        <a:xfrm>
          <a:off x="11639551" y="542926"/>
          <a:ext cx="342900" cy="342900"/>
        </a:xfrm>
        <a:prstGeom prst="rect">
          <a:avLst/>
        </a:prstGeom>
      </xdr:spPr>
    </xdr:pic>
    <xdr:clientData/>
  </xdr:twoCellAnchor>
  <xdr:twoCellAnchor editAs="oneCell">
    <xdr:from>
      <xdr:col>55</xdr:col>
      <xdr:colOff>66675</xdr:colOff>
      <xdr:row>4</xdr:row>
      <xdr:rowOff>47625</xdr:rowOff>
    </xdr:from>
    <xdr:to>
      <xdr:col>56</xdr:col>
      <xdr:colOff>161925</xdr:colOff>
      <xdr:row>5</xdr:row>
      <xdr:rowOff>161925</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6"/>
        <a:stretch>
          <a:fillRect/>
        </a:stretch>
      </xdr:blipFill>
      <xdr:spPr>
        <a:xfrm>
          <a:off x="11268075" y="590550"/>
          <a:ext cx="295275" cy="295275"/>
        </a:xfrm>
        <a:prstGeom prst="rect">
          <a:avLst/>
        </a:prstGeom>
      </xdr:spPr>
    </xdr:pic>
    <xdr:clientData/>
  </xdr:twoCellAnchor>
  <xdr:twoCellAnchor editAs="oneCell">
    <xdr:from>
      <xdr:col>65</xdr:col>
      <xdr:colOff>76200</xdr:colOff>
      <xdr:row>4</xdr:row>
      <xdr:rowOff>76200</xdr:rowOff>
    </xdr:from>
    <xdr:to>
      <xdr:col>66</xdr:col>
      <xdr:colOff>152400</xdr:colOff>
      <xdr:row>5</xdr:row>
      <xdr:rowOff>171450</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7"/>
        <a:stretch>
          <a:fillRect/>
        </a:stretch>
      </xdr:blipFill>
      <xdr:spPr>
        <a:xfrm>
          <a:off x="13277850" y="619125"/>
          <a:ext cx="276225" cy="276225"/>
        </a:xfrm>
        <a:prstGeom prst="rect">
          <a:avLst/>
        </a:prstGeom>
      </xdr:spPr>
    </xdr:pic>
    <xdr:clientData/>
  </xdr:twoCellAnchor>
  <xdr:twoCellAnchor editAs="oneCell">
    <xdr:from>
      <xdr:col>55</xdr:col>
      <xdr:colOff>85725</xdr:colOff>
      <xdr:row>7</xdr:row>
      <xdr:rowOff>66675</xdr:rowOff>
    </xdr:from>
    <xdr:to>
      <xdr:col>56</xdr:col>
      <xdr:colOff>123825</xdr:colOff>
      <xdr:row>8</xdr:row>
      <xdr:rowOff>123825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8"/>
        <a:stretch>
          <a:fillRect/>
        </a:stretch>
      </xdr:blipFill>
      <xdr:spPr>
        <a:xfrm>
          <a:off x="11287125" y="1152525"/>
          <a:ext cx="238125" cy="238125"/>
        </a:xfrm>
        <a:prstGeom prst="rect">
          <a:avLst/>
        </a:prstGeom>
      </xdr:spPr>
    </xdr:pic>
    <xdr:clientData/>
  </xdr:twoCellAnchor>
  <xdr:twoCellAnchor editAs="oneCell">
    <xdr:from>
      <xdr:col>53</xdr:col>
      <xdr:colOff>47625</xdr:colOff>
      <xdr:row>7</xdr:row>
      <xdr:rowOff>47625</xdr:rowOff>
    </xdr:from>
    <xdr:to>
      <xdr:col>54</xdr:col>
      <xdr:colOff>142875</xdr:colOff>
      <xdr:row>8</xdr:row>
      <xdr:rowOff>161925</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9"/>
        <a:stretch>
          <a:fillRect/>
        </a:stretch>
      </xdr:blipFill>
      <xdr:spPr>
        <a:xfrm>
          <a:off x="10848975" y="1133475"/>
          <a:ext cx="295275" cy="2952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28575</xdr:colOff>
          <xdr:row>3</xdr:row>
          <xdr:rowOff>47625</xdr:rowOff>
        </xdr:from>
        <xdr:to>
          <xdr:col>9</xdr:col>
          <xdr:colOff>95250</xdr:colOff>
          <xdr:row>7</xdr:row>
          <xdr:rowOff>133350</xdr:rowOff>
        </xdr:to>
        <xdr:sp macro="" textlink="">
          <xdr:nvSpPr>
            <xdr:cNvPr id="7201" name="btnContractManufacturing" hidden="1">
              <a:extLst>
                <a:ext uri="{63B3BB69-23CF-44E3-9099-C40C66FF867C}">
                  <a14:compatExt spid="_x0000_s7201"/>
                </a:ext>
                <a:ext uri="{FF2B5EF4-FFF2-40B4-BE49-F238E27FC236}">
                  <a16:creationId xmlns:a16="http://schemas.microsoft.com/office/drawing/2014/main" id="{00000000-0008-0000-0100-00002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38100</xdr:rowOff>
        </xdr:from>
        <xdr:to>
          <xdr:col>15</xdr:col>
          <xdr:colOff>114300</xdr:colOff>
          <xdr:row>7</xdr:row>
          <xdr:rowOff>142875</xdr:rowOff>
        </xdr:to>
        <xdr:sp macro="" textlink="">
          <xdr:nvSpPr>
            <xdr:cNvPr id="7202" name="btnElectronics" hidden="1">
              <a:extLst>
                <a:ext uri="{63B3BB69-23CF-44E3-9099-C40C66FF867C}">
                  <a14:compatExt spid="_x0000_s7202"/>
                </a:ext>
                <a:ext uri="{FF2B5EF4-FFF2-40B4-BE49-F238E27FC236}">
                  <a16:creationId xmlns:a16="http://schemas.microsoft.com/office/drawing/2014/main" id="{00000000-0008-0000-0100-00002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3</xdr:row>
          <xdr:rowOff>57150</xdr:rowOff>
        </xdr:from>
        <xdr:to>
          <xdr:col>21</xdr:col>
          <xdr:colOff>57150</xdr:colOff>
          <xdr:row>7</xdr:row>
          <xdr:rowOff>161925</xdr:rowOff>
        </xdr:to>
        <xdr:sp macro="" textlink="">
          <xdr:nvSpPr>
            <xdr:cNvPr id="7203" name="btnInjMoulding" hidden="1">
              <a:extLst>
                <a:ext uri="{63B3BB69-23CF-44E3-9099-C40C66FF867C}">
                  <a14:compatExt spid="_x0000_s7203"/>
                </a:ext>
                <a:ext uri="{FF2B5EF4-FFF2-40B4-BE49-F238E27FC236}">
                  <a16:creationId xmlns:a16="http://schemas.microsoft.com/office/drawing/2014/main" id="{00000000-0008-0000-0100-00002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3</xdr:row>
          <xdr:rowOff>57150</xdr:rowOff>
        </xdr:from>
        <xdr:to>
          <xdr:col>27</xdr:col>
          <xdr:colOff>66675</xdr:colOff>
          <xdr:row>7</xdr:row>
          <xdr:rowOff>161925</xdr:rowOff>
        </xdr:to>
        <xdr:sp macro="" textlink="">
          <xdr:nvSpPr>
            <xdr:cNvPr id="7204" name="btnMachining" hidden="1">
              <a:extLst>
                <a:ext uri="{63B3BB69-23CF-44E3-9099-C40C66FF867C}">
                  <a14:compatExt spid="_x0000_s7204"/>
                </a:ext>
                <a:ext uri="{FF2B5EF4-FFF2-40B4-BE49-F238E27FC236}">
                  <a16:creationId xmlns:a16="http://schemas.microsoft.com/office/drawing/2014/main" id="{00000000-0008-0000-0100-00002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133350</xdr:colOff>
          <xdr:row>3</xdr:row>
          <xdr:rowOff>57150</xdr:rowOff>
        </xdr:from>
        <xdr:to>
          <xdr:col>33</xdr:col>
          <xdr:colOff>85725</xdr:colOff>
          <xdr:row>7</xdr:row>
          <xdr:rowOff>161925</xdr:rowOff>
        </xdr:to>
        <xdr:sp macro="" textlink="">
          <xdr:nvSpPr>
            <xdr:cNvPr id="7205" name="btnSheetMetal" hidden="1">
              <a:extLst>
                <a:ext uri="{63B3BB69-23CF-44E3-9099-C40C66FF867C}">
                  <a14:compatExt spid="_x0000_s7205"/>
                </a:ext>
                <a:ext uri="{FF2B5EF4-FFF2-40B4-BE49-F238E27FC236}">
                  <a16:creationId xmlns:a16="http://schemas.microsoft.com/office/drawing/2014/main" id="{00000000-0008-0000-0100-00002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3</xdr:row>
          <xdr:rowOff>47625</xdr:rowOff>
        </xdr:from>
        <xdr:to>
          <xdr:col>39</xdr:col>
          <xdr:colOff>66675</xdr:colOff>
          <xdr:row>7</xdr:row>
          <xdr:rowOff>152400</xdr:rowOff>
        </xdr:to>
        <xdr:sp macro="" textlink="">
          <xdr:nvSpPr>
            <xdr:cNvPr id="7206" name="btnPrototyping" hidden="1">
              <a:extLst>
                <a:ext uri="{63B3BB69-23CF-44E3-9099-C40C66FF867C}">
                  <a14:compatExt spid="_x0000_s7206"/>
                </a:ext>
                <a:ext uri="{FF2B5EF4-FFF2-40B4-BE49-F238E27FC236}">
                  <a16:creationId xmlns:a16="http://schemas.microsoft.com/office/drawing/2014/main" id="{00000000-0008-0000-0100-00002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114300</xdr:colOff>
          <xdr:row>3</xdr:row>
          <xdr:rowOff>47625</xdr:rowOff>
        </xdr:from>
        <xdr:to>
          <xdr:col>45</xdr:col>
          <xdr:colOff>66675</xdr:colOff>
          <xdr:row>7</xdr:row>
          <xdr:rowOff>152400</xdr:rowOff>
        </xdr:to>
        <xdr:sp macro="" textlink="">
          <xdr:nvSpPr>
            <xdr:cNvPr id="7207" name="btnLaserCutting" hidden="1">
              <a:extLst>
                <a:ext uri="{63B3BB69-23CF-44E3-9099-C40C66FF867C}">
                  <a14:compatExt spid="_x0000_s7207"/>
                </a:ext>
                <a:ext uri="{FF2B5EF4-FFF2-40B4-BE49-F238E27FC236}">
                  <a16:creationId xmlns:a16="http://schemas.microsoft.com/office/drawing/2014/main" id="{00000000-0008-0000-0100-00002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10</xdr:row>
          <xdr:rowOff>47625</xdr:rowOff>
        </xdr:from>
        <xdr:to>
          <xdr:col>6</xdr:col>
          <xdr:colOff>152400</xdr:colOff>
          <xdr:row>12</xdr:row>
          <xdr:rowOff>114300</xdr:rowOff>
        </xdr:to>
        <xdr:sp macro="" textlink="">
          <xdr:nvSpPr>
            <xdr:cNvPr id="7208" name="btnAdhesives" hidden="1">
              <a:extLst>
                <a:ext uri="{63B3BB69-23CF-44E3-9099-C40C66FF867C}">
                  <a14:compatExt spid="_x0000_s7208"/>
                </a:ext>
                <a:ext uri="{FF2B5EF4-FFF2-40B4-BE49-F238E27FC236}">
                  <a16:creationId xmlns:a16="http://schemas.microsoft.com/office/drawing/2014/main" id="{00000000-0008-0000-0100-00002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10</xdr:row>
          <xdr:rowOff>47625</xdr:rowOff>
        </xdr:from>
        <xdr:to>
          <xdr:col>9</xdr:col>
          <xdr:colOff>152400</xdr:colOff>
          <xdr:row>12</xdr:row>
          <xdr:rowOff>114300</xdr:rowOff>
        </xdr:to>
        <xdr:sp macro="" textlink="">
          <xdr:nvSpPr>
            <xdr:cNvPr id="7209" name="btnCables" hidden="1">
              <a:extLst>
                <a:ext uri="{63B3BB69-23CF-44E3-9099-C40C66FF867C}">
                  <a14:compatExt spid="_x0000_s7209"/>
                </a:ext>
                <a:ext uri="{FF2B5EF4-FFF2-40B4-BE49-F238E27FC236}">
                  <a16:creationId xmlns:a16="http://schemas.microsoft.com/office/drawing/2014/main" id="{00000000-0008-0000-0100-00002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10</xdr:row>
          <xdr:rowOff>66675</xdr:rowOff>
        </xdr:from>
        <xdr:to>
          <xdr:col>12</xdr:col>
          <xdr:colOff>171450</xdr:colOff>
          <xdr:row>12</xdr:row>
          <xdr:rowOff>133350</xdr:rowOff>
        </xdr:to>
        <xdr:sp macro="" textlink="">
          <xdr:nvSpPr>
            <xdr:cNvPr id="7210" name="btnCasting" hidden="1">
              <a:extLst>
                <a:ext uri="{63B3BB69-23CF-44E3-9099-C40C66FF867C}">
                  <a14:compatExt spid="_x0000_s7210"/>
                </a:ext>
                <a:ext uri="{FF2B5EF4-FFF2-40B4-BE49-F238E27FC236}">
                  <a16:creationId xmlns:a16="http://schemas.microsoft.com/office/drawing/2014/main" id="{00000000-0008-0000-0100-00002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10</xdr:row>
          <xdr:rowOff>66675</xdr:rowOff>
        </xdr:from>
        <xdr:to>
          <xdr:col>15</xdr:col>
          <xdr:colOff>142875</xdr:colOff>
          <xdr:row>12</xdr:row>
          <xdr:rowOff>133350</xdr:rowOff>
        </xdr:to>
        <xdr:sp macro="" textlink="">
          <xdr:nvSpPr>
            <xdr:cNvPr id="7211" name="btnElecComponents" hidden="1">
              <a:extLst>
                <a:ext uri="{63B3BB69-23CF-44E3-9099-C40C66FF867C}">
                  <a14:compatExt spid="_x0000_s7211"/>
                </a:ext>
                <a:ext uri="{FF2B5EF4-FFF2-40B4-BE49-F238E27FC236}">
                  <a16:creationId xmlns:a16="http://schemas.microsoft.com/office/drawing/2014/main" id="{00000000-0008-0000-0100-00002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10</xdr:row>
          <xdr:rowOff>66675</xdr:rowOff>
        </xdr:from>
        <xdr:to>
          <xdr:col>18</xdr:col>
          <xdr:colOff>133350</xdr:colOff>
          <xdr:row>12</xdr:row>
          <xdr:rowOff>133350</xdr:rowOff>
        </xdr:to>
        <xdr:sp macro="" textlink="">
          <xdr:nvSpPr>
            <xdr:cNvPr id="7212" name="btnFasteners" hidden="1">
              <a:extLst>
                <a:ext uri="{63B3BB69-23CF-44E3-9099-C40C66FF867C}">
                  <a14:compatExt spid="_x0000_s7212"/>
                </a:ext>
                <a:ext uri="{FF2B5EF4-FFF2-40B4-BE49-F238E27FC236}">
                  <a16:creationId xmlns:a16="http://schemas.microsoft.com/office/drawing/2014/main" id="{00000000-0008-0000-0100-00002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10</xdr:row>
          <xdr:rowOff>66675</xdr:rowOff>
        </xdr:from>
        <xdr:to>
          <xdr:col>21</xdr:col>
          <xdr:colOff>133350</xdr:colOff>
          <xdr:row>12</xdr:row>
          <xdr:rowOff>133350</xdr:rowOff>
        </xdr:to>
        <xdr:sp macro="" textlink="">
          <xdr:nvSpPr>
            <xdr:cNvPr id="7213" name="btnFluidics" hidden="1">
              <a:extLst>
                <a:ext uri="{63B3BB69-23CF-44E3-9099-C40C66FF867C}">
                  <a14:compatExt spid="_x0000_s7213"/>
                </a:ext>
                <a:ext uri="{FF2B5EF4-FFF2-40B4-BE49-F238E27FC236}">
                  <a16:creationId xmlns:a16="http://schemas.microsoft.com/office/drawing/2014/main" id="{00000000-0008-0000-0100-00002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10</xdr:row>
          <xdr:rowOff>66675</xdr:rowOff>
        </xdr:from>
        <xdr:to>
          <xdr:col>24</xdr:col>
          <xdr:colOff>142875</xdr:colOff>
          <xdr:row>12</xdr:row>
          <xdr:rowOff>133350</xdr:rowOff>
        </xdr:to>
        <xdr:sp macro="" textlink="">
          <xdr:nvSpPr>
            <xdr:cNvPr id="7214" name="btnGaskets" hidden="1">
              <a:extLst>
                <a:ext uri="{63B3BB69-23CF-44E3-9099-C40C66FF867C}">
                  <a14:compatExt spid="_x0000_s7214"/>
                </a:ext>
                <a:ext uri="{FF2B5EF4-FFF2-40B4-BE49-F238E27FC236}">
                  <a16:creationId xmlns:a16="http://schemas.microsoft.com/office/drawing/2014/main" id="{00000000-0008-0000-0100-00002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10</xdr:row>
          <xdr:rowOff>76200</xdr:rowOff>
        </xdr:from>
        <xdr:to>
          <xdr:col>27</xdr:col>
          <xdr:colOff>133350</xdr:colOff>
          <xdr:row>12</xdr:row>
          <xdr:rowOff>142875</xdr:rowOff>
        </xdr:to>
        <xdr:sp macro="" textlink="">
          <xdr:nvSpPr>
            <xdr:cNvPr id="7215" name="btnHMI" hidden="1">
              <a:extLst>
                <a:ext uri="{63B3BB69-23CF-44E3-9099-C40C66FF867C}">
                  <a14:compatExt spid="_x0000_s7215"/>
                </a:ext>
                <a:ext uri="{FF2B5EF4-FFF2-40B4-BE49-F238E27FC236}">
                  <a16:creationId xmlns:a16="http://schemas.microsoft.com/office/drawing/2014/main" id="{00000000-0008-0000-0100-00002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10</xdr:row>
          <xdr:rowOff>66675</xdr:rowOff>
        </xdr:from>
        <xdr:to>
          <xdr:col>30</xdr:col>
          <xdr:colOff>142875</xdr:colOff>
          <xdr:row>12</xdr:row>
          <xdr:rowOff>133350</xdr:rowOff>
        </xdr:to>
        <xdr:sp macro="" textlink="">
          <xdr:nvSpPr>
            <xdr:cNvPr id="7216" name="btnMagnets" hidden="1">
              <a:extLst>
                <a:ext uri="{63B3BB69-23CF-44E3-9099-C40C66FF867C}">
                  <a14:compatExt spid="_x0000_s7216"/>
                </a:ext>
                <a:ext uri="{FF2B5EF4-FFF2-40B4-BE49-F238E27FC236}">
                  <a16:creationId xmlns:a16="http://schemas.microsoft.com/office/drawing/2014/main" id="{00000000-0008-0000-0100-00003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47625</xdr:colOff>
          <xdr:row>10</xdr:row>
          <xdr:rowOff>66675</xdr:rowOff>
        </xdr:from>
        <xdr:to>
          <xdr:col>33</xdr:col>
          <xdr:colOff>142875</xdr:colOff>
          <xdr:row>12</xdr:row>
          <xdr:rowOff>133350</xdr:rowOff>
        </xdr:to>
        <xdr:sp macro="" textlink="">
          <xdr:nvSpPr>
            <xdr:cNvPr id="7217" name="btnMotion" hidden="1">
              <a:extLst>
                <a:ext uri="{63B3BB69-23CF-44E3-9099-C40C66FF867C}">
                  <a14:compatExt spid="_x0000_s7217"/>
                </a:ext>
                <a:ext uri="{FF2B5EF4-FFF2-40B4-BE49-F238E27FC236}">
                  <a16:creationId xmlns:a16="http://schemas.microsoft.com/office/drawing/2014/main" id="{00000000-0008-0000-0100-00003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38100</xdr:colOff>
          <xdr:row>10</xdr:row>
          <xdr:rowOff>76200</xdr:rowOff>
        </xdr:from>
        <xdr:to>
          <xdr:col>36</xdr:col>
          <xdr:colOff>133350</xdr:colOff>
          <xdr:row>12</xdr:row>
          <xdr:rowOff>142875</xdr:rowOff>
        </xdr:to>
        <xdr:sp macro="" textlink="">
          <xdr:nvSpPr>
            <xdr:cNvPr id="7218" name="btnOptics" hidden="1">
              <a:extLst>
                <a:ext uri="{63B3BB69-23CF-44E3-9099-C40C66FF867C}">
                  <a14:compatExt spid="_x0000_s7218"/>
                </a:ext>
                <a:ext uri="{FF2B5EF4-FFF2-40B4-BE49-F238E27FC236}">
                  <a16:creationId xmlns:a16="http://schemas.microsoft.com/office/drawing/2014/main" id="{00000000-0008-0000-0100-00003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28575</xdr:colOff>
          <xdr:row>10</xdr:row>
          <xdr:rowOff>76200</xdr:rowOff>
        </xdr:from>
        <xdr:to>
          <xdr:col>39</xdr:col>
          <xdr:colOff>123825</xdr:colOff>
          <xdr:row>12</xdr:row>
          <xdr:rowOff>142875</xdr:rowOff>
        </xdr:to>
        <xdr:sp macro="" textlink="">
          <xdr:nvSpPr>
            <xdr:cNvPr id="7219" name="btnPackaging" hidden="1">
              <a:extLst>
                <a:ext uri="{63B3BB69-23CF-44E3-9099-C40C66FF867C}">
                  <a14:compatExt spid="_x0000_s7219"/>
                </a:ext>
                <a:ext uri="{FF2B5EF4-FFF2-40B4-BE49-F238E27FC236}">
                  <a16:creationId xmlns:a16="http://schemas.microsoft.com/office/drawing/2014/main" id="{00000000-0008-0000-0100-00003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10</xdr:row>
          <xdr:rowOff>85725</xdr:rowOff>
        </xdr:from>
        <xdr:to>
          <xdr:col>42</xdr:col>
          <xdr:colOff>161925</xdr:colOff>
          <xdr:row>12</xdr:row>
          <xdr:rowOff>152400</xdr:rowOff>
        </xdr:to>
        <xdr:sp macro="" textlink="">
          <xdr:nvSpPr>
            <xdr:cNvPr id="7220" name="btnSensors" hidden="1">
              <a:extLst>
                <a:ext uri="{63B3BB69-23CF-44E3-9099-C40C66FF867C}">
                  <a14:compatExt spid="_x0000_s7220"/>
                </a:ext>
                <a:ext uri="{FF2B5EF4-FFF2-40B4-BE49-F238E27FC236}">
                  <a16:creationId xmlns:a16="http://schemas.microsoft.com/office/drawing/2014/main" id="{00000000-0008-0000-0100-00003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47625</xdr:colOff>
          <xdr:row>10</xdr:row>
          <xdr:rowOff>76200</xdr:rowOff>
        </xdr:from>
        <xdr:to>
          <xdr:col>45</xdr:col>
          <xdr:colOff>142875</xdr:colOff>
          <xdr:row>12</xdr:row>
          <xdr:rowOff>142875</xdr:rowOff>
        </xdr:to>
        <xdr:sp macro="" textlink="">
          <xdr:nvSpPr>
            <xdr:cNvPr id="7221" name="btnSprings" hidden="1">
              <a:extLst>
                <a:ext uri="{63B3BB69-23CF-44E3-9099-C40C66FF867C}">
                  <a14:compatExt spid="_x0000_s7221"/>
                </a:ext>
                <a:ext uri="{FF2B5EF4-FFF2-40B4-BE49-F238E27FC236}">
                  <a16:creationId xmlns:a16="http://schemas.microsoft.com/office/drawing/2014/main" id="{00000000-0008-0000-0100-00003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9525</xdr:colOff>
      <xdr:row>12</xdr:row>
      <xdr:rowOff>38100</xdr:rowOff>
    </xdr:from>
    <xdr:to>
      <xdr:col>61</xdr:col>
      <xdr:colOff>9525</xdr:colOff>
      <xdr:row>32</xdr:row>
      <xdr:rowOff>57150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rot="20539845">
          <a:off x="1609725" y="2209800"/>
          <a:ext cx="10601325" cy="3638550"/>
        </a:xfrm>
        <a:prstGeom prst="rect">
          <a:avLst/>
        </a:prstGeom>
        <a:solidFill>
          <a:schemeClr val="tx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7200"/>
            <a:t>WIP</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xdr:row>
          <xdr:rowOff>38100</xdr:rowOff>
        </xdr:from>
        <xdr:to>
          <xdr:col>1</xdr:col>
          <xdr:colOff>2171700</xdr:colOff>
          <xdr:row>1</xdr:row>
          <xdr:rowOff>228600</xdr:rowOff>
        </xdr:to>
        <xdr:sp macro="" textlink="">
          <xdr:nvSpPr>
            <xdr:cNvPr id="1137" name="TextBox1" hidden="1">
              <a:extLst>
                <a:ext uri="{63B3BB69-23CF-44E3-9099-C40C66FF867C}">
                  <a14:compatExt spid="_x0000_s1137"/>
                </a:ext>
                <a:ext uri="{FF2B5EF4-FFF2-40B4-BE49-F238E27FC236}">
                  <a16:creationId xmlns:a16="http://schemas.microsoft.com/office/drawing/2014/main" id="{00000000-0008-0000-0200-00007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xdr:row>
          <xdr:rowOff>38100</xdr:rowOff>
        </xdr:from>
        <xdr:to>
          <xdr:col>1</xdr:col>
          <xdr:colOff>1123950</xdr:colOff>
          <xdr:row>2</xdr:row>
          <xdr:rowOff>323850</xdr:rowOff>
        </xdr:to>
        <xdr:sp macro="" textlink="">
          <xdr:nvSpPr>
            <xdr:cNvPr id="1183" name="CommandButton1" hidden="1">
              <a:extLst>
                <a:ext uri="{63B3BB69-23CF-44E3-9099-C40C66FF867C}">
                  <a14:compatExt spid="_x0000_s1183"/>
                </a:ext>
                <a:ext uri="{FF2B5EF4-FFF2-40B4-BE49-F238E27FC236}">
                  <a16:creationId xmlns:a16="http://schemas.microsoft.com/office/drawing/2014/main" id="{00000000-0008-0000-0200-00009F04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254376</xdr:colOff>
      <xdr:row>14</xdr:row>
      <xdr:rowOff>145678</xdr:rowOff>
    </xdr:from>
    <xdr:to>
      <xdr:col>62</xdr:col>
      <xdr:colOff>67236</xdr:colOff>
      <xdr:row>52</xdr:row>
      <xdr:rowOff>134471</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2764494" y="2779060"/>
          <a:ext cx="17294036" cy="7227793"/>
        </a:xfrm>
        <a:prstGeom prst="roundRect">
          <a:avLst/>
        </a:prstGeom>
        <a:solidFill>
          <a:srgbClr val="00B0F0">
            <a:alpha val="20000"/>
          </a:srgbClr>
        </a:solidFill>
        <a:ln>
          <a:solidFill>
            <a:srgbClr val="385D8A">
              <a:alpha val="50196"/>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400" b="1">
              <a:solidFill>
                <a:schemeClr val="bg1"/>
              </a:solidFill>
            </a:rPr>
            <a:t>TIER 1</a:t>
          </a:r>
        </a:p>
        <a:p>
          <a:pPr algn="l"/>
          <a:r>
            <a:rPr lang="en-AU" sz="800" b="1">
              <a:solidFill>
                <a:schemeClr val="bg1"/>
              </a:solidFill>
            </a:rPr>
            <a:t>(Core Technologies</a:t>
          </a:r>
          <a:r>
            <a:rPr lang="en-AU" sz="800" b="1" baseline="0">
              <a:solidFill>
                <a:schemeClr val="bg1"/>
              </a:solidFill>
            </a:rPr>
            <a:t>)</a:t>
          </a:r>
          <a:endParaRPr lang="en-AU" sz="700" b="1">
            <a:solidFill>
              <a:schemeClr val="bg1"/>
            </a:solidFill>
          </a:endParaRPr>
        </a:p>
      </xdr:txBody>
    </xdr:sp>
    <xdr:clientData/>
  </xdr:twoCellAnchor>
  <xdr:twoCellAnchor>
    <xdr:from>
      <xdr:col>10</xdr:col>
      <xdr:colOff>280147</xdr:colOff>
      <xdr:row>1</xdr:row>
      <xdr:rowOff>16564</xdr:rowOff>
    </xdr:from>
    <xdr:to>
      <xdr:col>54</xdr:col>
      <xdr:colOff>123265</xdr:colOff>
      <xdr:row>13</xdr:row>
      <xdr:rowOff>99391</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4784912" y="207064"/>
          <a:ext cx="12662647" cy="2335209"/>
        </a:xfrm>
        <a:prstGeom prst="roundRect">
          <a:avLst/>
        </a:prstGeom>
        <a:ln>
          <a:solidFill>
            <a:srgbClr val="385D8A">
              <a:alpha val="50196"/>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400" b="1">
              <a:solidFill>
                <a:schemeClr val="bg1"/>
              </a:solidFill>
            </a:rPr>
            <a:t>TIER 0</a:t>
          </a:r>
        </a:p>
        <a:p>
          <a:pPr algn="l"/>
          <a:r>
            <a:rPr lang="en-AU" sz="800" b="1">
              <a:solidFill>
                <a:schemeClr val="bg1"/>
              </a:solidFill>
            </a:rPr>
            <a:t>(Final asm, CM,</a:t>
          </a:r>
          <a:r>
            <a:rPr lang="en-AU" sz="800" b="1" baseline="0">
              <a:solidFill>
                <a:schemeClr val="bg1"/>
              </a:solidFill>
            </a:rPr>
            <a:t> Client)</a:t>
          </a:r>
          <a:endParaRPr lang="en-AU" sz="700" b="1">
            <a:solidFill>
              <a:schemeClr val="bg1"/>
            </a:solidFill>
          </a:endParaRPr>
        </a:p>
      </xdr:txBody>
    </xdr:sp>
    <xdr:clientData/>
  </xdr:twoCellAnchor>
  <xdr:twoCellAnchor>
    <xdr:from>
      <xdr:col>17</xdr:col>
      <xdr:colOff>560</xdr:colOff>
      <xdr:row>3</xdr:row>
      <xdr:rowOff>42582</xdr:rowOff>
    </xdr:from>
    <xdr:to>
      <xdr:col>22</xdr:col>
      <xdr:colOff>38660</xdr:colOff>
      <xdr:row>11</xdr:row>
      <xdr:rowOff>23532</xdr:rowOff>
    </xdr:to>
    <xdr:sp macro="" textlink="">
      <xdr:nvSpPr>
        <xdr:cNvPr id="6" name="Oval 5">
          <a:extLst>
            <a:ext uri="{FF2B5EF4-FFF2-40B4-BE49-F238E27FC236}">
              <a16:creationId xmlns:a16="http://schemas.microsoft.com/office/drawing/2014/main" id="{00000000-0008-0000-0400-000006000000}"/>
            </a:ext>
          </a:extLst>
        </xdr:cNvPr>
        <xdr:cNvSpPr/>
      </xdr:nvSpPr>
      <xdr:spPr>
        <a:xfrm>
          <a:off x="4863913" y="580464"/>
          <a:ext cx="1494865" cy="1504950"/>
        </a:xfrm>
        <a:prstGeom prst="ellipse">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AU" sz="1600" b="1">
              <a:solidFill>
                <a:schemeClr val="bg1"/>
              </a:solidFill>
            </a:rPr>
            <a:t>PI</a:t>
          </a:r>
        </a:p>
        <a:p>
          <a:pPr algn="ctr"/>
          <a:r>
            <a:rPr lang="en-AU" sz="1600" b="1">
              <a:solidFill>
                <a:schemeClr val="bg1"/>
              </a:solidFill>
            </a:rPr>
            <a:t>(AUS)</a:t>
          </a:r>
        </a:p>
      </xdr:txBody>
    </xdr:sp>
    <xdr:clientData/>
  </xdr:twoCellAnchor>
  <xdr:twoCellAnchor>
    <xdr:from>
      <xdr:col>35</xdr:col>
      <xdr:colOff>106699</xdr:colOff>
      <xdr:row>3</xdr:row>
      <xdr:rowOff>40902</xdr:rowOff>
    </xdr:from>
    <xdr:to>
      <xdr:col>40</xdr:col>
      <xdr:colOff>144800</xdr:colOff>
      <xdr:row>11</xdr:row>
      <xdr:rowOff>21852</xdr:rowOff>
    </xdr:to>
    <xdr:sp macro="" textlink="">
      <xdr:nvSpPr>
        <xdr:cNvPr id="8" name="Oval 7">
          <a:extLst>
            <a:ext uri="{FF2B5EF4-FFF2-40B4-BE49-F238E27FC236}">
              <a16:creationId xmlns:a16="http://schemas.microsoft.com/office/drawing/2014/main" id="{00000000-0008-0000-0400-000008000000}"/>
            </a:ext>
          </a:extLst>
        </xdr:cNvPr>
        <xdr:cNvSpPr/>
      </xdr:nvSpPr>
      <xdr:spPr>
        <a:xfrm>
          <a:off x="11895287" y="578784"/>
          <a:ext cx="1494866" cy="1504950"/>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AU" sz="1100"/>
        </a:p>
      </xdr:txBody>
    </xdr:sp>
    <xdr:clientData/>
  </xdr:twoCellAnchor>
  <xdr:twoCellAnchor>
    <xdr:from>
      <xdr:col>45</xdr:col>
      <xdr:colOff>239806</xdr:colOff>
      <xdr:row>3</xdr:row>
      <xdr:rowOff>38100</xdr:rowOff>
    </xdr:from>
    <xdr:to>
      <xdr:col>50</xdr:col>
      <xdr:colOff>277907</xdr:colOff>
      <xdr:row>11</xdr:row>
      <xdr:rowOff>19050</xdr:rowOff>
    </xdr:to>
    <xdr:sp macro="" textlink="">
      <xdr:nvSpPr>
        <xdr:cNvPr id="9" name="Oval 8">
          <a:extLst>
            <a:ext uri="{FF2B5EF4-FFF2-40B4-BE49-F238E27FC236}">
              <a16:creationId xmlns:a16="http://schemas.microsoft.com/office/drawing/2014/main" id="{00000000-0008-0000-0400-000009000000}"/>
            </a:ext>
          </a:extLst>
        </xdr:cNvPr>
        <xdr:cNvSpPr/>
      </xdr:nvSpPr>
      <xdr:spPr>
        <a:xfrm>
          <a:off x="14941924" y="575982"/>
          <a:ext cx="1494865" cy="1504950"/>
        </a:xfrm>
        <a:prstGeom prst="ellips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AU" sz="1600" b="1">
              <a:solidFill>
                <a:schemeClr val="bg1"/>
              </a:solidFill>
            </a:rPr>
            <a:t>Client</a:t>
          </a:r>
        </a:p>
      </xdr:txBody>
    </xdr:sp>
    <xdr:clientData/>
  </xdr:twoCellAnchor>
  <xdr:twoCellAnchor>
    <xdr:from>
      <xdr:col>25</xdr:col>
      <xdr:colOff>145190</xdr:colOff>
      <xdr:row>3</xdr:row>
      <xdr:rowOff>40170</xdr:rowOff>
    </xdr:from>
    <xdr:to>
      <xdr:col>30</xdr:col>
      <xdr:colOff>226164</xdr:colOff>
      <xdr:row>11</xdr:row>
      <xdr:rowOff>21120</xdr:rowOff>
    </xdr:to>
    <xdr:sp macro="" textlink="">
      <xdr:nvSpPr>
        <xdr:cNvPr id="10" name="Oval 9">
          <a:extLst>
            <a:ext uri="{FF2B5EF4-FFF2-40B4-BE49-F238E27FC236}">
              <a16:creationId xmlns:a16="http://schemas.microsoft.com/office/drawing/2014/main" id="{00000000-0008-0000-0400-00000A000000}"/>
            </a:ext>
          </a:extLst>
        </xdr:cNvPr>
        <xdr:cNvSpPr/>
      </xdr:nvSpPr>
      <xdr:spPr>
        <a:xfrm>
          <a:off x="7339366" y="578052"/>
          <a:ext cx="1537739" cy="1504950"/>
        </a:xfrm>
        <a:prstGeom prst="ellipse">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AU" sz="1600" b="1">
              <a:solidFill>
                <a:schemeClr val="bg1"/>
              </a:solidFill>
            </a:rPr>
            <a:t>PI</a:t>
          </a:r>
        </a:p>
        <a:p>
          <a:pPr algn="ctr"/>
          <a:r>
            <a:rPr lang="en-AU" sz="1600" b="1">
              <a:solidFill>
                <a:schemeClr val="bg1"/>
              </a:solidFill>
            </a:rPr>
            <a:t>(US)</a:t>
          </a:r>
        </a:p>
      </xdr:txBody>
    </xdr:sp>
    <xdr:clientData/>
  </xdr:twoCellAnchor>
  <xdr:twoCellAnchor editAs="oneCell">
    <xdr:from>
      <xdr:col>0</xdr:col>
      <xdr:colOff>43702</xdr:colOff>
      <xdr:row>0</xdr:row>
      <xdr:rowOff>41461</xdr:rowOff>
    </xdr:from>
    <xdr:to>
      <xdr:col>1</xdr:col>
      <xdr:colOff>246528</xdr:colOff>
      <xdr:row>30</xdr:row>
      <xdr:rowOff>56030</xdr:rowOff>
    </xdr:to>
    <mc:AlternateContent xmlns:mc="http://schemas.openxmlformats.org/markup-compatibility/2006" xmlns:a14="http://schemas.microsoft.com/office/drawing/2010/main">
      <mc:Choice Requires="a14">
        <xdr:graphicFrame macro="">
          <xdr:nvGraphicFramePr>
            <xdr:cNvPr id="11" name="Program">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0/slicer">
              <sle:slicer xmlns:sle="http://schemas.microsoft.com/office/drawing/2010/slicer" name="Program"/>
            </a:graphicData>
          </a:graphic>
        </xdr:graphicFrame>
      </mc:Choice>
      <mc:Fallback xmlns="">
        <xdr:sp macro="" textlink="">
          <xdr:nvSpPr>
            <xdr:cNvPr id="0" name=""/>
            <xdr:cNvSpPr>
              <a:spLocks noTextEdit="1"/>
            </xdr:cNvSpPr>
          </xdr:nvSpPr>
          <xdr:spPr>
            <a:xfrm>
              <a:off x="43702" y="41461"/>
              <a:ext cx="2197473" cy="5695951"/>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88527</xdr:colOff>
      <xdr:row>30</xdr:row>
      <xdr:rowOff>142316</xdr:rowOff>
    </xdr:from>
    <xdr:to>
      <xdr:col>1</xdr:col>
      <xdr:colOff>201706</xdr:colOff>
      <xdr:row>43</xdr:row>
      <xdr:rowOff>180416</xdr:rowOff>
    </xdr:to>
    <mc:AlternateContent xmlns:mc="http://schemas.openxmlformats.org/markup-compatibility/2006" xmlns:a14="http://schemas.microsoft.com/office/drawing/2010/main">
      <mc:Choice Requires="a14">
        <xdr:graphicFrame macro="">
          <xdr:nvGraphicFramePr>
            <xdr:cNvPr id="12" name="Product Lifecycle">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microsoft.com/office/drawing/2010/slicer">
              <sle:slicer xmlns:sle="http://schemas.microsoft.com/office/drawing/2010/slicer" name="Product Lifecycle"/>
            </a:graphicData>
          </a:graphic>
        </xdr:graphicFrame>
      </mc:Choice>
      <mc:Fallback xmlns="">
        <xdr:sp macro="" textlink="">
          <xdr:nvSpPr>
            <xdr:cNvPr id="0" name=""/>
            <xdr:cNvSpPr>
              <a:spLocks noTextEdit="1"/>
            </xdr:cNvSpPr>
          </xdr:nvSpPr>
          <xdr:spPr>
            <a:xfrm>
              <a:off x="88527" y="5823698"/>
              <a:ext cx="2107826" cy="252412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56030</xdr:colOff>
      <xdr:row>19</xdr:row>
      <xdr:rowOff>44824</xdr:rowOff>
    </xdr:from>
    <xdr:to>
      <xdr:col>24</xdr:col>
      <xdr:colOff>268942</xdr:colOff>
      <xdr:row>50</xdr:row>
      <xdr:rowOff>67236</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4605618" y="3630706"/>
          <a:ext cx="4583206" cy="59279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26</xdr:col>
      <xdr:colOff>243170</xdr:colOff>
      <xdr:row>19</xdr:row>
      <xdr:rowOff>22414</xdr:rowOff>
    </xdr:from>
    <xdr:to>
      <xdr:col>42</xdr:col>
      <xdr:colOff>164729</xdr:colOff>
      <xdr:row>50</xdr:row>
      <xdr:rowOff>44826</xdr:rowOff>
    </xdr:to>
    <xdr:sp macro="" textlink="">
      <xdr:nvSpPr>
        <xdr:cNvPr id="13" name="Rectangle: Rounded Corners 12">
          <a:extLst>
            <a:ext uri="{FF2B5EF4-FFF2-40B4-BE49-F238E27FC236}">
              <a16:creationId xmlns:a16="http://schemas.microsoft.com/office/drawing/2014/main" id="{00000000-0008-0000-0400-00000D000000}"/>
            </a:ext>
          </a:extLst>
        </xdr:cNvPr>
        <xdr:cNvSpPr/>
      </xdr:nvSpPr>
      <xdr:spPr>
        <a:xfrm>
          <a:off x="9745758" y="3608296"/>
          <a:ext cx="4583206" cy="59279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44</xdr:col>
      <xdr:colOff>137835</xdr:colOff>
      <xdr:row>19</xdr:row>
      <xdr:rowOff>29137</xdr:rowOff>
    </xdr:from>
    <xdr:to>
      <xdr:col>60</xdr:col>
      <xdr:colOff>59394</xdr:colOff>
      <xdr:row>50</xdr:row>
      <xdr:rowOff>51549</xdr:rowOff>
    </xdr:to>
    <xdr:sp macro="" textlink="">
      <xdr:nvSpPr>
        <xdr:cNvPr id="14" name="Rectangle: Rounded Corners 13">
          <a:extLst>
            <a:ext uri="{FF2B5EF4-FFF2-40B4-BE49-F238E27FC236}">
              <a16:creationId xmlns:a16="http://schemas.microsoft.com/office/drawing/2014/main" id="{00000000-0008-0000-0400-00000E000000}"/>
            </a:ext>
          </a:extLst>
        </xdr:cNvPr>
        <xdr:cNvSpPr/>
      </xdr:nvSpPr>
      <xdr:spPr>
        <a:xfrm>
          <a:off x="14884776" y="3615019"/>
          <a:ext cx="4583206" cy="59279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67</xdr:col>
      <xdr:colOff>225137</xdr:colOff>
      <xdr:row>20</xdr:row>
      <xdr:rowOff>121227</xdr:rowOff>
    </xdr:from>
    <xdr:to>
      <xdr:col>75</xdr:col>
      <xdr:colOff>138545</xdr:colOff>
      <xdr:row>24</xdr:row>
      <xdr:rowOff>173181</xdr:rowOff>
    </xdr:to>
    <xdr:sp macro="" textlink="">
      <xdr:nvSpPr>
        <xdr:cNvPr id="3" name="Oval 2">
          <a:extLst>
            <a:ext uri="{FF2B5EF4-FFF2-40B4-BE49-F238E27FC236}">
              <a16:creationId xmlns:a16="http://schemas.microsoft.com/office/drawing/2014/main" id="{00000000-0008-0000-0400-000003000000}"/>
            </a:ext>
          </a:extLst>
        </xdr:cNvPr>
        <xdr:cNvSpPr/>
      </xdr:nvSpPr>
      <xdr:spPr>
        <a:xfrm>
          <a:off x="21872864" y="3896591"/>
          <a:ext cx="2268681" cy="8139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67</xdr:col>
      <xdr:colOff>256309</xdr:colOff>
      <xdr:row>25</xdr:row>
      <xdr:rowOff>135081</xdr:rowOff>
    </xdr:from>
    <xdr:to>
      <xdr:col>75</xdr:col>
      <xdr:colOff>169717</xdr:colOff>
      <xdr:row>29</xdr:row>
      <xdr:rowOff>187035</xdr:rowOff>
    </xdr:to>
    <xdr:sp macro="" textlink="">
      <xdr:nvSpPr>
        <xdr:cNvPr id="15" name="Oval 14">
          <a:extLst>
            <a:ext uri="{FF2B5EF4-FFF2-40B4-BE49-F238E27FC236}">
              <a16:creationId xmlns:a16="http://schemas.microsoft.com/office/drawing/2014/main" id="{00000000-0008-0000-0400-00000F000000}"/>
            </a:ext>
          </a:extLst>
        </xdr:cNvPr>
        <xdr:cNvSpPr/>
      </xdr:nvSpPr>
      <xdr:spPr>
        <a:xfrm>
          <a:off x="21904036" y="4862945"/>
          <a:ext cx="2268681" cy="8139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68</xdr:col>
      <xdr:colOff>27709</xdr:colOff>
      <xdr:row>31</xdr:row>
      <xdr:rowOff>79663</xdr:rowOff>
    </xdr:from>
    <xdr:to>
      <xdr:col>75</xdr:col>
      <xdr:colOff>235526</xdr:colOff>
      <xdr:row>35</xdr:row>
      <xdr:rowOff>131617</xdr:rowOff>
    </xdr:to>
    <xdr:sp macro="" textlink="">
      <xdr:nvSpPr>
        <xdr:cNvPr id="16" name="Oval 15">
          <a:extLst>
            <a:ext uri="{FF2B5EF4-FFF2-40B4-BE49-F238E27FC236}">
              <a16:creationId xmlns:a16="http://schemas.microsoft.com/office/drawing/2014/main" id="{00000000-0008-0000-0400-000010000000}"/>
            </a:ext>
          </a:extLst>
        </xdr:cNvPr>
        <xdr:cNvSpPr/>
      </xdr:nvSpPr>
      <xdr:spPr>
        <a:xfrm>
          <a:off x="21969845" y="5950527"/>
          <a:ext cx="2268681" cy="8139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68</xdr:col>
      <xdr:colOff>93518</xdr:colOff>
      <xdr:row>36</xdr:row>
      <xdr:rowOff>180108</xdr:rowOff>
    </xdr:from>
    <xdr:to>
      <xdr:col>76</xdr:col>
      <xdr:colOff>6926</xdr:colOff>
      <xdr:row>41</xdr:row>
      <xdr:rowOff>41562</xdr:rowOff>
    </xdr:to>
    <xdr:sp macro="" textlink="">
      <xdr:nvSpPr>
        <xdr:cNvPr id="17" name="Oval 16">
          <a:extLst>
            <a:ext uri="{FF2B5EF4-FFF2-40B4-BE49-F238E27FC236}">
              <a16:creationId xmlns:a16="http://schemas.microsoft.com/office/drawing/2014/main" id="{00000000-0008-0000-0400-000011000000}"/>
            </a:ext>
          </a:extLst>
        </xdr:cNvPr>
        <xdr:cNvSpPr/>
      </xdr:nvSpPr>
      <xdr:spPr>
        <a:xfrm>
          <a:off x="22035654" y="7003472"/>
          <a:ext cx="2268681" cy="8139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68</xdr:col>
      <xdr:colOff>90054</xdr:colOff>
      <xdr:row>42</xdr:row>
      <xdr:rowOff>90053</xdr:rowOff>
    </xdr:from>
    <xdr:to>
      <xdr:col>76</xdr:col>
      <xdr:colOff>3462</xdr:colOff>
      <xdr:row>46</xdr:row>
      <xdr:rowOff>142007</xdr:rowOff>
    </xdr:to>
    <xdr:sp macro="" textlink="">
      <xdr:nvSpPr>
        <xdr:cNvPr id="18" name="Oval 17">
          <a:extLst>
            <a:ext uri="{FF2B5EF4-FFF2-40B4-BE49-F238E27FC236}">
              <a16:creationId xmlns:a16="http://schemas.microsoft.com/office/drawing/2014/main" id="{00000000-0008-0000-0400-000012000000}"/>
            </a:ext>
          </a:extLst>
        </xdr:cNvPr>
        <xdr:cNvSpPr/>
      </xdr:nvSpPr>
      <xdr:spPr>
        <a:xfrm>
          <a:off x="22032190" y="8056417"/>
          <a:ext cx="2268681" cy="8139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99059</xdr:colOff>
      <xdr:row>8</xdr:row>
      <xdr:rowOff>58100</xdr:rowOff>
    </xdr:from>
    <xdr:to>
      <xdr:col>17</xdr:col>
      <xdr:colOff>257175</xdr:colOff>
      <xdr:row>38</xdr:row>
      <xdr:rowOff>95249</xdr:rowOff>
    </xdr:to>
    <xdr:graphicFrame macro="">
      <xdr:nvGraphicFramePr>
        <xdr:cNvPr id="10" name="Chart 1">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as\Desktop\Active%20Innovation%20Projects%202023-10-0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lanetinnovationcomau-my.sharepoint.com/personal/kevin_burfitt_planetinnovation_com_au1/Documents/Microsoft%20Teams%20Chat%20Files/Active%20Innovation%20Projects%202023-10-0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rbday-my.sharepoint.com/personal/marco_sebastiani_jupiterionics_com/Documents/Desktop/99_Temps/PIPL_expenditures%20FYI%2022-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jects"/>
      <sheetName val="Sheet1"/>
      <sheetName val="Picklists values"/>
      <sheetName val="Register"/>
      <sheetName val="Supply Chain Structure"/>
    </sheetNames>
    <sheetDataSet>
      <sheetData sheetId="0"/>
      <sheetData sheetId="1"/>
      <sheetData sheetId="2"/>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jects"/>
      <sheetName val="Picklists values"/>
    </sheetNames>
    <sheetDataSet>
      <sheetData sheetId="0"/>
      <sheetData sheetId="1">
        <row r="2">
          <cell r="A2" t="str">
            <v>Requested</v>
          </cell>
          <cell r="B2" t="str">
            <v>0: Initiation</v>
          </cell>
          <cell r="C2" t="str">
            <v>AU MFG</v>
          </cell>
        </row>
        <row r="3">
          <cell r="A3" t="str">
            <v>Draft</v>
          </cell>
          <cell r="B3" t="str">
            <v>1: Feasability</v>
          </cell>
          <cell r="C3" t="str">
            <v>Corporate</v>
          </cell>
        </row>
        <row r="4">
          <cell r="A4" t="str">
            <v>Active</v>
          </cell>
          <cell r="B4" t="str">
            <v>2.1: System Integration</v>
          </cell>
          <cell r="C4" t="str">
            <v>Innovation</v>
          </cell>
        </row>
        <row r="5">
          <cell r="A5" t="str">
            <v>On Hold</v>
          </cell>
          <cell r="B5" t="str">
            <v>2.2: System Verification</v>
          </cell>
          <cell r="C5" t="str">
            <v>US MFG</v>
          </cell>
        </row>
        <row r="6">
          <cell r="A6" t="str">
            <v>Cancelled</v>
          </cell>
          <cell r="B6" t="str">
            <v>3: Pre-Production</v>
          </cell>
        </row>
        <row r="7">
          <cell r="A7" t="str">
            <v>Completed</v>
          </cell>
          <cell r="B7" t="str">
            <v>4: Sustaining</v>
          </cell>
        </row>
        <row r="8">
          <cell r="B8" t="str">
            <v>5: Production</v>
          </cell>
        </row>
        <row r="9">
          <cell r="B9" t="str">
            <v>6. CR</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Export"/>
    </sheetNames>
    <sheetDataSet>
      <sheetData sheetId="0">
        <row r="2">
          <cell r="F2" t="str">
            <v>$0 - $100</v>
          </cell>
          <cell r="G2">
            <v>33</v>
          </cell>
        </row>
        <row r="3">
          <cell r="F3" t="str">
            <v>$100 - $1000</v>
          </cell>
          <cell r="G3">
            <v>134</v>
          </cell>
        </row>
        <row r="4">
          <cell r="F4" t="str">
            <v>$1000 - $10000</v>
          </cell>
          <cell r="G4">
            <v>231</v>
          </cell>
        </row>
        <row r="5">
          <cell r="F5" t="str">
            <v>$10000 - $50000</v>
          </cell>
          <cell r="G5">
            <v>104</v>
          </cell>
        </row>
        <row r="6">
          <cell r="F6" t="str">
            <v>$50000 - $100000</v>
          </cell>
          <cell r="G6">
            <v>29</v>
          </cell>
        </row>
        <row r="7">
          <cell r="F7" t="str">
            <v>&gt; $100000</v>
          </cell>
          <cell r="G7">
            <v>34</v>
          </cell>
        </row>
      </sheetData>
      <sheetData sheetId="1"/>
    </sheetDataSet>
  </externalBook>
</externalLink>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MAS_Copy_QR1002%20Approved%20Supplier%20Register.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o Sebastiani" refreshedDate="45203.600449421298" createdVersion="7" refreshedVersion="7" minRefreshableVersion="3" recordCount="71" xr:uid="{FD4FF6BB-B9D0-4339-8625-86231DFF9E88}">
  <cacheSource type="worksheet">
    <worksheetSource ref="A1:Q1048576" sheet="Projects" r:id="rId2"/>
  </cacheSource>
  <cacheFields count="17">
    <cacheField name="State*" numFmtId="0">
      <sharedItems containsBlank="1"/>
    </cacheField>
    <cacheField name="Project Code" numFmtId="0">
      <sharedItems containsBlank="1"/>
    </cacheField>
    <cacheField name="Project Leader/Product Manager*" numFmtId="0">
      <sharedItems containsBlank="1"/>
    </cacheField>
    <cacheField name="Customers" numFmtId="0">
      <sharedItems containsBlank="1"/>
    </cacheField>
    <cacheField name="Name" numFmtId="0">
      <sharedItems containsBlank="1" count="66">
        <s v="Titan Service Manual Release 2"/>
        <s v="Titan Reg 4.6 Sup. activities post FDA presub"/>
        <s v="Bootcamp 2.1d (Consumables)"/>
        <s v="Lumos Support - FY24"/>
        <s v="Belle/Regen Investigation work"/>
        <s v="belovio - Dev SOW belovio TRACK"/>
        <s v="BRADX GUI Discovery &amp; Design"/>
        <s v="Nectar Phase 0"/>
        <s v="ANDHealth"/>
        <s v="Obtineo HF&amp;UE Support"/>
        <s v="Jupiter Phase 1.1 Immersion &amp; Arch"/>
        <s v="Puffin Phase 1"/>
        <s v="Jenny Lake Phase 1 Feasibility"/>
        <s v="GenX CDP"/>
        <s v="Levi EOS TCM Phase 2.0"/>
        <s v="Williams Phase 1"/>
        <s v="Nectar Phase 1"/>
        <s v="belovio MANAGER integration disc. &amp; planning"/>
        <s v="Pachoonga Phase 1.2 - Procure &amp; Build 4 units"/>
        <s v="Sonic Phase 2.1b"/>
        <s v="Regen Phase 5"/>
        <s v="Emerald Phase 2.1B"/>
        <s v="Huron Development Phase 2.1a"/>
        <s v="Hydra Phase 2.1"/>
        <s v="Bootcamp 2.1c (Consumables)"/>
        <s v="Huron Development Phase 2.1b"/>
        <s v="Bootcamp Phase 2.1b"/>
        <s v="Stabilis 2.1a HF&amp;UE Support"/>
        <s v="Scorpion Phase 2.2A"/>
        <s v="Vitalic (R &amp; D Activities)"/>
        <s v="Jenny Lake Phase 2.1 Implementation"/>
        <s v="Flatland Phase 2.25"/>
        <s v="Opus Phase 2.2a"/>
        <s v="Flatland - Ph 2.29 (Q2 2023 Fees)"/>
        <s v="Scorpion Phase 2.2B"/>
        <s v="Limpet Phase 2.3"/>
        <s v="Opus Phase 2.2c"/>
        <s v="Firefly Phase 2.24"/>
        <s v="Opus Phase 2.2b"/>
        <s v="Flatland - Phase 2.34 (Q2 2023 MSE)"/>
        <s v="Belle Phase 3.1"/>
        <s v="Echo Phase 2.2b"/>
        <s v="Sanders Phase 3.1"/>
        <s v="Aidan Phase 2 Extension"/>
        <s v="Flatland - Phase 2.33 (Q4 2023 Fees)"/>
        <s v="Mystique Phase 4.1"/>
        <s v="Lexi Phase 4.1"/>
        <s v="Levi Support OC"/>
        <s v="Athena 3.0B"/>
        <s v="Aidan AU deployment"/>
        <s v="Titan - HF Real-Use Data Capturing Package"/>
        <s v="Firefly Phase 3.5 Manufacturing Support"/>
        <s v="Antman Phase 4.6"/>
        <s v="Archimedes 4.15"/>
        <s v="Porus Phase 4.1"/>
        <s v="belovio - Cost Of Sales - May - Sep 23"/>
        <s v="Minty Marketing 4.1"/>
        <s v="Firefly Digital Validation Support"/>
        <s v="Archimedes 4.14"/>
        <s v="Archimedes 4.16"/>
        <s v="Flair-Up Support 1"/>
        <s v="Minty Marketing 99.3"/>
        <s v="Canary 2023"/>
        <s v="Pedestal Stage 10.2 Product Life Cycle"/>
        <s v="Bison - Sustaining Engineering"/>
        <m/>
      </sharedItems>
    </cacheField>
    <cacheField name="% Complete" numFmtId="0">
      <sharedItems containsBlank="1"/>
    </cacheField>
    <cacheField name="Start Date*" numFmtId="0">
      <sharedItems containsNonDate="0" containsDate="1" containsString="0" containsBlank="1" minDate="2015-01-01T00:00:00" maxDate="2023-09-28T00:00:00"/>
    </cacheField>
    <cacheField name="Due Date*" numFmtId="0">
      <sharedItems containsNonDate="0" containsDate="1" containsString="0" containsBlank="1" minDate="2022-12-23T00:00:00" maxDate="2025-01-01T00:00:00"/>
    </cacheField>
    <cacheField name="Program Manager*" numFmtId="0">
      <sharedItems containsBlank="1"/>
    </cacheField>
    <cacheField name="Account Manager*" numFmtId="0">
      <sharedItems containsBlank="1"/>
    </cacheField>
    <cacheField name="Alignment" numFmtId="0">
      <sharedItems containsString="0" containsBlank="1" containsNumber="1" containsInteger="1" minValue="0" maxValue="4"/>
    </cacheField>
    <cacheField name="Product Lifecycle" numFmtId="0">
      <sharedItems containsBlank="1" count="9">
        <s v=""/>
        <s v="0: Initiation"/>
        <s v="1: Feasability"/>
        <s v="2.1: System Integration"/>
        <s v="2.2: System Verification"/>
        <s v="3: Pre-Production"/>
        <s v="4: Sustaining"/>
        <s v="5: Production"/>
        <m/>
      </sharedItems>
    </cacheField>
    <cacheField name="Program" numFmtId="0">
      <sharedItems containsBlank="1" count="44">
        <s v="Titan-PIPL"/>
        <s v="Bootcamp"/>
        <s v="Lumos Diagnostics"/>
        <s v="Belle-PIPL"/>
        <s v="Belovio"/>
        <s v="BRADX"/>
        <s v="Nectar"/>
        <s v="ANDHealth"/>
        <s v="Obtineo"/>
        <s v="Jupiter"/>
        <s v="Puffin"/>
        <s v="Jenny Lake"/>
        <s v="GenX"/>
        <s v="Levi EOS Thermal Core"/>
        <s v="Williams"/>
        <s v="Pachoonga"/>
        <s v="Sonic"/>
        <s v="Regen-PIPL"/>
        <s v="Emerald"/>
        <s v="Huron Development"/>
        <s v="Hydra"/>
        <s v="Stabilis"/>
        <s v="Scorpion"/>
        <s v="Vitalic"/>
        <s v="Flatland"/>
        <s v="Opus"/>
        <s v="Limpet"/>
        <s v="Firefly"/>
        <s v="Echo"/>
        <s v="Sanders"/>
        <s v="Aidan-PIPL"/>
        <s v="Mystique"/>
        <s v="Lexi"/>
        <s v="Levi Support OC"/>
        <s v="Zeus"/>
        <s v="Antman"/>
        <s v="Archimedes"/>
        <s v="Porus"/>
        <s v="Minty"/>
        <s v="Flair-Up"/>
        <s v="Canary"/>
        <s v="Pedestal"/>
        <s v="Bison - Sustaining Engineering"/>
        <m/>
      </sharedItems>
    </cacheField>
    <cacheField name="Last Updated On" numFmtId="0">
      <sharedItems containsNonDate="0" containsDate="1" containsString="0" containsBlank="1" minDate="2023-09-13T00:00:00" maxDate="2023-10-04T00:00:00"/>
    </cacheField>
    <cacheField name="Business Unit*" numFmtId="0">
      <sharedItems containsBlank="1"/>
    </cacheField>
    <cacheField name="Contingency Multiplier*" numFmtId="0">
      <sharedItems containsString="0" containsBlank="1" containsNumber="1" minValue="1" maxValue="1.1000000000000001"/>
    </cacheField>
    <cacheField name="Portfolios" numFmtId="0">
      <sharedItems containsBlank="1"/>
    </cacheField>
  </cacheFields>
  <extLst>
    <ext xmlns:x14="http://schemas.microsoft.com/office/spreadsheetml/2009/9/main" uri="{725AE2AE-9491-48be-B2B4-4EB974FC3084}">
      <x14:pivotCacheDefinition pivotCacheId="18853887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s v="Active"/>
    <s v="00451-D-3.2S"/>
    <s v="Anna Magennis"/>
    <s v="Evident Corporation (AUD)"/>
    <x v="0"/>
    <s v="67(?)"/>
    <d v="2023-07-04T00:00:00"/>
    <d v="2023-09-28T00:00:00"/>
    <s v="Lucas Renieris"/>
    <s v="Troy O'Callaghan"/>
    <n v="4"/>
    <x v="0"/>
    <x v="0"/>
    <d v="2023-10-03T00:00:00"/>
    <s v="Innovation"/>
    <n v="1.1000000000000001"/>
    <s v=""/>
  </r>
  <r>
    <s v="Active"/>
    <s v="00451-D-4.6R"/>
    <s v="Zoe Kristall"/>
    <s v="Evident Corporation (AUD)"/>
    <x v="1"/>
    <s v="25(?)"/>
    <d v="2023-07-03T00:00:00"/>
    <d v="2023-10-31T00:00:00"/>
    <s v="Sam Gason"/>
    <s v="Troy O'Callaghan"/>
    <n v="4"/>
    <x v="0"/>
    <x v="0"/>
    <d v="2023-10-03T00:00:00"/>
    <s v="Innovation"/>
    <n v="1.05"/>
    <s v=""/>
  </r>
  <r>
    <s v="Active"/>
    <s v="00582-D-2.1d"/>
    <s v="Quong Yu"/>
    <s v="Xcell Bio Australia Pty Ltd"/>
    <x v="2"/>
    <s v="13"/>
    <d v="2023-08-01T00:00:00"/>
    <d v="2024-01-31T00:00:00"/>
    <s v="Denis Greco"/>
    <s v="Brian Hanrahan"/>
    <n v="1"/>
    <x v="0"/>
    <x v="1"/>
    <d v="2023-10-03T00:00:00"/>
    <s v="Innovation"/>
    <n v="1"/>
    <s v=""/>
  </r>
  <r>
    <s v="Active"/>
    <s v="00333-D-4.02"/>
    <s v="Sam Gason"/>
    <s v="Lumos Diagnostics Inc (AUD)"/>
    <x v="3"/>
    <s v="10"/>
    <d v="2023-07-03T00:00:00"/>
    <d v="2024-06-28T00:00:00"/>
    <s v="Sam Gason"/>
    <s v="Sam Gason"/>
    <n v="2"/>
    <x v="0"/>
    <x v="2"/>
    <d v="2023-10-03T00:00:00"/>
    <s v="Innovation"/>
    <n v="1"/>
    <s v=""/>
  </r>
  <r>
    <s v="Active"/>
    <s v="00419-D-4.00"/>
    <s v="Sybille Farrell"/>
    <s v="Equipmed"/>
    <x v="4"/>
    <s v="0(?)"/>
    <d v="2019-02-27T00:00:00"/>
    <d v="2023-08-31T00:00:00"/>
    <s v="Sam Harris"/>
    <s v="Sam Harris"/>
    <n v="4"/>
    <x v="0"/>
    <x v="3"/>
    <d v="2023-10-03T00:00:00"/>
    <s v="Innovation"/>
    <n v="1.1000000000000001"/>
    <s v="Equipmed"/>
  </r>
  <r>
    <s v="Active"/>
    <s v="00526-D-2.1C"/>
    <s v="Kashif Haidery"/>
    <s v="ARES Trading S A Euro"/>
    <x v="5"/>
    <s v="0"/>
    <d v="2023-09-25T00:00:00"/>
    <d v="2023-12-15T00:00:00"/>
    <s v="Grant Hatamosa"/>
    <s v="Eduardo Vom"/>
    <n v="1"/>
    <x v="0"/>
    <x v="4"/>
    <d v="2023-10-03T00:00:00"/>
    <s v="Innovation"/>
    <n v="1.1000000000000001"/>
    <s v=""/>
  </r>
  <r>
    <s v="Active"/>
    <s v="00567-D-0.00"/>
    <s v="Jeremy Stimson"/>
    <s v="Bio-Rad Laboratories (US)"/>
    <x v="6"/>
    <s v="85"/>
    <d v="2022-06-20T00:00:00"/>
    <d v="2024-04-19T00:00:00"/>
    <s v="Jeremy Stimson"/>
    <s v="Michael Robards"/>
    <n v="1"/>
    <x v="1"/>
    <x v="5"/>
    <d v="2023-10-03T00:00:00"/>
    <s v="Innovation"/>
    <n v="1"/>
    <s v=""/>
  </r>
  <r>
    <s v="Active"/>
    <s v="00605-D-0.00"/>
    <s v="Lucas Renieris"/>
    <s v="Sunbird Bio Australia Pty Ltd"/>
    <x v="7"/>
    <s v="80(?)"/>
    <d v="2023-07-24T00:00:00"/>
    <d v="2023-10-06T00:00:00"/>
    <s v="Nathan Ray"/>
    <s v="Troy O'Callaghan"/>
    <n v="4"/>
    <x v="1"/>
    <x v="6"/>
    <d v="2023-10-03T00:00:00"/>
    <s v="Innovation"/>
    <n v="1"/>
    <s v=""/>
  </r>
  <r>
    <s v="Active"/>
    <s v="00387-D-3.00"/>
    <s v="Roger Langsdon"/>
    <s v="ANDHealth"/>
    <x v="8"/>
    <s v="0(?)"/>
    <d v="2015-01-01T00:00:00"/>
    <d v="2024-12-31T00:00:00"/>
    <s v="Roger Langsdon"/>
    <s v="Roger Langsdon"/>
    <n v="1"/>
    <x v="1"/>
    <x v="7"/>
    <d v="2023-10-03T00:00:00"/>
    <s v="Innovation"/>
    <n v="1.1000000000000001"/>
    <s v=""/>
  </r>
  <r>
    <s v="Active"/>
    <s v="00589-D-2.1a"/>
    <s v="Chris Simmons"/>
    <s v="Fertilis Pty Ltd"/>
    <x v="9"/>
    <s v="0"/>
    <d v="2023-01-25T00:00:00"/>
    <d v="2023-05-01T00:00:00"/>
    <s v="Sam Gason"/>
    <s v="Sam Gason"/>
    <n v="2"/>
    <x v="1"/>
    <x v="8"/>
    <d v="2023-10-03T00:00:00"/>
    <s v="Innovation"/>
    <n v="1"/>
    <s v=""/>
  </r>
  <r>
    <s v="Active"/>
    <s v="00606-D-1.10"/>
    <s v="Allan Todd"/>
    <s v="Bio-Rad Laboratories (US)"/>
    <x v="10"/>
    <s v="99(?)"/>
    <d v="2023-07-17T00:00:00"/>
    <d v="2023-09-05T00:00:00"/>
    <s v="Michael Robards"/>
    <s v="Michael Robards"/>
    <n v="1"/>
    <x v="2"/>
    <x v="9"/>
    <d v="2023-10-03T00:00:00"/>
    <s v="Innovation"/>
    <n v="1"/>
    <s v="BioRad"/>
  </r>
  <r>
    <s v="Active"/>
    <s v="00593-D-1.00"/>
    <s v="Henrico Djiuardi"/>
    <s v="Lumos Diagnostics IP Pty Ltd"/>
    <x v="11"/>
    <s v="84(?)"/>
    <d v="2023-04-17T00:00:00"/>
    <d v="2023-09-28T00:00:00"/>
    <s v="Sam Gason"/>
    <s v="Sam Gason"/>
    <n v="2"/>
    <x v="2"/>
    <x v="10"/>
    <d v="2023-10-03T00:00:00"/>
    <s v="Innovation"/>
    <n v="1.1000000000000001"/>
    <s v=""/>
  </r>
  <r>
    <s v="Active"/>
    <s v="00604-D-1.0F"/>
    <s v="Florin Pintilie"/>
    <s v="Sakura Finetek USA Inc. US"/>
    <x v="12"/>
    <s v="80(?)"/>
    <d v="2023-08-11T00:00:00"/>
    <d v="2023-10-04T00:00:00"/>
    <s v="David Lewsang"/>
    <s v="Don Cole"/>
    <n v="2"/>
    <x v="2"/>
    <x v="11"/>
    <d v="2023-10-03T00:00:00"/>
    <s v="Innovation"/>
    <n v="1"/>
    <s v=""/>
  </r>
  <r>
    <s v="Active"/>
    <s v="00594-D-1.0a"/>
    <s v="Janine Jory"/>
    <s v="INTEGRA Biosciences Corp"/>
    <x v="13"/>
    <s v="69"/>
    <d v="2023-05-22T00:00:00"/>
    <d v="2023-10-31T00:00:00"/>
    <s v="Nathan Ray"/>
    <s v="Mona Elkebir"/>
    <n v="1"/>
    <x v="2"/>
    <x v="12"/>
    <d v="2023-10-03T00:00:00"/>
    <s v="Innovation"/>
    <n v="1"/>
    <s v=""/>
  </r>
  <r>
    <s v="Active"/>
    <s v="00556-D-2.00"/>
    <s v="David Lewsang"/>
    <s v="Levitas Bio Pty Ltd"/>
    <x v="14"/>
    <s v="67(?)"/>
    <d v="2023-06-01T00:00:00"/>
    <d v="2023-11-03T00:00:00"/>
    <s v="David Lewsang"/>
    <s v="Nathan Ray"/>
    <n v="2"/>
    <x v="2"/>
    <x v="13"/>
    <d v="2023-10-03T00:00:00"/>
    <s v="Innovation"/>
    <n v="1"/>
    <s v="Levitas Bio"/>
  </r>
  <r>
    <s v="Active"/>
    <s v="00524-D-1.00"/>
    <s v="David Lewsang"/>
    <s v="Sakura Finetek USA Inc. US"/>
    <x v="15"/>
    <s v="67(?)"/>
    <d v="2021-09-15T00:00:00"/>
    <d v="2023-12-22T00:00:00"/>
    <s v="David Lewsang"/>
    <s v="Troy O'Callaghan"/>
    <n v="2"/>
    <x v="2"/>
    <x v="14"/>
    <d v="2023-10-03T00:00:00"/>
    <s v="Innovation"/>
    <n v="1.1000000000000001"/>
    <s v="Sakura"/>
  </r>
  <r>
    <s v="Active"/>
    <s v="00605-D-1.00"/>
    <s v="Lucas Renieris"/>
    <s v="Sunbird Bio Australia Pty Ltd"/>
    <x v="16"/>
    <s v="6"/>
    <d v="2023-09-11T00:00:00"/>
    <d v="2023-12-22T00:00:00"/>
    <s v="Nathan Ray"/>
    <s v="Troy O'Callaghan"/>
    <n v="4"/>
    <x v="2"/>
    <x v="6"/>
    <d v="2023-10-03T00:00:00"/>
    <s v="Innovation"/>
    <n v="1"/>
    <s v=""/>
  </r>
  <r>
    <s v="Active"/>
    <s v="00526-D-1.0a"/>
    <s v="Grant Hatamosa"/>
    <s v="ARES Trading S A Euro"/>
    <x v="17"/>
    <s v="41(?)"/>
    <d v="2023-08-01T00:00:00"/>
    <d v="2023-12-22T00:00:00"/>
    <s v="Grant Hatamosa"/>
    <s v="Grant Hatamosa"/>
    <n v="1"/>
    <x v="2"/>
    <x v="4"/>
    <d v="2023-10-03T00:00:00"/>
    <s v="Innovation"/>
    <n v="1.1000000000000001"/>
    <s v=""/>
  </r>
  <r>
    <s v="Active"/>
    <s v="00522-D-1.20"/>
    <s v="Cindy Chi"/>
    <s v="Slingshot Biosciences (USD)"/>
    <x v="18"/>
    <s v="24(?)"/>
    <d v="2023-08-14T00:00:00"/>
    <d v="2023-12-22T00:00:00"/>
    <s v="Nir Dvorski"/>
    <s v="Thomas Illick"/>
    <n v="2"/>
    <x v="2"/>
    <x v="15"/>
    <d v="2023-10-03T00:00:00"/>
    <s v="Innovation"/>
    <n v="1"/>
    <s v=""/>
  </r>
  <r>
    <s v="Active"/>
    <s v="00586-D-2.1b"/>
    <s v="Mirsaeed Safari"/>
    <s v="LumiraDX"/>
    <x v="19"/>
    <s v="99"/>
    <d v="2023-06-01T00:00:00"/>
    <d v="2023-08-31T00:00:00"/>
    <s v="Kelly Whiteman"/>
    <s v="Ben Stewart-Steele"/>
    <n v="4"/>
    <x v="3"/>
    <x v="16"/>
    <d v="2023-10-03T00:00:00"/>
    <s v="Innovation"/>
    <n v="1.05"/>
    <s v="BD"/>
  </r>
  <r>
    <s v="Active"/>
    <s v="00285-D-5.00"/>
    <s v="Sybille Farrell"/>
    <s v="Equipmed"/>
    <x v="20"/>
    <s v="91(?)"/>
    <d v="2021-10-01T00:00:00"/>
    <d v="2023-09-28T00:00:00"/>
    <s v="Sam Harris"/>
    <s v="Sam Harris"/>
    <n v="4"/>
    <x v="3"/>
    <x v="17"/>
    <d v="2023-10-03T00:00:00"/>
    <s v="Innovation"/>
    <n v="1.1000000000000001"/>
    <s v="Equipmed"/>
  </r>
  <r>
    <s v="Active"/>
    <s v="00535-D-2.1B"/>
    <s v="Tomas Correa"/>
    <s v="Bio-Rad Laboratories (US)"/>
    <x v="21"/>
    <s v="90(?)"/>
    <d v="2023-02-01T00:00:00"/>
    <d v="2023-09-29T00:00:00"/>
    <s v="Allan Todd"/>
    <s v="Michael Robards"/>
    <n v="1"/>
    <x v="3"/>
    <x v="18"/>
    <d v="2023-10-03T00:00:00"/>
    <s v="Innovation"/>
    <n v="1"/>
    <s v="BioRad"/>
  </r>
  <r>
    <s v="Active"/>
    <s v="00541-D-2.1x"/>
    <s v="Sybille Farrell"/>
    <s v="Akadeum Life Sciences, Inc."/>
    <x v="22"/>
    <s v="85(?)"/>
    <d v="2023-04-03T00:00:00"/>
    <d v="2023-08-18T00:00:00"/>
    <s v="Emily Reichart"/>
    <s v="Mona Elkebir"/>
    <n v="4"/>
    <x v="3"/>
    <x v="19"/>
    <d v="2023-10-03T00:00:00"/>
    <s v="Innovation"/>
    <n v="1"/>
    <s v=""/>
  </r>
  <r>
    <s v="Active"/>
    <s v="00394-D-2.1a"/>
    <s v="Henrico Djiuardi"/>
    <s v="Lumos Diagnostics Inc"/>
    <x v="23"/>
    <s v="73(?)"/>
    <d v="2022-05-02T00:00:00"/>
    <d v="2023-09-29T00:00:00"/>
    <s v="Sam Gason"/>
    <s v="Sam Gason"/>
    <n v="2"/>
    <x v="3"/>
    <x v="20"/>
    <d v="2023-10-03T00:00:00"/>
    <s v="Innovation"/>
    <n v="1"/>
    <s v="Lumos"/>
  </r>
  <r>
    <s v="Active"/>
    <s v="00582-D-2.1C"/>
    <s v="Quong Yu"/>
    <s v="Xcell Bio Australia Pty Ltd"/>
    <x v="24"/>
    <s v="65(?)"/>
    <d v="2023-04-03T00:00:00"/>
    <d v="2023-10-31T00:00:00"/>
    <s v="Denis Greco"/>
    <s v="Brian Hanrahan"/>
    <n v="1"/>
    <x v="3"/>
    <x v="1"/>
    <d v="2023-10-03T00:00:00"/>
    <s v="Innovation"/>
    <n v="1.1000000000000001"/>
    <s v=""/>
  </r>
  <r>
    <s v="Active"/>
    <s v="00541-D-2.1b"/>
    <s v="Sybille Farrell"/>
    <s v="Akadeum Life Sciences, Inc."/>
    <x v="25"/>
    <s v="50(?)"/>
    <d v="2023-08-01T00:00:00"/>
    <d v="2023-11-24T00:00:00"/>
    <s v="Emily Reichart"/>
    <s v="Mona Elkebir"/>
    <n v="4"/>
    <x v="3"/>
    <x v="19"/>
    <d v="2023-10-03T00:00:00"/>
    <s v="Innovation"/>
    <n v="1"/>
    <s v=""/>
  </r>
  <r>
    <s v="Active"/>
    <s v="00582-D-2.1b"/>
    <s v="Quong Yu"/>
    <s v="Xcell Bio Australia Pty Ltd"/>
    <x v="26"/>
    <s v="34"/>
    <d v="2023-08-01T00:00:00"/>
    <d v="2024-02-29T00:00:00"/>
    <s v="Denis Greco"/>
    <s v="Brian Hanrahan"/>
    <n v="1"/>
    <x v="3"/>
    <x v="1"/>
    <d v="2023-10-03T00:00:00"/>
    <s v="Innovation"/>
    <n v="1"/>
    <s v=""/>
  </r>
  <r>
    <s v="Active"/>
    <s v="00598-D-2.1a"/>
    <s v="Chris Simmons"/>
    <s v="ANDHealth"/>
    <x v="27"/>
    <s v="0(?)"/>
    <d v="2023-05-29T00:00:00"/>
    <d v="2023-06-27T00:00:00"/>
    <s v="Chris Simmons"/>
    <s v="Sam Lanyon"/>
    <n v="2"/>
    <x v="3"/>
    <x v="21"/>
    <d v="2023-10-03T00:00:00"/>
    <s v="Innovation"/>
    <n v="1"/>
    <s v=""/>
  </r>
  <r>
    <s v="Active"/>
    <s v="00488-D-2.2A"/>
    <s v="Jeffrey Hughes"/>
    <s v="Blaze Bioscience"/>
    <x v="28"/>
    <s v="0(?)"/>
    <d v="2023-03-20T00:00:00"/>
    <d v="2023-07-28T00:00:00"/>
    <s v="Kelly Whiteman"/>
    <s v="Thomas Massarany"/>
    <n v="2"/>
    <x v="3"/>
    <x v="22"/>
    <d v="2023-10-03T00:00:00"/>
    <s v="Innovation"/>
    <n v="1.1000000000000001"/>
    <s v="Blaze Bioscience"/>
  </r>
  <r>
    <s v="Active"/>
    <s v="00311-D-1.00"/>
    <s v="Paul Howley"/>
    <s v="Vitalic Medical Pty Ltd"/>
    <x v="29"/>
    <s v="0(?)"/>
    <d v="2015-01-01T00:00:00"/>
    <d v="2024-12-31T00:00:00"/>
    <s v="Paul Howley"/>
    <s v="Eduardo Vom"/>
    <n v="2"/>
    <x v="3"/>
    <x v="23"/>
    <d v="2023-10-03T00:00:00"/>
    <s v="Innovation"/>
    <n v="1.1000000000000001"/>
    <s v="Vitalic"/>
  </r>
  <r>
    <s v="Active"/>
    <s v="00604-D-2.1A"/>
    <s v="Florin Pintilie"/>
    <s v="Sakura Finetek USA Inc."/>
    <x v="30"/>
    <s v="0"/>
    <d v="2023-09-27T00:00:00"/>
    <d v="2024-01-30T00:00:00"/>
    <s v="David Lewsang"/>
    <s v="Don Cole"/>
    <n v="2"/>
    <x v="3"/>
    <x v="11"/>
    <d v="2023-10-03T00:00:00"/>
    <s v="Innovation"/>
    <n v="1"/>
    <s v=""/>
  </r>
  <r>
    <s v="Active"/>
    <s v="00404-D-2.25"/>
    <s v="Denis Greco"/>
    <s v="Truvian Sciences"/>
    <x v="31"/>
    <s v="0"/>
    <d v="2022-04-20T00:00:00"/>
    <d v="2023-01-31T00:00:00"/>
    <s v="Denis Greco"/>
    <s v="Denis Greco"/>
    <n v="1"/>
    <x v="3"/>
    <x v="24"/>
    <d v="2023-10-03T00:00:00"/>
    <s v="Innovation"/>
    <n v="1"/>
    <s v="Truvian"/>
  </r>
  <r>
    <s v="Active"/>
    <s v="00518-D-2.2a"/>
    <s v="Andrew Guy"/>
    <s v="Accelerate Diagnostics"/>
    <x v="32"/>
    <s v="99"/>
    <d v="2023-02-27T00:00:00"/>
    <d v="2023-09-28T00:00:00"/>
    <s v="Denis Greco"/>
    <s v="Anthony White"/>
    <n v="1"/>
    <x v="4"/>
    <x v="25"/>
    <d v="2023-10-03T00:00:00"/>
    <s v="Innovation"/>
    <n v="1"/>
    <s v="Accelerate"/>
  </r>
  <r>
    <s v="Active"/>
    <s v="00404-D-2.29"/>
    <s v="Denis Greco"/>
    <s v="Truvian Sciences AUD"/>
    <x v="33"/>
    <s v="92(?)"/>
    <d v="2023-04-03T00:00:00"/>
    <d v="2023-08-31T00:00:00"/>
    <s v="Denis Greco"/>
    <s v="Denis Greco"/>
    <n v="1"/>
    <x v="4"/>
    <x v="24"/>
    <d v="2023-10-03T00:00:00"/>
    <s v="Innovation"/>
    <n v="1"/>
    <s v="Truvian"/>
  </r>
  <r>
    <s v="Active"/>
    <s v="00488-D-2.2B"/>
    <s v="Jeffrey Hughes"/>
    <s v="Blaze Bioscience"/>
    <x v="34"/>
    <s v="85(?)"/>
    <d v="2023-06-26T00:00:00"/>
    <d v="2023-11-21T00:00:00"/>
    <s v="Kelly Whiteman"/>
    <s v="Thomas Massarany"/>
    <n v="2"/>
    <x v="4"/>
    <x v="22"/>
    <d v="2023-10-03T00:00:00"/>
    <s v="Innovation"/>
    <n v="1.1000000000000001"/>
    <s v=""/>
  </r>
  <r>
    <s v="Active"/>
    <s v="00190-D-2.03"/>
    <s v="Tim Durrant"/>
    <s v="Tournicare Pty Ltd"/>
    <x v="35"/>
    <s v="80(?)"/>
    <d v="2021-05-17T00:00:00"/>
    <d v="2023-10-31T00:00:00"/>
    <s v="Tim Durrant"/>
    <s v="Sam Lanyon"/>
    <n v="4"/>
    <x v="4"/>
    <x v="26"/>
    <d v="2023-10-03T00:00:00"/>
    <s v="Innovation"/>
    <n v="1.1000000000000001"/>
    <s v="Tournicare"/>
  </r>
  <r>
    <s v="Active"/>
    <s v="00518-D-2.2c"/>
    <s v="Andrew Guy"/>
    <s v="Accelerate Diagnostics"/>
    <x v="36"/>
    <s v="65(?)"/>
    <d v="2023-06-01T00:00:00"/>
    <d v="2023-10-23T00:00:00"/>
    <s v="Eduardo Vom"/>
    <s v="Anthony White"/>
    <n v="1"/>
    <x v="4"/>
    <x v="25"/>
    <d v="2023-10-03T00:00:00"/>
    <s v="Innovation"/>
    <n v="1.05"/>
    <s v=""/>
  </r>
  <r>
    <s v="Active"/>
    <s v="00472-D-2.24"/>
    <s v="Henrico Djiuardi"/>
    <s v="SomnoMed"/>
    <x v="37"/>
    <s v="64(?)"/>
    <d v="2023-01-09T00:00:00"/>
    <d v="2023-08-04T00:00:00"/>
    <s v="Tim Durrant"/>
    <s v="Brian Hanrahan"/>
    <n v="4"/>
    <x v="4"/>
    <x v="27"/>
    <d v="2023-10-03T00:00:00"/>
    <s v="Innovation"/>
    <n v="1"/>
    <s v=""/>
  </r>
  <r>
    <s v="Active"/>
    <s v="00518-D-2.2b"/>
    <s v="Andrew Guy"/>
    <s v="Accelerate Diagnostics"/>
    <x v="38"/>
    <s v="60"/>
    <d v="2023-04-03T00:00:00"/>
    <d v="2023-11-30T00:00:00"/>
    <s v="Eduardo Vom"/>
    <s v="Anthony White"/>
    <n v="1"/>
    <x v="4"/>
    <x v="25"/>
    <d v="2023-10-03T00:00:00"/>
    <s v="Innovation"/>
    <n v="1"/>
    <s v=""/>
  </r>
  <r>
    <s v="Active"/>
    <s v="00404-D-2.34"/>
    <s v="Denis Greco"/>
    <s v="Truvian Sciences"/>
    <x v="39"/>
    <s v="5"/>
    <d v="2023-04-03T00:00:00"/>
    <d v="2023-06-30T00:00:00"/>
    <s v="Denis Greco"/>
    <s v="Denis Greco"/>
    <n v="1"/>
    <x v="4"/>
    <x v="24"/>
    <d v="2023-10-03T00:00:00"/>
    <s v="Innovation"/>
    <n v="1"/>
    <s v="Truvian"/>
  </r>
  <r>
    <s v="Active"/>
    <s v="00419-D-3.10"/>
    <s v="Sybille Farrell"/>
    <s v="Equipmed"/>
    <x v="40"/>
    <s v="43(?)"/>
    <d v="2020-02-03T00:00:00"/>
    <d v="2023-09-28T00:00:00"/>
    <s v="Allan Todd"/>
    <s v="Sam Harris"/>
    <n v="4"/>
    <x v="4"/>
    <x v="3"/>
    <d v="2023-10-03T00:00:00"/>
    <s v="Innovation"/>
    <n v="1"/>
    <s v="Equipmed"/>
  </r>
  <r>
    <s v="Active"/>
    <s v="00597-D-2.21"/>
    <s v="Ben James"/>
    <s v="NousQ Pte Ltd"/>
    <x v="41"/>
    <s v="32"/>
    <d v="2023-08-07T00:00:00"/>
    <d v="2023-10-31T00:00:00"/>
    <s v="Kelly Whiteman"/>
    <s v="Troy O'Callaghan"/>
    <n v="4"/>
    <x v="4"/>
    <x v="28"/>
    <d v="2023-10-03T00:00:00"/>
    <s v="Innovation"/>
    <n v="1.1000000000000001"/>
    <s v=""/>
  </r>
  <r>
    <s v="Active"/>
    <s v="00596-D-3.10"/>
    <s v="Tim Durrant"/>
    <s v="Xtralis"/>
    <x v="42"/>
    <s v="20"/>
    <d v="2023-05-15T00:00:00"/>
    <d v="2023-08-31T00:00:00"/>
    <s v="Tim Durrant"/>
    <s v="Anthony White"/>
    <n v="2"/>
    <x v="4"/>
    <x v="29"/>
    <d v="2023-10-03T00:00:00"/>
    <s v="Innovation"/>
    <n v="1"/>
    <s v=""/>
  </r>
  <r>
    <s v="Active"/>
    <s v="00529-D-2.0E"/>
    <s v="Florin Pintilie"/>
    <s v="Epiminder"/>
    <x v="43"/>
    <s v="0"/>
    <d v="2023-07-03T00:00:00"/>
    <d v="2023-08-31T00:00:00"/>
    <s v="Bec Bartel"/>
    <s v="Taryn Inkster"/>
    <n v="4"/>
    <x v="4"/>
    <x v="30"/>
    <d v="2023-10-03T00:00:00"/>
    <s v="Innovation"/>
    <n v="1"/>
    <s v=""/>
  </r>
  <r>
    <s v="Active"/>
    <s v="00404-D-2.33"/>
    <s v="Denis Greco"/>
    <s v="Truvian Sciences AUD"/>
    <x v="44"/>
    <s v="0"/>
    <d v="2023-09-01T00:00:00"/>
    <d v="2023-12-22T00:00:00"/>
    <s v="Denis Greco"/>
    <s v="Denis Greco"/>
    <n v="1"/>
    <x v="4"/>
    <x v="24"/>
    <d v="2023-10-03T00:00:00"/>
    <s v="Innovation"/>
    <n v="1"/>
    <s v=""/>
  </r>
  <r>
    <s v="Active"/>
    <s v="00327-D-4.10"/>
    <s v="Luke Cawley"/>
    <s v="ASP Health Inc (AUD)"/>
    <x v="45"/>
    <s v="90(?)"/>
    <d v="2022-05-04T00:00:00"/>
    <d v="2023-04-28T00:00:00"/>
    <s v="Bec Bartel"/>
    <s v="Bec Bartel"/>
    <n v="4"/>
    <x v="5"/>
    <x v="31"/>
    <d v="2023-10-03T00:00:00"/>
    <s v="Innovation"/>
    <n v="1"/>
    <s v="ASP Health"/>
  </r>
  <r>
    <s v="Active"/>
    <s v="00514-D-4.10"/>
    <s v="David Lewsang"/>
    <s v="Levitas Bio Pty Ltd"/>
    <x v="46"/>
    <s v="50"/>
    <d v="2023-05-15T00:00:00"/>
    <d v="2023-10-13T00:00:00"/>
    <s v="Nathan Ray"/>
    <s v="Nathan Ray"/>
    <n v="2"/>
    <x v="5"/>
    <x v="32"/>
    <d v="2023-10-03T00:00:00"/>
    <s v="Innovation"/>
    <n v="1.02"/>
    <s v=""/>
  </r>
  <r>
    <s v="Active"/>
    <s v="00580-D-1.00"/>
    <s v="Nathan Ray"/>
    <s v="Levitas Bio"/>
    <x v="47"/>
    <s v="33(?)"/>
    <d v="2022-10-03T00:00:00"/>
    <d v="2024-06-28T00:00:00"/>
    <s v="Nathan Ray"/>
    <s v="Nathan Ray"/>
    <n v="2"/>
    <x v="5"/>
    <x v="33"/>
    <d v="2023-10-03T00:00:00"/>
    <s v="Innovation"/>
    <n v="1"/>
    <s v="Levitas Bio"/>
  </r>
  <r>
    <s v="Active"/>
    <s v="00570-D-3.0B"/>
    <s v="Zoe Kristall"/>
    <s v="ARES Trading S A Euro"/>
    <x v="48"/>
    <s v="18"/>
    <d v="2023-09-04T00:00:00"/>
    <d v="2023-10-06T00:00:00"/>
    <s v="Grant Hatamosa"/>
    <s v="Eduardo Vom"/>
    <n v="0"/>
    <x v="5"/>
    <x v="34"/>
    <d v="2023-10-03T00:00:00"/>
    <s v="Innovation"/>
    <n v="1"/>
    <s v=""/>
  </r>
  <r>
    <s v="Active"/>
    <s v="00529-D-3.0A"/>
    <s v="Florin Pintilie"/>
    <s v="Epiminder"/>
    <x v="49"/>
    <s v="0"/>
    <d v="2023-09-25T00:00:00"/>
    <d v="2023-10-30T00:00:00"/>
    <s v="Taryn Inkster"/>
    <s v="Taryn Inkster"/>
    <n v="4"/>
    <x v="5"/>
    <x v="30"/>
    <d v="2023-10-03T00:00:00"/>
    <s v="Innovation"/>
    <n v="1"/>
    <s v=""/>
  </r>
  <r>
    <s v="Active"/>
    <s v="00451-D-3.00"/>
    <s v="Chris Simmons"/>
    <s v="Evident Corporation (AUD)"/>
    <x v="50"/>
    <s v="0"/>
    <d v="2023-08-31T00:00:00"/>
    <d v="2023-12-14T00:00:00"/>
    <s v="Sam Gason"/>
    <s v="Troy O'Callaghan"/>
    <n v="4"/>
    <x v="5"/>
    <x v="0"/>
    <d v="2023-10-03T00:00:00"/>
    <s v="Innovation"/>
    <n v="1.1000000000000001"/>
    <s v=""/>
  </r>
  <r>
    <s v="Active"/>
    <s v="00472-D-3.50"/>
    <s v="Kashif Haidery"/>
    <s v="SomnoMed Philippines Inc"/>
    <x v="51"/>
    <s v="0"/>
    <d v="2023-09-04T00:00:00"/>
    <d v="2023-10-06T00:00:00"/>
    <s v="Kashif Haidery"/>
    <s v="Brian Hanrahan"/>
    <n v="4"/>
    <x v="5"/>
    <x v="27"/>
    <d v="2023-10-03T00:00:00"/>
    <s v="Innovation"/>
    <n v="1"/>
    <s v=""/>
  </r>
  <r>
    <s v="Active"/>
    <s v="00295-D-4.60"/>
    <s v="Cam Phillips"/>
    <s v="Haemonetics"/>
    <x v="52"/>
    <s v="99(?)"/>
    <d v="2023-01-23T00:00:00"/>
    <d v="2023-09-28T00:00:00"/>
    <s v="Bec Bartel"/>
    <s v="Anthony White"/>
    <n v="1"/>
    <x v="6"/>
    <x v="35"/>
    <d v="2023-10-03T00:00:00"/>
    <s v="Innovation"/>
    <n v="1"/>
    <s v=""/>
  </r>
  <r>
    <s v="Active"/>
    <s v="00398-D-4.15"/>
    <s v="Aparna Rao R"/>
    <s v="Masterflex, LCC"/>
    <x v="53"/>
    <s v="99(?)"/>
    <d v="2023-06-19T00:00:00"/>
    <d v="2023-09-15T00:00:00"/>
    <s v="Bec Bartel"/>
    <s v="Bec Bartel"/>
    <n v="4"/>
    <x v="6"/>
    <x v="36"/>
    <d v="2023-10-03T00:00:00"/>
    <s v="Innovation"/>
    <n v="1"/>
    <s v="Antylia scientific"/>
  </r>
  <r>
    <s v="Active"/>
    <s v="00435-D-4.10"/>
    <s v="Cam Phillips"/>
    <s v="Haemonetics Corporation USD"/>
    <x v="54"/>
    <s v="95"/>
    <d v="2023-07-24T00:00:00"/>
    <d v="2023-12-22T00:00:00"/>
    <s v="Bec Bartel"/>
    <s v="Bec Bartel"/>
    <n v="1"/>
    <x v="6"/>
    <x v="37"/>
    <d v="2023-10-03T00:00:00"/>
    <s v="Innovation"/>
    <n v="1"/>
    <s v="Haemonetics"/>
  </r>
  <r>
    <s v="Active"/>
    <s v="00526-D-0.0C"/>
    <s v="Kashif Haidery"/>
    <s v="ARES Trading S A Euro"/>
    <x v="55"/>
    <s v="85(?)"/>
    <d v="2023-05-01T00:00:00"/>
    <d v="2023-09-29T00:00:00"/>
    <s v="Grant Hatamosa"/>
    <s v="Eduardo Vom"/>
    <n v="1"/>
    <x v="6"/>
    <x v="4"/>
    <d v="2023-10-03T00:00:00"/>
    <s v="Innovation"/>
    <n v="1"/>
    <s v=""/>
  </r>
  <r>
    <s v="Active"/>
    <s v="00329-D-4.01"/>
    <s v="Cam Phillips"/>
    <s v="Abbott Molecular Inc USD"/>
    <x v="56"/>
    <s v="67(?)"/>
    <d v="2023-05-01T00:00:00"/>
    <d v="2023-12-22T00:00:00"/>
    <s v="Cam Phillips"/>
    <s v="Anthony White"/>
    <n v="1"/>
    <x v="6"/>
    <x v="38"/>
    <d v="2023-10-03T00:00:00"/>
    <s v="Innovation"/>
    <n v="1"/>
    <s v="Abbott"/>
  </r>
  <r>
    <s v="Active"/>
    <s v="00472-G-4.1D"/>
    <s v="Kashif Haidery"/>
    <s v="SomnoMed"/>
    <x v="57"/>
    <s v="66(?)"/>
    <d v="2023-04-03T00:00:00"/>
    <d v="2023-10-23T00:00:00"/>
    <s v="Tim Durrant"/>
    <s v="Brian Hanrahan"/>
    <n v="4"/>
    <x v="6"/>
    <x v="27"/>
    <d v="2023-10-03T00:00:00"/>
    <s v="Innovation"/>
    <n v="1"/>
    <s v=""/>
  </r>
  <r>
    <s v="Active"/>
    <s v="00398-D-4.14"/>
    <s v="Aparna Rao R"/>
    <s v="Masterflex, LCC"/>
    <x v="58"/>
    <s v="50(?)"/>
    <d v="2023-03-27T00:00:00"/>
    <d v="2023-09-07T00:00:00"/>
    <s v="Bec Bartel"/>
    <s v="Bec Bartel"/>
    <n v="4"/>
    <x v="6"/>
    <x v="36"/>
    <d v="2023-10-03T00:00:00"/>
    <s v="Innovation"/>
    <n v="1"/>
    <s v=""/>
  </r>
  <r>
    <s v="Active"/>
    <s v="00398-D-4.16"/>
    <s v="Aparna Rao R"/>
    <s v="Masterflex, LCC"/>
    <x v="59"/>
    <s v="5"/>
    <d v="2023-09-18T00:00:00"/>
    <d v="2023-12-22T00:00:00"/>
    <s v="Bec Bartel"/>
    <s v="Bec Bartel"/>
    <n v="4"/>
    <x v="6"/>
    <x v="36"/>
    <d v="2023-10-03T00:00:00"/>
    <s v="Innovation"/>
    <n v="1"/>
    <s v=""/>
  </r>
  <r>
    <s v="Active"/>
    <s v="00221-D-1.0S"/>
    <s v="David Lewsang"/>
    <s v="Xtralis"/>
    <x v="60"/>
    <s v="49(?)"/>
    <d v="2021-07-01T00:00:00"/>
    <d v="2023-12-22T00:00:00"/>
    <s v="David Lewsang"/>
    <s v="Sam Lanyon"/>
    <n v="2"/>
    <x v="6"/>
    <x v="39"/>
    <d v="2023-10-03T00:00:00"/>
    <s v="Innovation"/>
    <n v="1"/>
    <s v="Xtralis"/>
  </r>
  <r>
    <s v="Active"/>
    <s v="00329-D-9.93"/>
    <s v="Cam Phillips"/>
    <s v="Abbott Molecular Inc USD"/>
    <x v="61"/>
    <s v="31(?)"/>
    <d v="2022-12-02T00:00:00"/>
    <d v="2023-12-22T00:00:00"/>
    <s v="Cam Phillips"/>
    <s v="Anthony White"/>
    <n v="1"/>
    <x v="6"/>
    <x v="38"/>
    <d v="2023-10-03T00:00:00"/>
    <s v="Innovation"/>
    <n v="1"/>
    <s v="Abbott"/>
  </r>
  <r>
    <s v="Active"/>
    <s v="00361-D-1.3a"/>
    <s v="Cindy Chi"/>
    <s v="Atmo Biosciences"/>
    <x v="62"/>
    <s v="26(?)"/>
    <d v="2022-12-21T00:00:00"/>
    <d v="2024-01-30T00:00:00"/>
    <s v="Kelly Whiteman"/>
    <s v="Sam Lanyon"/>
    <n v="4"/>
    <x v="6"/>
    <x v="40"/>
    <d v="2023-10-03T00:00:00"/>
    <s v="Innovation"/>
    <n v="1"/>
    <s v="Atmo"/>
  </r>
  <r>
    <s v="Active"/>
    <s v="00196-D-4.20"/>
    <s v="Sam Gason"/>
    <s v="Genea Biomedx Pty Ltd"/>
    <x v="63"/>
    <s v="0"/>
    <d v="2023-07-03T00:00:00"/>
    <d v="2023-12-22T00:00:00"/>
    <s v="Sam Gason"/>
    <s v="Sam Gason"/>
    <n v="2"/>
    <x v="6"/>
    <x v="41"/>
    <d v="2023-10-03T00:00:00"/>
    <s v="Innovation"/>
    <n v="1"/>
    <s v=""/>
  </r>
  <r>
    <s v="Active"/>
    <s v="00540-D-0.00"/>
    <s v="Dinesh Shanmugam"/>
    <s v="Qorvo Biotechnologies, LLC"/>
    <x v="64"/>
    <s v="0(?)"/>
    <d v="2015-01-01T00:00:00"/>
    <d v="2022-12-23T00:00:00"/>
    <s v="Colin Potter"/>
    <s v="Colin Potter"/>
    <n v="3"/>
    <x v="7"/>
    <x v="42"/>
    <d v="2023-09-13T00:00:00"/>
    <s v="Innovation"/>
    <n v="1.1000000000000001"/>
    <s v=""/>
  </r>
  <r>
    <m/>
    <m/>
    <m/>
    <m/>
    <x v="65"/>
    <m/>
    <m/>
    <m/>
    <m/>
    <m/>
    <m/>
    <x v="8"/>
    <x v="43"/>
    <m/>
    <m/>
    <m/>
    <m/>
  </r>
  <r>
    <m/>
    <m/>
    <m/>
    <m/>
    <x v="65"/>
    <m/>
    <m/>
    <m/>
    <m/>
    <m/>
    <m/>
    <x v="8"/>
    <x v="43"/>
    <m/>
    <m/>
    <m/>
    <m/>
  </r>
  <r>
    <m/>
    <m/>
    <m/>
    <m/>
    <x v="65"/>
    <m/>
    <m/>
    <m/>
    <m/>
    <m/>
    <m/>
    <x v="8"/>
    <x v="43"/>
    <m/>
    <m/>
    <m/>
    <m/>
  </r>
  <r>
    <m/>
    <m/>
    <m/>
    <m/>
    <x v="65"/>
    <m/>
    <m/>
    <m/>
    <m/>
    <m/>
    <m/>
    <x v="8"/>
    <x v="43"/>
    <m/>
    <m/>
    <m/>
    <m/>
  </r>
  <r>
    <m/>
    <m/>
    <m/>
    <m/>
    <x v="65"/>
    <m/>
    <m/>
    <m/>
    <m/>
    <m/>
    <m/>
    <x v="8"/>
    <x v="43"/>
    <m/>
    <m/>
    <m/>
    <m/>
  </r>
  <r>
    <m/>
    <m/>
    <m/>
    <m/>
    <x v="65"/>
    <m/>
    <m/>
    <m/>
    <m/>
    <m/>
    <m/>
    <x v="8"/>
    <x v="43"/>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578F74-0F81-4BBB-8F1C-DC2ABCA1F156}"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48" firstHeaderRow="1" firstDataRow="1" firstDataCol="1" rowPageCount="1" colPageCount="1"/>
  <pivotFields count="17">
    <pivotField showAll="0"/>
    <pivotField showAll="0"/>
    <pivotField showAll="0"/>
    <pivotField showAll="0"/>
    <pivotField showAll="0">
      <items count="67">
        <item x="49"/>
        <item x="43"/>
        <item x="8"/>
        <item x="52"/>
        <item x="58"/>
        <item x="53"/>
        <item x="59"/>
        <item x="48"/>
        <item x="40"/>
        <item x="4"/>
        <item x="55"/>
        <item x="5"/>
        <item x="17"/>
        <item x="64"/>
        <item x="24"/>
        <item x="2"/>
        <item x="26"/>
        <item x="6"/>
        <item x="62"/>
        <item x="41"/>
        <item x="21"/>
        <item x="57"/>
        <item x="37"/>
        <item x="51"/>
        <item x="60"/>
        <item x="33"/>
        <item x="44"/>
        <item x="39"/>
        <item x="31"/>
        <item x="13"/>
        <item x="22"/>
        <item x="25"/>
        <item x="23"/>
        <item x="12"/>
        <item x="30"/>
        <item x="10"/>
        <item x="14"/>
        <item x="47"/>
        <item x="46"/>
        <item x="35"/>
        <item x="3"/>
        <item x="56"/>
        <item x="61"/>
        <item x="45"/>
        <item x="7"/>
        <item x="16"/>
        <item x="9"/>
        <item x="32"/>
        <item x="38"/>
        <item x="36"/>
        <item x="18"/>
        <item x="63"/>
        <item x="54"/>
        <item x="11"/>
        <item x="20"/>
        <item x="42"/>
        <item x="28"/>
        <item x="34"/>
        <item x="19"/>
        <item x="27"/>
        <item x="50"/>
        <item x="1"/>
        <item x="0"/>
        <item x="29"/>
        <item x="15"/>
        <item x="65"/>
        <item t="default"/>
      </items>
    </pivotField>
    <pivotField showAll="0"/>
    <pivotField showAll="0"/>
    <pivotField showAll="0"/>
    <pivotField showAll="0"/>
    <pivotField showAll="0"/>
    <pivotField showAll="0"/>
    <pivotField axis="axisPage" showAll="0">
      <items count="10">
        <item x="0"/>
        <item x="1"/>
        <item x="2"/>
        <item x="3"/>
        <item x="4"/>
        <item x="5"/>
        <item x="6"/>
        <item x="7"/>
        <item x="8"/>
        <item t="default"/>
      </items>
    </pivotField>
    <pivotField axis="axisRow" showAll="0">
      <items count="45">
        <item x="30"/>
        <item x="7"/>
        <item x="35"/>
        <item x="36"/>
        <item x="3"/>
        <item x="4"/>
        <item x="42"/>
        <item x="1"/>
        <item x="5"/>
        <item x="40"/>
        <item x="28"/>
        <item x="18"/>
        <item x="27"/>
        <item x="39"/>
        <item x="24"/>
        <item x="12"/>
        <item x="19"/>
        <item x="20"/>
        <item x="11"/>
        <item x="9"/>
        <item x="13"/>
        <item x="33"/>
        <item x="32"/>
        <item x="26"/>
        <item x="2"/>
        <item x="38"/>
        <item x="31"/>
        <item x="6"/>
        <item x="8"/>
        <item x="25"/>
        <item x="15"/>
        <item x="41"/>
        <item x="37"/>
        <item x="10"/>
        <item x="17"/>
        <item x="29"/>
        <item x="22"/>
        <item x="16"/>
        <item x="21"/>
        <item x="0"/>
        <item x="23"/>
        <item x="14"/>
        <item x="34"/>
        <item x="43"/>
        <item t="default"/>
      </items>
    </pivotField>
    <pivotField showAll="0"/>
    <pivotField showAll="0"/>
    <pivotField showAll="0"/>
    <pivotField showAll="0"/>
  </pivotFields>
  <rowFields count="1">
    <field x="12"/>
  </rowFields>
  <rowItems count="4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t="grand">
      <x/>
    </i>
  </rowItems>
  <colItems count="1">
    <i/>
  </colItems>
  <pageFields count="1">
    <pageField fld="11" hier="-1"/>
  </pageFields>
  <formats count="8">
    <format dxfId="7">
      <pivotArea type="all" dataOnly="0" outline="0" fieldPosition="0"/>
    </format>
    <format dxfId="6">
      <pivotArea field="12" type="button" dataOnly="0" labelOnly="1" outline="0" axis="axisRow" fieldPosition="0"/>
    </format>
    <format dxfId="5">
      <pivotArea dataOnly="0" labelOnly="1" fieldPosition="0">
        <references count="1">
          <reference field="12" count="0"/>
        </references>
      </pivotArea>
    </format>
    <format dxfId="4">
      <pivotArea dataOnly="0" labelOnly="1" grandRow="1" outline="0" fieldPosition="0"/>
    </format>
    <format dxfId="3">
      <pivotArea type="all" dataOnly="0" outline="0" fieldPosition="0"/>
    </format>
    <format dxfId="2">
      <pivotArea field="12" type="button" dataOnly="0" labelOnly="1" outline="0" axis="axisRow" fieldPosition="0"/>
    </format>
    <format dxfId="1">
      <pivotArea dataOnly="0" labelOnly="1" fieldPosition="0">
        <references count="1">
          <reference field="12" count="0"/>
        </references>
      </pivotArea>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gram" xr10:uid="{819C63DB-6A74-40DC-96BD-5E89E4F8AD55}" sourceName="Program">
  <pivotTables>
    <pivotTable tabId="12" name="PivotTable1"/>
  </pivotTables>
  <data>
    <tabular pivotCacheId="1885388732">
      <items count="44">
        <i x="30" s="1"/>
        <i x="7" s="1"/>
        <i x="35" s="1"/>
        <i x="36" s="1"/>
        <i x="3" s="1"/>
        <i x="4" s="1"/>
        <i x="42" s="1"/>
        <i x="1" s="1"/>
        <i x="5" s="1"/>
        <i x="40" s="1"/>
        <i x="28" s="1"/>
        <i x="18" s="1"/>
        <i x="27" s="1"/>
        <i x="39" s="1"/>
        <i x="24" s="1"/>
        <i x="12" s="1"/>
        <i x="19" s="1"/>
        <i x="20" s="1"/>
        <i x="11" s="1"/>
        <i x="9" s="1"/>
        <i x="13" s="1"/>
        <i x="33" s="1"/>
        <i x="32" s="1"/>
        <i x="26" s="1"/>
        <i x="2" s="1"/>
        <i x="38" s="1"/>
        <i x="31" s="1"/>
        <i x="6" s="1"/>
        <i x="8" s="1"/>
        <i x="25" s="1"/>
        <i x="15" s="1"/>
        <i x="41" s="1"/>
        <i x="37" s="1"/>
        <i x="10" s="1"/>
        <i x="17" s="1"/>
        <i x="29" s="1"/>
        <i x="22" s="1"/>
        <i x="16" s="1"/>
        <i x="21" s="1"/>
        <i x="0" s="1"/>
        <i x="23" s="1"/>
        <i x="14" s="1"/>
        <i x="34" s="1"/>
        <i x="4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fecycle" xr10:uid="{BFCF650D-539C-4970-89BC-36EEE3BB5AA0}" sourceName="Product Lifecycle">
  <pivotTables>
    <pivotTable tabId="12" name="PivotTable1"/>
  </pivotTables>
  <data>
    <tabular pivotCacheId="1885388732">
      <items count="9">
        <i x="0" s="1"/>
        <i x="1" s="1"/>
        <i x="2" s="1"/>
        <i x="3" s="1"/>
        <i x="4" s="1"/>
        <i x="5" s="1"/>
        <i x="6" s="1"/>
        <i x="7"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gram" xr10:uid="{F768D031-E1FD-47D2-A7EA-BE4052981916}" cache="Slicer_Program" caption="Program" rowHeight="241300"/>
  <slicer name="Product Lifecycle" xr10:uid="{92769E0B-38D6-41BC-BAEF-98AE2C430B02}" cache="Slicer_Product_Lifecycle" caption="Product Lifecycle"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4.emf"/><Relationship Id="rId2" Type="http://schemas.openxmlformats.org/officeDocument/2006/relationships/drawing" Target="../drawings/drawing2.xml"/><Relationship Id="rId16" Type="http://schemas.openxmlformats.org/officeDocument/2006/relationships/control" Target="../activeX/activeX7.xml"/><Relationship Id="rId29" Type="http://schemas.openxmlformats.org/officeDocument/2006/relationships/image" Target="../media/image15.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6.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9.emf"/><Relationship Id="rId40" Type="http://schemas.openxmlformats.org/officeDocument/2006/relationships/control" Target="../activeX/activeX19.xml"/><Relationship Id="rId45" Type="http://schemas.openxmlformats.org/officeDocument/2006/relationships/image" Target="../media/image23.emf"/><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4.emf"/><Relationship Id="rId30" Type="http://schemas.openxmlformats.org/officeDocument/2006/relationships/control" Target="../activeX/activeX14.xml"/><Relationship Id="rId35" Type="http://schemas.openxmlformats.org/officeDocument/2006/relationships/image" Target="../media/image18.emf"/><Relationship Id="rId43" Type="http://schemas.openxmlformats.org/officeDocument/2006/relationships/image" Target="../media/image22.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8.xml"/><Relationship Id="rId20" Type="http://schemas.openxmlformats.org/officeDocument/2006/relationships/control" Target="../activeX/activeX9.xml"/><Relationship Id="rId41" Type="http://schemas.openxmlformats.org/officeDocument/2006/relationships/image" Target="../media/image21.emf"/></Relationships>
</file>

<file path=xl/worksheets/_rels/sheet3.xml.rels><?xml version="1.0" encoding="UTF-8" standalone="yes"?>
<Relationships xmlns="http://schemas.openxmlformats.org/package/2006/relationships"><Relationship Id="rId117" Type="http://schemas.openxmlformats.org/officeDocument/2006/relationships/hyperlink" Target="https://www.extron.com/" TargetMode="External"/><Relationship Id="rId299" Type="http://schemas.openxmlformats.org/officeDocument/2006/relationships/hyperlink" Target="https://www.royalcircuits.com/" TargetMode="External"/><Relationship Id="rId21" Type="http://schemas.openxmlformats.org/officeDocument/2006/relationships/hyperlink" Target="https://www.aacc.org/" TargetMode="External"/><Relationship Id="rId63" Type="http://schemas.openxmlformats.org/officeDocument/2006/relationships/hyperlink" Target="https://grow.cleverbridge.com/" TargetMode="External"/><Relationship Id="rId159" Type="http://schemas.openxmlformats.org/officeDocument/2006/relationships/hyperlink" Target="https://www.trapp-ems.de/" TargetMode="External"/><Relationship Id="rId324" Type="http://schemas.openxmlformats.org/officeDocument/2006/relationships/hyperlink" Target="https://www.smalley.com/" TargetMode="External"/><Relationship Id="rId366" Type="http://schemas.openxmlformats.org/officeDocument/2006/relationships/hyperlink" Target="https://www.emeraldems.com/" TargetMode="External"/><Relationship Id="rId170" Type="http://schemas.openxmlformats.org/officeDocument/2006/relationships/hyperlink" Target="https://corporate.homedepot.com/" TargetMode="External"/><Relationship Id="rId226" Type="http://schemas.openxmlformats.org/officeDocument/2006/relationships/hyperlink" Target="https://www.nicomatic.com/" TargetMode="External"/><Relationship Id="rId268" Type="http://schemas.openxmlformats.org/officeDocument/2006/relationships/hyperlink" Target="https://www.protolabs.com/" TargetMode="External"/><Relationship Id="rId32" Type="http://schemas.openxmlformats.org/officeDocument/2006/relationships/hyperlink" Target="https://appliedmfg.com/" TargetMode="External"/><Relationship Id="rId74" Type="http://schemas.openxmlformats.org/officeDocument/2006/relationships/hyperlink" Target="https://www.ch2.net.au/" TargetMode="External"/><Relationship Id="rId128" Type="http://schemas.openxmlformats.org/officeDocument/2006/relationships/hyperlink" Target="https://www.fried.de/" TargetMode="External"/><Relationship Id="rId335" Type="http://schemas.openxmlformats.org/officeDocument/2006/relationships/hyperlink" Target="https://www.straconinc.com/" TargetMode="External"/><Relationship Id="rId377" Type="http://schemas.openxmlformats.org/officeDocument/2006/relationships/hyperlink" Target="https://www.will-mann.com/" TargetMode="External"/><Relationship Id="rId5" Type="http://schemas.openxmlformats.org/officeDocument/2006/relationships/hyperlink" Target="https://www.adaptas.com/" TargetMode="External"/><Relationship Id="rId181" Type="http://schemas.openxmlformats.org/officeDocument/2006/relationships/hyperlink" Target="https://www.kycon.com/" TargetMode="External"/><Relationship Id="rId237" Type="http://schemas.openxmlformats.org/officeDocument/2006/relationships/hyperlink" Target="https://www.onlinecomponents.com/" TargetMode="External"/><Relationship Id="rId402" Type="http://schemas.openxmlformats.org/officeDocument/2006/relationships/image" Target="../media/image34.emf"/><Relationship Id="rId279" Type="http://schemas.openxmlformats.org/officeDocument/2006/relationships/hyperlink" Target="https://qt9software.com/" TargetMode="External"/><Relationship Id="rId43" Type="http://schemas.openxmlformats.org/officeDocument/2006/relationships/hyperlink" Target="https://www.bbi-interiors.com/" TargetMode="External"/><Relationship Id="rId139" Type="http://schemas.openxmlformats.org/officeDocument/2006/relationships/hyperlink" Target="https://grandcanyonplastics.com/" TargetMode="External"/><Relationship Id="rId290" Type="http://schemas.openxmlformats.org/officeDocument/2006/relationships/hyperlink" Target="https://revcoproducts.com/" TargetMode="External"/><Relationship Id="rId304" Type="http://schemas.openxmlformats.org/officeDocument/2006/relationships/hyperlink" Target="https://www.sager.com/" TargetMode="External"/><Relationship Id="rId346" Type="http://schemas.openxmlformats.org/officeDocument/2006/relationships/hyperlink" Target="https://technetpartners.com/" TargetMode="External"/><Relationship Id="rId388" Type="http://schemas.openxmlformats.org/officeDocument/2006/relationships/hyperlink" Target="https://mki.com.au/" TargetMode="External"/><Relationship Id="rId85" Type="http://schemas.openxmlformats.org/officeDocument/2006/relationships/hyperlink" Target="https://www.creativesafetysupply.com/" TargetMode="External"/><Relationship Id="rId150" Type="http://schemas.openxmlformats.org/officeDocument/2006/relationships/hyperlink" Target="https://www.hisco.com/" TargetMode="External"/><Relationship Id="rId192" Type="http://schemas.openxmlformats.org/officeDocument/2006/relationships/hyperlink" Target="https://www.masterelectronics.com/en/" TargetMode="External"/><Relationship Id="rId206" Type="http://schemas.openxmlformats.org/officeDocument/2006/relationships/hyperlink" Target="https://minarismedical.com/" TargetMode="External"/><Relationship Id="rId248" Type="http://schemas.openxmlformats.org/officeDocument/2006/relationships/hyperlink" Target="https://www.parker.com/us/en/home.html" TargetMode="External"/><Relationship Id="rId12" Type="http://schemas.openxmlformats.org/officeDocument/2006/relationships/hyperlink" Target="https://www.allsealsinc.com/" TargetMode="External"/><Relationship Id="rId108" Type="http://schemas.openxmlformats.org/officeDocument/2006/relationships/hyperlink" Target="https://www.e-jpc.com/" TargetMode="External"/><Relationship Id="rId315" Type="http://schemas.openxmlformats.org/officeDocument/2006/relationships/hyperlink" Target="http://sz-cnc.com/" TargetMode="External"/><Relationship Id="rId357" Type="http://schemas.openxmlformats.org/officeDocument/2006/relationships/hyperlink" Target="http://www.tkr.co.jp/" TargetMode="External"/><Relationship Id="rId54" Type="http://schemas.openxmlformats.org/officeDocument/2006/relationships/hyperlink" Target="https://www.cdw.com/" TargetMode="External"/><Relationship Id="rId96" Type="http://schemas.openxmlformats.org/officeDocument/2006/relationships/hyperlink" Target="https://www.dell.com/" TargetMode="External"/><Relationship Id="rId161" Type="http://schemas.openxmlformats.org/officeDocument/2006/relationships/hyperlink" Target="https://ce.uci.edu/" TargetMode="External"/><Relationship Id="rId217" Type="http://schemas.openxmlformats.org/officeDocument/2006/relationships/hyperlink" Target="https://www.mountztorque.com/" TargetMode="External"/><Relationship Id="rId399" Type="http://schemas.openxmlformats.org/officeDocument/2006/relationships/control" Target="../activeX/activeX22.xml"/><Relationship Id="rId259" Type="http://schemas.openxmlformats.org/officeDocument/2006/relationships/hyperlink" Target="https://www.plastic-mart.com/" TargetMode="External"/><Relationship Id="rId23" Type="http://schemas.openxmlformats.org/officeDocument/2006/relationships/hyperlink" Target="http://www.amgear.com/index.html" TargetMode="External"/><Relationship Id="rId119" Type="http://schemas.openxmlformats.org/officeDocument/2006/relationships/hyperlink" Target="https://www.fiberopticsystems.com/" TargetMode="External"/><Relationship Id="rId270" Type="http://schemas.openxmlformats.org/officeDocument/2006/relationships/hyperlink" Target="https://www.ptouchdirect.com/" TargetMode="External"/><Relationship Id="rId326" Type="http://schemas.openxmlformats.org/officeDocument/2006/relationships/hyperlink" Target="https://www.soldermastersupply.com/" TargetMode="External"/><Relationship Id="rId65" Type="http://schemas.openxmlformats.org/officeDocument/2006/relationships/hyperlink" Target="https://www.cognex.com/en-au" TargetMode="External"/><Relationship Id="rId130" Type="http://schemas.openxmlformats.org/officeDocument/2006/relationships/hyperlink" Target="https://www.fujikuracomposites.jp/en/" TargetMode="External"/><Relationship Id="rId368" Type="http://schemas.openxmlformats.org/officeDocument/2006/relationships/hyperlink" Target="https://vizcommsignsandgraphics.com/" TargetMode="External"/><Relationship Id="rId172" Type="http://schemas.openxmlformats.org/officeDocument/2006/relationships/hyperlink" Target="https://www.jwwinco.com/" TargetMode="External"/><Relationship Id="rId228" Type="http://schemas.openxmlformats.org/officeDocument/2006/relationships/hyperlink" Target="https://norlandproducts.com/" TargetMode="External"/><Relationship Id="rId281" Type="http://schemas.openxmlformats.org/officeDocument/2006/relationships/hyperlink" Target="https://www.quadrangleproducts.com/" TargetMode="External"/><Relationship Id="rId337" Type="http://schemas.openxmlformats.org/officeDocument/2006/relationships/hyperlink" Target="https://www.streeterprinting.com/" TargetMode="External"/><Relationship Id="rId34" Type="http://schemas.openxmlformats.org/officeDocument/2006/relationships/hyperlink" Target="https://www.asraymond.com/" TargetMode="External"/><Relationship Id="rId76" Type="http://schemas.openxmlformats.org/officeDocument/2006/relationships/hyperlink" Target="https://celectronics.com/" TargetMode="External"/><Relationship Id="rId141" Type="http://schemas.openxmlformats.org/officeDocument/2006/relationships/hyperlink" Target="https://greenmonsterpest.com/" TargetMode="External"/><Relationship Id="rId379" Type="http://schemas.openxmlformats.org/officeDocument/2006/relationships/hyperlink" Target="https://westpakusa.com/" TargetMode="External"/><Relationship Id="rId7" Type="http://schemas.openxmlformats.org/officeDocument/2006/relationships/hyperlink" Target="https://www.atecorp.com/" TargetMode="External"/><Relationship Id="rId183" Type="http://schemas.openxmlformats.org/officeDocument/2006/relationships/hyperlink" Target="https://www.lesueurinc.com/" TargetMode="External"/><Relationship Id="rId239" Type="http://schemas.openxmlformats.org/officeDocument/2006/relationships/hyperlink" Target="https://opticon.com/" TargetMode="External"/><Relationship Id="rId390" Type="http://schemas.openxmlformats.org/officeDocument/2006/relationships/hyperlink" Target="https://www.boydcorp.com/" TargetMode="External"/><Relationship Id="rId250" Type="http://schemas.openxmlformats.org/officeDocument/2006/relationships/hyperlink" Target="https://www.patlite.com/" TargetMode="External"/><Relationship Id="rId292" Type="http://schemas.openxmlformats.org/officeDocument/2006/relationships/hyperlink" Target="https://www.ipc.org/" TargetMode="External"/><Relationship Id="rId306" Type="http://schemas.openxmlformats.org/officeDocument/2006/relationships/hyperlink" Target="https://www.sddiecutting.com/" TargetMode="External"/><Relationship Id="rId45" Type="http://schemas.openxmlformats.org/officeDocument/2006/relationships/hyperlink" Target="https://www.bit-group.com/" TargetMode="External"/><Relationship Id="rId87" Type="http://schemas.openxmlformats.org/officeDocument/2006/relationships/hyperlink" Target="https://www.crosslinkpaints.com/" TargetMode="External"/><Relationship Id="rId110" Type="http://schemas.openxmlformats.org/officeDocument/2006/relationships/hyperlink" Target="https://www.empiregroupusa.com/" TargetMode="External"/><Relationship Id="rId348" Type="http://schemas.openxmlformats.org/officeDocument/2006/relationships/hyperlink" Target="https://www.techni-tool.com/" TargetMode="External"/><Relationship Id="rId152" Type="http://schemas.openxmlformats.org/officeDocument/2006/relationships/hyperlink" Target="https://www.hiwin.com/" TargetMode="External"/><Relationship Id="rId194" Type="http://schemas.openxmlformats.org/officeDocument/2006/relationships/hyperlink" Target="https://www.matterhackers.com/" TargetMode="External"/><Relationship Id="rId208" Type="http://schemas.openxmlformats.org/officeDocument/2006/relationships/hyperlink" Target="https://www.minitubes.com/" TargetMode="External"/><Relationship Id="rId261" Type="http://schemas.openxmlformats.org/officeDocument/2006/relationships/hyperlink" Target="https://www.pneulinesupply.com/" TargetMode="External"/><Relationship Id="rId14" Type="http://schemas.openxmlformats.org/officeDocument/2006/relationships/hyperlink" Target="https://www.alliancerapid.com/" TargetMode="External"/><Relationship Id="rId56" Type="http://schemas.openxmlformats.org/officeDocument/2006/relationships/hyperlink" Target="https://wholesale.purewellness.com.au/" TargetMode="External"/><Relationship Id="rId317" Type="http://schemas.openxmlformats.org/officeDocument/2006/relationships/hyperlink" Target="http://en.szyoursun.com/" TargetMode="External"/><Relationship Id="rId359" Type="http://schemas.openxmlformats.org/officeDocument/2006/relationships/hyperlink" Target="https://www.ul.com/" TargetMode="External"/><Relationship Id="rId98" Type="http://schemas.openxmlformats.org/officeDocument/2006/relationships/hyperlink" Target="https://www.densitron.com/" TargetMode="External"/><Relationship Id="rId121" Type="http://schemas.openxmlformats.org/officeDocument/2006/relationships/hyperlink" Target="https://www.thermofisher.com/" TargetMode="External"/><Relationship Id="rId163" Type="http://schemas.openxmlformats.org/officeDocument/2006/relationships/hyperlink" Target="https://www.uline.com/" TargetMode="External"/><Relationship Id="rId219" Type="http://schemas.openxmlformats.org/officeDocument/2006/relationships/hyperlink" Target="https://www.murata.com/en-us" TargetMode="External"/><Relationship Id="rId370" Type="http://schemas.openxmlformats.org/officeDocument/2006/relationships/hyperlink" Target="https://www.vortexdoors.com/" TargetMode="External"/><Relationship Id="rId230" Type="http://schemas.openxmlformats.org/officeDocument/2006/relationships/hyperlink" Target="https://oceancontrols.com.au/" TargetMode="External"/><Relationship Id="rId25" Type="http://schemas.openxmlformats.org/officeDocument/2006/relationships/hyperlink" Target="https://amsde.com/en" TargetMode="External"/><Relationship Id="rId67" Type="http://schemas.openxmlformats.org/officeDocument/2006/relationships/hyperlink" Target="https://www.agenabio.com/" TargetMode="External"/><Relationship Id="rId272" Type="http://schemas.openxmlformats.org/officeDocument/2006/relationships/hyperlink" Target="https://www.pwb-encoders.com/" TargetMode="External"/><Relationship Id="rId328" Type="http://schemas.openxmlformats.org/officeDocument/2006/relationships/hyperlink" Target="https://spectrofilm.com/" TargetMode="External"/><Relationship Id="rId132" Type="http://schemas.openxmlformats.org/officeDocument/2006/relationships/hyperlink" Target="https://www.gelmec.co.uk/" TargetMode="External"/><Relationship Id="rId174" Type="http://schemas.openxmlformats.org/officeDocument/2006/relationships/hyperlink" Target="https://www.jeiotech.com/" TargetMode="External"/><Relationship Id="rId381" Type="http://schemas.openxmlformats.org/officeDocument/2006/relationships/hyperlink" Target="http://www.western-sign.com/" TargetMode="External"/><Relationship Id="rId241" Type="http://schemas.openxmlformats.org/officeDocument/2006/relationships/hyperlink" Target="https://www.orientalmotor.com/" TargetMode="External"/><Relationship Id="rId36" Type="http://schemas.openxmlformats.org/officeDocument/2006/relationships/hyperlink" Target="https://www.audaxgroup.com/" TargetMode="External"/><Relationship Id="rId283" Type="http://schemas.openxmlformats.org/officeDocument/2006/relationships/hyperlink" Target="https://www.springmanufacturer.com/" TargetMode="External"/><Relationship Id="rId339" Type="http://schemas.openxmlformats.org/officeDocument/2006/relationships/hyperlink" Target="https://superiorspring.com/" TargetMode="External"/><Relationship Id="rId78" Type="http://schemas.openxmlformats.org/officeDocument/2006/relationships/hyperlink" Target="https://concisys.com/" TargetMode="External"/><Relationship Id="rId101" Type="http://schemas.openxmlformats.org/officeDocument/2006/relationships/hyperlink" Target="https://dingsmotionusa.com/" TargetMode="External"/><Relationship Id="rId143" Type="http://schemas.openxmlformats.org/officeDocument/2006/relationships/hyperlink" Target="https://he-equipment.com/" TargetMode="External"/><Relationship Id="rId185" Type="http://schemas.openxmlformats.org/officeDocument/2006/relationships/hyperlink" Target="https://www.linengineering.com/" TargetMode="External"/><Relationship Id="rId350" Type="http://schemas.openxmlformats.org/officeDocument/2006/relationships/hyperlink" Target="https://temperature.com.au/" TargetMode="External"/><Relationship Id="rId9" Type="http://schemas.openxmlformats.org/officeDocument/2006/relationships/hyperlink" Target="https://www.aeri.com/" TargetMode="External"/><Relationship Id="rId210" Type="http://schemas.openxmlformats.org/officeDocument/2006/relationships/hyperlink" Target="https://sg.misumi-ec.com/" TargetMode="External"/><Relationship Id="rId392" Type="http://schemas.openxmlformats.org/officeDocument/2006/relationships/hyperlink" Target="https://www.tricontinent.com/" TargetMode="External"/><Relationship Id="rId252" Type="http://schemas.openxmlformats.org/officeDocument/2006/relationships/hyperlink" Target="https://penske.com.au/" TargetMode="External"/><Relationship Id="rId294" Type="http://schemas.openxmlformats.org/officeDocument/2006/relationships/hyperlink" Target="https://www.linkedin.com/company/maintenance-technology-llc/about/" TargetMode="External"/><Relationship Id="rId308" Type="http://schemas.openxmlformats.org/officeDocument/2006/relationships/hyperlink" Target="https://www.schott.com/en-au" TargetMode="External"/><Relationship Id="rId47" Type="http://schemas.openxmlformats.org/officeDocument/2006/relationships/hyperlink" Target="http://www.boardsharkpcb.com/index.cfm" TargetMode="External"/><Relationship Id="rId89" Type="http://schemas.openxmlformats.org/officeDocument/2006/relationships/hyperlink" Target="https://www.culligan.com/" TargetMode="External"/><Relationship Id="rId112" Type="http://schemas.openxmlformats.org/officeDocument/2006/relationships/hyperlink" Target="https://www.eptac.com/" TargetMode="External"/><Relationship Id="rId154" Type="http://schemas.openxmlformats.org/officeDocument/2006/relationships/hyperlink" Target="http://www.thermotex.at/" TargetMode="External"/><Relationship Id="rId361" Type="http://schemas.openxmlformats.org/officeDocument/2006/relationships/hyperlink" Target="https://www.utmel.com/" TargetMode="External"/><Relationship Id="rId196" Type="http://schemas.openxmlformats.org/officeDocument/2006/relationships/hyperlink" Target="https://www.maxongroup.com/" TargetMode="External"/><Relationship Id="rId16" Type="http://schemas.openxmlformats.org/officeDocument/2006/relationships/hyperlink" Target="http://www.allspecfasteners.com/" TargetMode="External"/><Relationship Id="rId221" Type="http://schemas.openxmlformats.org/officeDocument/2006/relationships/hyperlink" Target="https://www.nationalelectricworks.com/" TargetMode="External"/><Relationship Id="rId263" Type="http://schemas.openxmlformats.org/officeDocument/2006/relationships/hyperlink" Target="https://www.gasworld.com/" TargetMode="External"/><Relationship Id="rId319" Type="http://schemas.openxmlformats.org/officeDocument/2006/relationships/hyperlink" Target="https://www.signspecialists.com/" TargetMode="External"/><Relationship Id="rId58" Type="http://schemas.openxmlformats.org/officeDocument/2006/relationships/hyperlink" Target="http://www.chaversgasket.com/index.htm" TargetMode="External"/><Relationship Id="rId123" Type="http://schemas.openxmlformats.org/officeDocument/2006/relationships/hyperlink" Target="https://foammolders.com/" TargetMode="External"/><Relationship Id="rId330" Type="http://schemas.openxmlformats.org/officeDocument/2006/relationships/hyperlink" Target="https://sstsensing.com/" TargetMode="External"/><Relationship Id="rId90" Type="http://schemas.openxmlformats.org/officeDocument/2006/relationships/hyperlink" Target="https://www.idexot.com/onlinecatalog/" TargetMode="External"/><Relationship Id="rId165" Type="http://schemas.openxmlformats.org/officeDocument/2006/relationships/hyperlink" Target="https://www.ultrasonicadvisors.com/" TargetMode="External"/><Relationship Id="rId186" Type="http://schemas.openxmlformats.org/officeDocument/2006/relationships/hyperlink" Target="https://www.littelfuse.com/" TargetMode="External"/><Relationship Id="rId351" Type="http://schemas.openxmlformats.org/officeDocument/2006/relationships/hyperlink" Target="https://www.testequity.com/" TargetMode="External"/><Relationship Id="rId372" Type="http://schemas.openxmlformats.org/officeDocument/2006/relationships/hyperlink" Target="https://www.vyrian.com/" TargetMode="External"/><Relationship Id="rId393" Type="http://schemas.openxmlformats.org/officeDocument/2006/relationships/hyperlink" Target="https://www.carlisleit.com/" TargetMode="External"/><Relationship Id="rId211" Type="http://schemas.openxmlformats.org/officeDocument/2006/relationships/hyperlink" Target="https://www.mkfluidicsystems.com/" TargetMode="External"/><Relationship Id="rId232" Type="http://schemas.openxmlformats.org/officeDocument/2006/relationships/hyperlink" Target="https://www.officialusa.com/" TargetMode="External"/><Relationship Id="rId253" Type="http://schemas.openxmlformats.org/officeDocument/2006/relationships/hyperlink" Target="https://performancetestinglabs.com/" TargetMode="External"/><Relationship Id="rId274" Type="http://schemas.openxmlformats.org/officeDocument/2006/relationships/hyperlink" Target="https://www.pyzdekinstitute.com/" TargetMode="External"/><Relationship Id="rId295" Type="http://schemas.openxmlformats.org/officeDocument/2006/relationships/hyperlink" Target="https://www.radarenvironmental.com/" TargetMode="External"/><Relationship Id="rId309" Type="http://schemas.openxmlformats.org/officeDocument/2006/relationships/hyperlink" Target="https://snco.com/" TargetMode="External"/><Relationship Id="rId27" Type="http://schemas.openxmlformats.org/officeDocument/2006/relationships/hyperlink" Target="https://www.azom.com/" TargetMode="External"/><Relationship Id="rId48" Type="http://schemas.openxmlformats.org/officeDocument/2006/relationships/hyperlink" Target="https://www.bocabearings.com/" TargetMode="External"/><Relationship Id="rId69" Type="http://schemas.openxmlformats.org/officeDocument/2006/relationships/hyperlink" Target="https://us.rs-online.com/" TargetMode="External"/><Relationship Id="rId113" Type="http://schemas.openxmlformats.org/officeDocument/2006/relationships/hyperlink" Target="https://www.escmid.org/" TargetMode="External"/><Relationship Id="rId134" Type="http://schemas.openxmlformats.org/officeDocument/2006/relationships/hyperlink" Target="https://www.gentherm.com/" TargetMode="External"/><Relationship Id="rId320" Type="http://schemas.openxmlformats.org/officeDocument/2006/relationships/hyperlink" Target="https://signarama.com/" TargetMode="External"/><Relationship Id="rId80" Type="http://schemas.openxmlformats.org/officeDocument/2006/relationships/hyperlink" Target="https://coolinnovations.com/" TargetMode="External"/><Relationship Id="rId155" Type="http://schemas.openxmlformats.org/officeDocument/2006/relationships/hyperlink" Target="https://www.hycorbiomedical.com/" TargetMode="External"/><Relationship Id="rId176" Type="http://schemas.openxmlformats.org/officeDocument/2006/relationships/hyperlink" Target="https://krayden.com/" TargetMode="External"/><Relationship Id="rId197" Type="http://schemas.openxmlformats.org/officeDocument/2006/relationships/hyperlink" Target="https://www.mcmaster.com/" TargetMode="External"/><Relationship Id="rId341" Type="http://schemas.openxmlformats.org/officeDocument/2006/relationships/hyperlink" Target="http://szdelong.sn-led.com/" TargetMode="External"/><Relationship Id="rId362" Type="http://schemas.openxmlformats.org/officeDocument/2006/relationships/hyperlink" Target="https://www.nordsonmedical.com/" TargetMode="External"/><Relationship Id="rId383" Type="http://schemas.openxmlformats.org/officeDocument/2006/relationships/hyperlink" Target="https://wav1.com/" TargetMode="External"/><Relationship Id="rId201" Type="http://schemas.openxmlformats.org/officeDocument/2006/relationships/hyperlink" Target="https://www.meridianbioscience.com/" TargetMode="External"/><Relationship Id="rId222" Type="http://schemas.openxmlformats.org/officeDocument/2006/relationships/hyperlink" Target="https://nphheaters.com/" TargetMode="External"/><Relationship Id="rId243" Type="http://schemas.openxmlformats.org/officeDocument/2006/relationships/hyperlink" Target="https://www.prmech.com/" TargetMode="External"/><Relationship Id="rId264" Type="http://schemas.openxmlformats.org/officeDocument/2006/relationships/hyperlink" Target="https://precisionet.com/" TargetMode="External"/><Relationship Id="rId285" Type="http://schemas.openxmlformats.org/officeDocument/2006/relationships/hyperlink" Target="https://reell.com/" TargetMode="External"/><Relationship Id="rId17" Type="http://schemas.openxmlformats.org/officeDocument/2006/relationships/hyperlink" Target="https://www.alphadiecut.com/" TargetMode="External"/><Relationship Id="rId38" Type="http://schemas.openxmlformats.org/officeDocument/2006/relationships/hyperlink" Target="https://baldyelectric.com/" TargetMode="External"/><Relationship Id="rId59" Type="http://schemas.openxmlformats.org/officeDocument/2006/relationships/hyperlink" Target="https://www.chroma.com/" TargetMode="External"/><Relationship Id="rId103" Type="http://schemas.openxmlformats.org/officeDocument/2006/relationships/hyperlink" Target="https://www.docusign.com/" TargetMode="External"/><Relationship Id="rId124" Type="http://schemas.openxmlformats.org/officeDocument/2006/relationships/hyperlink" Target="https://www.foreinnovations.com/" TargetMode="External"/><Relationship Id="rId310" Type="http://schemas.openxmlformats.org/officeDocument/2006/relationships/hyperlink" Target="https://www.seastrom-mfg.com/" TargetMode="External"/><Relationship Id="rId70" Type="http://schemas.openxmlformats.org/officeDocument/2006/relationships/hyperlink" Target="https://www.astbearings.com/" TargetMode="External"/><Relationship Id="rId91" Type="http://schemas.openxmlformats.org/officeDocument/2006/relationships/hyperlink" Target="https://estore.heilindasia.com/" TargetMode="External"/><Relationship Id="rId145" Type="http://schemas.openxmlformats.org/officeDocument/2006/relationships/hyperlink" Target="https://rps-sonic.en.made-in-china.com/" TargetMode="External"/><Relationship Id="rId166" Type="http://schemas.openxmlformats.org/officeDocument/2006/relationships/hyperlink" Target="https://www.unitydigitalinfra.com/" TargetMode="External"/><Relationship Id="rId187" Type="http://schemas.openxmlformats.org/officeDocument/2006/relationships/hyperlink" Target="https://lpadesignstudios.com/" TargetMode="External"/><Relationship Id="rId331" Type="http://schemas.openxmlformats.org/officeDocument/2006/relationships/hyperlink" Target="https://www.stamp-connection.com/" TargetMode="External"/><Relationship Id="rId352" Type="http://schemas.openxmlformats.org/officeDocument/2006/relationships/hyperlink" Target="https://www.thermoelectricdevices.co.uk/" TargetMode="External"/><Relationship Id="rId373" Type="http://schemas.openxmlformats.org/officeDocument/2006/relationships/hyperlink" Target="https://corporate.walmart.com/" TargetMode="External"/><Relationship Id="rId394" Type="http://schemas.openxmlformats.org/officeDocument/2006/relationships/hyperlink" Target="https://www.heater-elements.com/" TargetMode="External"/><Relationship Id="rId1" Type="http://schemas.openxmlformats.org/officeDocument/2006/relationships/hyperlink" Target="https://able123converting.com/" TargetMode="External"/><Relationship Id="rId212" Type="http://schemas.openxmlformats.org/officeDocument/2006/relationships/hyperlink" Target="https://www.mobilemini.com/" TargetMode="External"/><Relationship Id="rId233" Type="http://schemas.openxmlformats.org/officeDocument/2006/relationships/hyperlink" Target="https://www.omega.com/en-us/" TargetMode="External"/><Relationship Id="rId254" Type="http://schemas.openxmlformats.org/officeDocument/2006/relationships/hyperlink" Target="https://pharmequip.com.au/" TargetMode="External"/><Relationship Id="rId28" Type="http://schemas.openxmlformats.org/officeDocument/2006/relationships/hyperlink" Target="https://apexfasteners.com/fasteners/" TargetMode="External"/><Relationship Id="rId49" Type="http://schemas.openxmlformats.org/officeDocument/2006/relationships/hyperlink" Target="https://www.bradyid.com/" TargetMode="External"/><Relationship Id="rId114" Type="http://schemas.openxmlformats.org/officeDocument/2006/relationships/hyperlink" Target="https://www.essentracomponents.com/en-au" TargetMode="External"/><Relationship Id="rId275" Type="http://schemas.openxmlformats.org/officeDocument/2006/relationships/hyperlink" Target="https://www.qnap.com/" TargetMode="External"/><Relationship Id="rId296" Type="http://schemas.openxmlformats.org/officeDocument/2006/relationships/hyperlink" Target="http://www.rollercoat.com/" TargetMode="External"/><Relationship Id="rId300" Type="http://schemas.openxmlformats.org/officeDocument/2006/relationships/hyperlink" Target="https://www.royaldistributorsinc.com/" TargetMode="External"/><Relationship Id="rId60" Type="http://schemas.openxmlformats.org/officeDocument/2006/relationships/hyperlink" Target="https://www.cintas.com/" TargetMode="External"/><Relationship Id="rId81" Type="http://schemas.openxmlformats.org/officeDocument/2006/relationships/hyperlink" Target="https://www.coscofire.com/" TargetMode="External"/><Relationship Id="rId135" Type="http://schemas.openxmlformats.org/officeDocument/2006/relationships/hyperlink" Target="https://www.thgeyer.com/" TargetMode="External"/><Relationship Id="rId156" Type="http://schemas.openxmlformats.org/officeDocument/2006/relationships/hyperlink" Target="https://ibsmagnet.com/" TargetMode="External"/><Relationship Id="rId177" Type="http://schemas.openxmlformats.org/officeDocument/2006/relationships/hyperlink" Target="https://kaman.com/" TargetMode="External"/><Relationship Id="rId198" Type="http://schemas.openxmlformats.org/officeDocument/2006/relationships/hyperlink" Target="https://www.mcnaughtans.com.au/" TargetMode="External"/><Relationship Id="rId321" Type="http://schemas.openxmlformats.org/officeDocument/2006/relationships/hyperlink" Target="https://signinapp.com/en-au/" TargetMode="External"/><Relationship Id="rId342" Type="http://schemas.openxmlformats.org/officeDocument/2006/relationships/hyperlink" Target="https://www.basstor.com/about-us" TargetMode="External"/><Relationship Id="rId363" Type="http://schemas.openxmlformats.org/officeDocument/2006/relationships/hyperlink" Target="https://valuemander.com/" TargetMode="External"/><Relationship Id="rId384" Type="http://schemas.openxmlformats.org/officeDocument/2006/relationships/hyperlink" Target="https://enviroserve.com/" TargetMode="External"/><Relationship Id="rId202" Type="http://schemas.openxmlformats.org/officeDocument/2006/relationships/hyperlink" Target="https://cn-en.messer-cutting.com/" TargetMode="External"/><Relationship Id="rId223" Type="http://schemas.openxmlformats.org/officeDocument/2006/relationships/hyperlink" Target="https://nelson-miller.com/" TargetMode="External"/><Relationship Id="rId244" Type="http://schemas.openxmlformats.org/officeDocument/2006/relationships/hyperlink" Target="https://na.industrial.panasonic.com/" TargetMode="External"/><Relationship Id="rId18" Type="http://schemas.openxmlformats.org/officeDocument/2006/relationships/hyperlink" Target="https://www.alphaomegaswiss.com/" TargetMode="External"/><Relationship Id="rId39" Type="http://schemas.openxmlformats.org/officeDocument/2006/relationships/hyperlink" Target="https://knf.com/en/au" TargetMode="External"/><Relationship Id="rId265" Type="http://schemas.openxmlformats.org/officeDocument/2006/relationships/hyperlink" Target="https://www.protorquetools.com/" TargetMode="External"/><Relationship Id="rId286" Type="http://schemas.openxmlformats.org/officeDocument/2006/relationships/hyperlink" Target="https://www.reflexpackaging.com/" TargetMode="External"/><Relationship Id="rId50" Type="http://schemas.openxmlformats.org/officeDocument/2006/relationships/hyperlink" Target="https://www.emerson.com/" TargetMode="External"/><Relationship Id="rId104" Type="http://schemas.openxmlformats.org/officeDocument/2006/relationships/hyperlink" Target="https://www.drewscientific.com/" TargetMode="External"/><Relationship Id="rId125" Type="http://schemas.openxmlformats.org/officeDocument/2006/relationships/hyperlink" Target="https://www.forecast3d.com/" TargetMode="External"/><Relationship Id="rId146" Type="http://schemas.openxmlformats.org/officeDocument/2006/relationships/hyperlink" Target="https://hawkridgesys.com/" TargetMode="External"/><Relationship Id="rId167" Type="http://schemas.openxmlformats.org/officeDocument/2006/relationships/hyperlink" Target="https://www.uqgoptics.com/" TargetMode="External"/><Relationship Id="rId188" Type="http://schemas.openxmlformats.org/officeDocument/2006/relationships/hyperlink" Target="https://www.ltlg.us/" TargetMode="External"/><Relationship Id="rId311" Type="http://schemas.openxmlformats.org/officeDocument/2006/relationships/hyperlink" Target="https://www.seform.com.tw/" TargetMode="External"/><Relationship Id="rId332" Type="http://schemas.openxmlformats.org/officeDocument/2006/relationships/hyperlink" Target="https://www.securitastechnology.com/" TargetMode="External"/><Relationship Id="rId353" Type="http://schemas.openxmlformats.org/officeDocument/2006/relationships/hyperlink" Target="https://www.fishersci.com/" TargetMode="External"/><Relationship Id="rId374" Type="http://schemas.openxmlformats.org/officeDocument/2006/relationships/hyperlink" Target="https://www.zabel-technik.de/" TargetMode="External"/><Relationship Id="rId395" Type="http://schemas.openxmlformats.org/officeDocument/2006/relationships/hyperlink" Target="https://formero.com.au/" TargetMode="External"/><Relationship Id="rId71" Type="http://schemas.openxmlformats.org/officeDocument/2006/relationships/hyperlink" Target="https://www.belfuse.com/" TargetMode="External"/><Relationship Id="rId92" Type="http://schemas.openxmlformats.org/officeDocument/2006/relationships/hyperlink" Target="http://www.dansmachinetoolinc.com/index.html" TargetMode="External"/><Relationship Id="rId213" Type="http://schemas.openxmlformats.org/officeDocument/2006/relationships/hyperlink" Target="https://mocap.com/" TargetMode="External"/><Relationship Id="rId234" Type="http://schemas.openxmlformats.org/officeDocument/2006/relationships/hyperlink" Target="https://www.omega-optical.com/" TargetMode="External"/><Relationship Id="rId2" Type="http://schemas.openxmlformats.org/officeDocument/2006/relationships/hyperlink" Target="http://www.acclaimelectronics.com/" TargetMode="External"/><Relationship Id="rId29" Type="http://schemas.openxmlformats.org/officeDocument/2006/relationships/hyperlink" Target="https://apexfiresys.com/" TargetMode="External"/><Relationship Id="rId255" Type="http://schemas.openxmlformats.org/officeDocument/2006/relationships/hyperlink" Target="https://www.phoenixthermalsupply.com/" TargetMode="External"/><Relationship Id="rId276" Type="http://schemas.openxmlformats.org/officeDocument/2006/relationships/hyperlink" Target="https://www.qorvo.com/" TargetMode="External"/><Relationship Id="rId297" Type="http://schemas.openxmlformats.org/officeDocument/2006/relationships/hyperlink" Target="https://romynox.nl/" TargetMode="External"/><Relationship Id="rId40" Type="http://schemas.openxmlformats.org/officeDocument/2006/relationships/hyperlink" Target="https://bandakpm.com/" TargetMode="External"/><Relationship Id="rId115" Type="http://schemas.openxmlformats.org/officeDocument/2006/relationships/hyperlink" Target="https://www.excelitas.com/" TargetMode="External"/><Relationship Id="rId136" Type="http://schemas.openxmlformats.org/officeDocument/2006/relationships/hyperlink" Target="https://www.gibraltarplastic.com/" TargetMode="External"/><Relationship Id="rId157" Type="http://schemas.openxmlformats.org/officeDocument/2006/relationships/hyperlink" Target="https://www.ichaus.de/" TargetMode="External"/><Relationship Id="rId178" Type="http://schemas.openxmlformats.org/officeDocument/2006/relationships/hyperlink" Target="https://www.kingcompaniesusa.com/" TargetMode="External"/><Relationship Id="rId301" Type="http://schemas.openxmlformats.org/officeDocument/2006/relationships/hyperlink" Target="https://snlabs.com/" TargetMode="External"/><Relationship Id="rId322" Type="http://schemas.openxmlformats.org/officeDocument/2006/relationships/hyperlink" Target="https://simbol.ca/" TargetMode="External"/><Relationship Id="rId343" Type="http://schemas.openxmlformats.org/officeDocument/2006/relationships/hyperlink" Target="https://www.tawelectronics.com/" TargetMode="External"/><Relationship Id="rId364" Type="http://schemas.openxmlformats.org/officeDocument/2006/relationships/hyperlink" Target="https://www.vem-tooling.com/" TargetMode="External"/><Relationship Id="rId61" Type="http://schemas.openxmlformats.org/officeDocument/2006/relationships/hyperlink" Target="https://cirris.com/" TargetMode="External"/><Relationship Id="rId82" Type="http://schemas.openxmlformats.org/officeDocument/2006/relationships/hyperlink" Target="https://www.cospheric.com/" TargetMode="External"/><Relationship Id="rId199" Type="http://schemas.openxmlformats.org/officeDocument/2006/relationships/hyperlink" Target="https://www.nationalprecision.com/" TargetMode="External"/><Relationship Id="rId203" Type="http://schemas.openxmlformats.org/officeDocument/2006/relationships/hyperlink" Target="https://metalfabsi.com/" TargetMode="External"/><Relationship Id="rId385" Type="http://schemas.openxmlformats.org/officeDocument/2006/relationships/hyperlink" Target="https://www.totaltools.com.au/" TargetMode="External"/><Relationship Id="rId19" Type="http://schemas.openxmlformats.org/officeDocument/2006/relationships/hyperlink" Target="https://alpinebearing.com/" TargetMode="External"/><Relationship Id="rId224" Type="http://schemas.openxmlformats.org/officeDocument/2006/relationships/hyperlink" Target="https://www.networktigers.com/" TargetMode="External"/><Relationship Id="rId245" Type="http://schemas.openxmlformats.org/officeDocument/2006/relationships/hyperlink" Target="https://panicplastics.com/" TargetMode="External"/><Relationship Id="rId266" Type="http://schemas.openxmlformats.org/officeDocument/2006/relationships/hyperlink" Target="https://www.professionalplastics.com/" TargetMode="External"/><Relationship Id="rId287" Type="http://schemas.openxmlformats.org/officeDocument/2006/relationships/hyperlink" Target="https://www.reliance.co.uk/" TargetMode="External"/><Relationship Id="rId30" Type="http://schemas.openxmlformats.org/officeDocument/2006/relationships/hyperlink" Target="https://www.apollodisplays.com/" TargetMode="External"/><Relationship Id="rId105" Type="http://schemas.openxmlformats.org/officeDocument/2006/relationships/hyperlink" Target="https://dynatect.com/" TargetMode="External"/><Relationship Id="rId126" Type="http://schemas.openxmlformats.org/officeDocument/2006/relationships/hyperlink" Target="https://formaspace.com/" TargetMode="External"/><Relationship Id="rId147" Type="http://schemas.openxmlformats.org/officeDocument/2006/relationships/hyperlink" Target="https://www.henrymachine.com/" TargetMode="External"/><Relationship Id="rId168" Type="http://schemas.openxmlformats.org/officeDocument/2006/relationships/hyperlink" Target="https://www.uscalibration.com/" TargetMode="External"/><Relationship Id="rId312" Type="http://schemas.openxmlformats.org/officeDocument/2006/relationships/hyperlink" Target="https://www.semisourceinc.com/" TargetMode="External"/><Relationship Id="rId333" Type="http://schemas.openxmlformats.org/officeDocument/2006/relationships/hyperlink" Target="https://www.stevenlabel.com/" TargetMode="External"/><Relationship Id="rId354" Type="http://schemas.openxmlformats.org/officeDocument/2006/relationships/hyperlink" Target="https://www.thermtrol.com/" TargetMode="External"/><Relationship Id="rId51" Type="http://schemas.openxmlformats.org/officeDocument/2006/relationships/hyperlink" Target="https://brownpackaging.com/" TargetMode="External"/><Relationship Id="rId72" Type="http://schemas.openxmlformats.org/officeDocument/2006/relationships/hyperlink" Target="https://benchdepot.com/" TargetMode="External"/><Relationship Id="rId93" Type="http://schemas.openxmlformats.org/officeDocument/2006/relationships/hyperlink" Target="https://www.daturaconsulting.com/" TargetMode="External"/><Relationship Id="rId189" Type="http://schemas.openxmlformats.org/officeDocument/2006/relationships/hyperlink" Target="https://mki.com.au/" TargetMode="External"/><Relationship Id="rId375" Type="http://schemas.openxmlformats.org/officeDocument/2006/relationships/hyperlink" Target="https://www.xppower.com/" TargetMode="External"/><Relationship Id="rId396" Type="http://schemas.openxmlformats.org/officeDocument/2006/relationships/printerSettings" Target="../printerSettings/printerSettings3.bin"/><Relationship Id="rId3" Type="http://schemas.openxmlformats.org/officeDocument/2006/relationships/hyperlink" Target="https://www.acitechnology.com/" TargetMode="External"/><Relationship Id="rId214" Type="http://schemas.openxmlformats.org/officeDocument/2006/relationships/hyperlink" Target="https://www.modernindesigns.com/" TargetMode="External"/><Relationship Id="rId235" Type="http://schemas.openxmlformats.org/officeDocument/2006/relationships/hyperlink" Target="https://www.omicronenergy.com/en/" TargetMode="External"/><Relationship Id="rId256" Type="http://schemas.openxmlformats.org/officeDocument/2006/relationships/hyperlink" Target="https://photochemicalsystems.com/" TargetMode="External"/><Relationship Id="rId277" Type="http://schemas.openxmlformats.org/officeDocument/2006/relationships/hyperlink" Target="https://www.qorvo.com/" TargetMode="External"/><Relationship Id="rId298" Type="http://schemas.openxmlformats.org/officeDocument/2006/relationships/hyperlink" Target="https://rooterhero.com/" TargetMode="External"/><Relationship Id="rId400" Type="http://schemas.openxmlformats.org/officeDocument/2006/relationships/image" Target="../media/image33.emf"/><Relationship Id="rId116" Type="http://schemas.openxmlformats.org/officeDocument/2006/relationships/hyperlink" Target="https://www.excelta.com/" TargetMode="External"/><Relationship Id="rId137" Type="http://schemas.openxmlformats.org/officeDocument/2006/relationships/hyperlink" Target="https://www.globaloring.com/" TargetMode="External"/><Relationship Id="rId158" Type="http://schemas.openxmlformats.org/officeDocument/2006/relationships/hyperlink" Target="https://www.intemag.com/" TargetMode="External"/><Relationship Id="rId302" Type="http://schemas.openxmlformats.org/officeDocument/2006/relationships/hyperlink" Target="https://www.safetylabelsolutions.com/" TargetMode="External"/><Relationship Id="rId323" Type="http://schemas.openxmlformats.org/officeDocument/2006/relationships/hyperlink" Target="https://slpower.com/" TargetMode="External"/><Relationship Id="rId344" Type="http://schemas.openxmlformats.org/officeDocument/2006/relationships/hyperlink" Target="https://www.teequipment.com/" TargetMode="External"/><Relationship Id="rId20" Type="http://schemas.openxmlformats.org/officeDocument/2006/relationships/hyperlink" Target="https://www.altium.com/" TargetMode="External"/><Relationship Id="rId41" Type="http://schemas.openxmlformats.org/officeDocument/2006/relationships/hyperlink" Target="https://www.barcodesinc.com/" TargetMode="External"/><Relationship Id="rId62" Type="http://schemas.openxmlformats.org/officeDocument/2006/relationships/hyperlink" Target="https://claytoncontrols.com/" TargetMode="External"/><Relationship Id="rId83" Type="http://schemas.openxmlformats.org/officeDocument/2006/relationships/hyperlink" Target="https://www.costcobusinessdelivery.com/" TargetMode="External"/><Relationship Id="rId179" Type="http://schemas.openxmlformats.org/officeDocument/2006/relationships/hyperlink" Target="https://koolance.com/" TargetMode="External"/><Relationship Id="rId365" Type="http://schemas.openxmlformats.org/officeDocument/2006/relationships/hyperlink" Target="https://www.veolianorthamerica.com/" TargetMode="External"/><Relationship Id="rId386" Type="http://schemas.openxmlformats.org/officeDocument/2006/relationships/hyperlink" Target="http://www.cableconn.com/" TargetMode="External"/><Relationship Id="rId190" Type="http://schemas.openxmlformats.org/officeDocument/2006/relationships/hyperlink" Target="https://emsindustry.com.my/" TargetMode="External"/><Relationship Id="rId204" Type="http://schemas.openxmlformats.org/officeDocument/2006/relationships/hyperlink" Target="https://microprecision.com/" TargetMode="External"/><Relationship Id="rId225" Type="http://schemas.openxmlformats.org/officeDocument/2006/relationships/hyperlink" Target="https://au.element14.com/" TargetMode="External"/><Relationship Id="rId246" Type="http://schemas.openxmlformats.org/officeDocument/2006/relationships/hyperlink" Target="https://paramountextrusions.com/" TargetMode="External"/><Relationship Id="rId267" Type="http://schemas.openxmlformats.org/officeDocument/2006/relationships/hyperlink" Target="https://prosafedirect.com/" TargetMode="External"/><Relationship Id="rId288" Type="http://schemas.openxmlformats.org/officeDocument/2006/relationships/hyperlink" Target="https://www.ramconstruction-us.com/" TargetMode="External"/><Relationship Id="rId106" Type="http://schemas.openxmlformats.org/officeDocument/2006/relationships/hyperlink" Target="https://edenoutsource.com/" TargetMode="External"/><Relationship Id="rId127" Type="http://schemas.openxmlformats.org/officeDocument/2006/relationships/hyperlink" Target="https://fotofab.com/" TargetMode="External"/><Relationship Id="rId313" Type="http://schemas.openxmlformats.org/officeDocument/2006/relationships/hyperlink" Target="https://www.shannonpackaging.com/" TargetMode="External"/><Relationship Id="rId10" Type="http://schemas.openxmlformats.org/officeDocument/2006/relationships/hyperlink" Target="https://www.aerotek.com/en" TargetMode="External"/><Relationship Id="rId31" Type="http://schemas.openxmlformats.org/officeDocument/2006/relationships/hyperlink" Target="https://www.applerubber.com/" TargetMode="External"/><Relationship Id="rId52" Type="http://schemas.openxmlformats.org/officeDocument/2006/relationships/hyperlink" Target="https://www.carbon-core.com/" TargetMode="External"/><Relationship Id="rId73" Type="http://schemas.openxmlformats.org/officeDocument/2006/relationships/hyperlink" Target="https://www.azooptics.com/" TargetMode="External"/><Relationship Id="rId94" Type="http://schemas.openxmlformats.org/officeDocument/2006/relationships/hyperlink" Target="https://www.ddhent.com/" TargetMode="External"/><Relationship Id="rId148" Type="http://schemas.openxmlformats.org/officeDocument/2006/relationships/hyperlink" Target="https://www.hettweb.com/" TargetMode="External"/><Relationship Id="rId169" Type="http://schemas.openxmlformats.org/officeDocument/2006/relationships/hyperlink" Target="https://www.usdigital.com/" TargetMode="External"/><Relationship Id="rId334" Type="http://schemas.openxmlformats.org/officeDocument/2006/relationships/hyperlink" Target="https://sdp-si.com/" TargetMode="External"/><Relationship Id="rId355" Type="http://schemas.openxmlformats.org/officeDocument/2006/relationships/hyperlink" Target="https://www.threadcheck.com/" TargetMode="External"/><Relationship Id="rId376" Type="http://schemas.openxmlformats.org/officeDocument/2006/relationships/hyperlink" Target="https://www.we-online.com/en" TargetMode="External"/><Relationship Id="rId397" Type="http://schemas.openxmlformats.org/officeDocument/2006/relationships/drawing" Target="../drawings/drawing3.xml"/><Relationship Id="rId4" Type="http://schemas.openxmlformats.org/officeDocument/2006/relationships/hyperlink" Target="https://acorn-paper.com/" TargetMode="External"/><Relationship Id="rId180" Type="http://schemas.openxmlformats.org/officeDocument/2006/relationships/hyperlink" Target="https://krayden.com/home" TargetMode="External"/><Relationship Id="rId215" Type="http://schemas.openxmlformats.org/officeDocument/2006/relationships/hyperlink" Target="https://www.modusadvanced.com/" TargetMode="External"/><Relationship Id="rId236" Type="http://schemas.openxmlformats.org/officeDocument/2006/relationships/hyperlink" Target="https://www.omniprintinc.com/" TargetMode="External"/><Relationship Id="rId257" Type="http://schemas.openxmlformats.org/officeDocument/2006/relationships/hyperlink" Target="https://pickwickpaper.com/" TargetMode="External"/><Relationship Id="rId278" Type="http://schemas.openxmlformats.org/officeDocument/2006/relationships/hyperlink" Target="https://www.qosina.com/" TargetMode="External"/><Relationship Id="rId401" Type="http://schemas.openxmlformats.org/officeDocument/2006/relationships/control" Target="../activeX/activeX23.xml"/><Relationship Id="rId303" Type="http://schemas.openxmlformats.org/officeDocument/2006/relationships/hyperlink" Target="https://www.safetysign.com/" TargetMode="External"/><Relationship Id="rId42" Type="http://schemas.openxmlformats.org/officeDocument/2006/relationships/hyperlink" Target="https://www.cirbasolutions.com/" TargetMode="External"/><Relationship Id="rId84" Type="http://schemas.openxmlformats.org/officeDocument/2006/relationships/hyperlink" Target="https://www.creativemanufacturingsolutions.com/" TargetMode="External"/><Relationship Id="rId138" Type="http://schemas.openxmlformats.org/officeDocument/2006/relationships/hyperlink" Target="https://www.goldenvalleyproducts.com/" TargetMode="External"/><Relationship Id="rId345" Type="http://schemas.openxmlformats.org/officeDocument/2006/relationships/hyperlink" Target="https://partnering.tecan.com/" TargetMode="External"/><Relationship Id="rId387" Type="http://schemas.openxmlformats.org/officeDocument/2006/relationships/hyperlink" Target="https://mki.com.au/" TargetMode="External"/><Relationship Id="rId191" Type="http://schemas.openxmlformats.org/officeDocument/2006/relationships/hyperlink" Target="http://www.masonmachine.com/" TargetMode="External"/><Relationship Id="rId205" Type="http://schemas.openxmlformats.org/officeDocument/2006/relationships/hyperlink" Target="https://microtipsusa.com/" TargetMode="External"/><Relationship Id="rId247" Type="http://schemas.openxmlformats.org/officeDocument/2006/relationships/hyperlink" Target="https://www.paritynetworks.com/" TargetMode="External"/><Relationship Id="rId107" Type="http://schemas.openxmlformats.org/officeDocument/2006/relationships/hyperlink" Target="https://www.edmundoptics.com.au/" TargetMode="External"/><Relationship Id="rId289" Type="http://schemas.openxmlformats.org/officeDocument/2006/relationships/hyperlink" Target="https://www.renishaw.com/" TargetMode="External"/><Relationship Id="rId11" Type="http://schemas.openxmlformats.org/officeDocument/2006/relationships/hyperlink" Target="https://afabcnc.com/" TargetMode="External"/><Relationship Id="rId53" Type="http://schemas.openxmlformats.org/officeDocument/2006/relationships/hyperlink" Target="https://cartelind.com/" TargetMode="External"/><Relationship Id="rId149" Type="http://schemas.openxmlformats.org/officeDocument/2006/relationships/hyperlink" Target="https://hilltop21.com/" TargetMode="External"/><Relationship Id="rId314" Type="http://schemas.openxmlformats.org/officeDocument/2006/relationships/hyperlink" Target="http://www.jhmolding.com/" TargetMode="External"/><Relationship Id="rId356" Type="http://schemas.openxmlformats.org/officeDocument/2006/relationships/hyperlink" Target="https://www.tk1sc.com/" TargetMode="External"/><Relationship Id="rId398" Type="http://schemas.openxmlformats.org/officeDocument/2006/relationships/vmlDrawing" Target="../drawings/vmlDrawing2.vml"/><Relationship Id="rId95" Type="http://schemas.openxmlformats.org/officeDocument/2006/relationships/hyperlink" Target="https://www.ddltesting.com/" TargetMode="External"/><Relationship Id="rId160" Type="http://schemas.openxmlformats.org/officeDocument/2006/relationships/hyperlink" Target="https://trinityii.com/" TargetMode="External"/><Relationship Id="rId216" Type="http://schemas.openxmlformats.org/officeDocument/2006/relationships/hyperlink" Target="https://www.motion.com/" TargetMode="External"/><Relationship Id="rId258" Type="http://schemas.openxmlformats.org/officeDocument/2006/relationships/hyperlink" Target="http://www.pmeincorp.com/" TargetMode="External"/><Relationship Id="rId22" Type="http://schemas.openxmlformats.org/officeDocument/2006/relationships/hyperlink" Target="https://american-design.net/" TargetMode="External"/><Relationship Id="rId64" Type="http://schemas.openxmlformats.org/officeDocument/2006/relationships/hyperlink" Target="https://clickup.com/" TargetMode="External"/><Relationship Id="rId118" Type="http://schemas.openxmlformats.org/officeDocument/2006/relationships/hyperlink" Target="https://www.fastenal.com/" TargetMode="External"/><Relationship Id="rId325" Type="http://schemas.openxmlformats.org/officeDocument/2006/relationships/hyperlink" Target="https://smdinc.net/" TargetMode="External"/><Relationship Id="rId367" Type="http://schemas.openxmlformats.org/officeDocument/2006/relationships/hyperlink" Target="https://www.vicam.com/" TargetMode="External"/><Relationship Id="rId171" Type="http://schemas.openxmlformats.org/officeDocument/2006/relationships/hyperlink" Target="https://www.intertek.com/" TargetMode="External"/><Relationship Id="rId227" Type="http://schemas.openxmlformats.org/officeDocument/2006/relationships/hyperlink" Target="https://www.noritake-elec.com/" TargetMode="External"/><Relationship Id="rId269" Type="http://schemas.openxmlformats.org/officeDocument/2006/relationships/hyperlink" Target="https://www.protocase.com/" TargetMode="External"/><Relationship Id="rId33" Type="http://schemas.openxmlformats.org/officeDocument/2006/relationships/hyperlink" Target="http://www.arbobox.com/index.htm" TargetMode="External"/><Relationship Id="rId129" Type="http://schemas.openxmlformats.org/officeDocument/2006/relationships/hyperlink" Target="https://www.fs.com/au" TargetMode="External"/><Relationship Id="rId280" Type="http://schemas.openxmlformats.org/officeDocument/2006/relationships/hyperlink" Target="https://luxeonstar.com/" TargetMode="External"/><Relationship Id="rId336" Type="http://schemas.openxmlformats.org/officeDocument/2006/relationships/hyperlink" Target="https://www.rapiddirect.com/" TargetMode="External"/><Relationship Id="rId75" Type="http://schemas.openxmlformats.org/officeDocument/2006/relationships/hyperlink" Target="https://www.coleparmer.com/" TargetMode="External"/><Relationship Id="rId140" Type="http://schemas.openxmlformats.org/officeDocument/2006/relationships/hyperlink" Target="https://www.grayhill.com/" TargetMode="External"/><Relationship Id="rId182" Type="http://schemas.openxmlformats.org/officeDocument/2006/relationships/hyperlink" Target="https://www.kyocera-avx.com/" TargetMode="External"/><Relationship Id="rId378" Type="http://schemas.openxmlformats.org/officeDocument/2006/relationships/hyperlink" Target="https://www.dwk.com/" TargetMode="External"/><Relationship Id="rId403" Type="http://schemas.openxmlformats.org/officeDocument/2006/relationships/comments" Target="../comments1.xml"/><Relationship Id="rId6" Type="http://schemas.openxmlformats.org/officeDocument/2006/relationships/hyperlink" Target="https://additivemanufacturingllc.com/" TargetMode="External"/><Relationship Id="rId238" Type="http://schemas.openxmlformats.org/officeDocument/2006/relationships/hyperlink" Target="https://ontref.com/" TargetMode="External"/><Relationship Id="rId291" Type="http://schemas.openxmlformats.org/officeDocument/2006/relationships/hyperlink" Target="https://rogancorp.com/" TargetMode="External"/><Relationship Id="rId305" Type="http://schemas.openxmlformats.org/officeDocument/2006/relationships/hyperlink" Target="https://www.saint-gobain-northamerica.com/" TargetMode="External"/><Relationship Id="rId347" Type="http://schemas.openxmlformats.org/officeDocument/2006/relationships/hyperlink" Target="https://techsafety.com/" TargetMode="External"/><Relationship Id="rId44" Type="http://schemas.openxmlformats.org/officeDocument/2006/relationships/hyperlink" Target="https://www.biscoind.com/" TargetMode="External"/><Relationship Id="rId86" Type="http://schemas.openxmlformats.org/officeDocument/2006/relationships/hyperlink" Target="https://creform.com/" TargetMode="External"/><Relationship Id="rId151" Type="http://schemas.openxmlformats.org/officeDocument/2006/relationships/hyperlink" Target="https://www.hitachi.com/" TargetMode="External"/><Relationship Id="rId389" Type="http://schemas.openxmlformats.org/officeDocument/2006/relationships/hyperlink" Target="https://www.3dsystems.com/" TargetMode="External"/><Relationship Id="rId193" Type="http://schemas.openxmlformats.org/officeDocument/2006/relationships/hyperlink" Target="http://www.matchlessplastics.com/" TargetMode="External"/><Relationship Id="rId207" Type="http://schemas.openxmlformats.org/officeDocument/2006/relationships/hyperlink" Target="http://www.mic-inc.net/" TargetMode="External"/><Relationship Id="rId249" Type="http://schemas.openxmlformats.org/officeDocument/2006/relationships/hyperlink" Target="https://www.pasternack.com/" TargetMode="External"/><Relationship Id="rId13" Type="http://schemas.openxmlformats.org/officeDocument/2006/relationships/hyperlink" Target="https://www.allenfield.com/" TargetMode="External"/><Relationship Id="rId109" Type="http://schemas.openxmlformats.org/officeDocument/2006/relationships/hyperlink" Target="https://www.ellsworth.com.au/" TargetMode="External"/><Relationship Id="rId260" Type="http://schemas.openxmlformats.org/officeDocument/2006/relationships/hyperlink" Target="https://www.plastopialtd.com/" TargetMode="External"/><Relationship Id="rId316" Type="http://schemas.openxmlformats.org/officeDocument/2006/relationships/hyperlink" Target="https://www.slkcorp.com/" TargetMode="External"/><Relationship Id="rId55" Type="http://schemas.openxmlformats.org/officeDocument/2006/relationships/hyperlink" Target="https://centurysprings.com.au/" TargetMode="External"/><Relationship Id="rId97" Type="http://schemas.openxmlformats.org/officeDocument/2006/relationships/hyperlink" Target="https://www.deltagroupinc.com/" TargetMode="External"/><Relationship Id="rId120" Type="http://schemas.openxmlformats.org/officeDocument/2006/relationships/hyperlink" Target="https://firesafetyfirst.com/" TargetMode="External"/><Relationship Id="rId358" Type="http://schemas.openxmlformats.org/officeDocument/2006/relationships/hyperlink" Target="https://temcool.com/" TargetMode="External"/><Relationship Id="rId162" Type="http://schemas.openxmlformats.org/officeDocument/2006/relationships/hyperlink" Target="https://www.udemy.com/" TargetMode="External"/><Relationship Id="rId218" Type="http://schemas.openxmlformats.org/officeDocument/2006/relationships/hyperlink" Target="https://au.mouser.com/" TargetMode="External"/><Relationship Id="rId271" Type="http://schemas.openxmlformats.org/officeDocument/2006/relationships/hyperlink" Target="https://puretecwater.com/" TargetMode="External"/><Relationship Id="rId24" Type="http://schemas.openxmlformats.org/officeDocument/2006/relationships/hyperlink" Target="https://amsde.com/" TargetMode="External"/><Relationship Id="rId66" Type="http://schemas.openxmlformats.org/officeDocument/2006/relationships/hyperlink" Target="https://www.ableelectronics.com/" TargetMode="External"/><Relationship Id="rId131" Type="http://schemas.openxmlformats.org/officeDocument/2006/relationships/hyperlink" Target="https://gamma-sci.com/" TargetMode="External"/><Relationship Id="rId327" Type="http://schemas.openxmlformats.org/officeDocument/2006/relationships/hyperlink" Target="https://www.specialtymfg.com/" TargetMode="External"/><Relationship Id="rId369" Type="http://schemas.openxmlformats.org/officeDocument/2006/relationships/hyperlink" Target="https://www.voltrium.com.sg/en/" TargetMode="External"/><Relationship Id="rId173" Type="http://schemas.openxmlformats.org/officeDocument/2006/relationships/hyperlink" Target="https://www.jadaktech.com/" TargetMode="External"/><Relationship Id="rId229" Type="http://schemas.openxmlformats.org/officeDocument/2006/relationships/hyperlink" Target="https://nts.com/" TargetMode="External"/><Relationship Id="rId380" Type="http://schemas.openxmlformats.org/officeDocument/2006/relationships/hyperlink" Target="https://westfalltechnik.com/" TargetMode="External"/><Relationship Id="rId240" Type="http://schemas.openxmlformats.org/officeDocument/2006/relationships/hyperlink" Target="https://www.ocpneumatics.com/" TargetMode="External"/><Relationship Id="rId35" Type="http://schemas.openxmlformats.org/officeDocument/2006/relationships/hyperlink" Target="https://aubright.net/" TargetMode="External"/><Relationship Id="rId77" Type="http://schemas.openxmlformats.org/officeDocument/2006/relationships/hyperlink" Target="https://componentsupplycompany.com/" TargetMode="External"/><Relationship Id="rId100" Type="http://schemas.openxmlformats.org/officeDocument/2006/relationships/hyperlink" Target="https://www.digikey.com.au/" TargetMode="External"/><Relationship Id="rId282" Type="http://schemas.openxmlformats.org/officeDocument/2006/relationships/hyperlink" Target="https://www.rndsystems.com/" TargetMode="External"/><Relationship Id="rId338" Type="http://schemas.openxmlformats.org/officeDocument/2006/relationships/hyperlink" Target="http://leetoya.com/" TargetMode="External"/><Relationship Id="rId8" Type="http://schemas.openxmlformats.org/officeDocument/2006/relationships/hyperlink" Target="https://www.aektechnology.com/" TargetMode="External"/><Relationship Id="rId142" Type="http://schemas.openxmlformats.org/officeDocument/2006/relationships/hyperlink" Target="https://www.guhring.com.au/" TargetMode="External"/><Relationship Id="rId184" Type="http://schemas.openxmlformats.org/officeDocument/2006/relationships/hyperlink" Target="https://www.leespring.de/en" TargetMode="External"/><Relationship Id="rId391" Type="http://schemas.openxmlformats.org/officeDocument/2006/relationships/hyperlink" Target="https://www.tappi.org/" TargetMode="External"/><Relationship Id="rId251" Type="http://schemas.openxmlformats.org/officeDocument/2006/relationships/hyperlink" Target="https://optel.eu/" TargetMode="External"/><Relationship Id="rId46" Type="http://schemas.openxmlformats.org/officeDocument/2006/relationships/hyperlink" Target="https://www.bluelineeto.com/" TargetMode="External"/><Relationship Id="rId293" Type="http://schemas.openxmlformats.org/officeDocument/2006/relationships/hyperlink" Target="http://www.kobyfilters.com/" TargetMode="External"/><Relationship Id="rId307" Type="http://schemas.openxmlformats.org/officeDocument/2006/relationships/hyperlink" Target="https://www.saturnfreight.com/" TargetMode="External"/><Relationship Id="rId349" Type="http://schemas.openxmlformats.org/officeDocument/2006/relationships/hyperlink" Target="https://telemeter.eu/" TargetMode="External"/><Relationship Id="rId88" Type="http://schemas.openxmlformats.org/officeDocument/2006/relationships/hyperlink" Target="https://www.verical.com/" TargetMode="External"/><Relationship Id="rId111" Type="http://schemas.openxmlformats.org/officeDocument/2006/relationships/hyperlink" Target="https://www.epotek.com/" TargetMode="External"/><Relationship Id="rId153" Type="http://schemas.openxmlformats.org/officeDocument/2006/relationships/hyperlink" Target="https://www.heqingele.com/" TargetMode="External"/><Relationship Id="rId195" Type="http://schemas.openxmlformats.org/officeDocument/2006/relationships/hyperlink" Target="https://www.mavericklabel.com/" TargetMode="External"/><Relationship Id="rId209" Type="http://schemas.openxmlformats.org/officeDocument/2006/relationships/hyperlink" Target="https://miroculus.com/" TargetMode="External"/><Relationship Id="rId360" Type="http://schemas.openxmlformats.org/officeDocument/2006/relationships/hyperlink" Target="https://www.usplastic.com/" TargetMode="External"/><Relationship Id="rId220" Type="http://schemas.openxmlformats.org/officeDocument/2006/relationships/hyperlink" Target="https://www.mysafetylabels.com/" TargetMode="External"/><Relationship Id="rId15" Type="http://schemas.openxmlformats.org/officeDocument/2006/relationships/hyperlink" Target="https://www.allmotion.com/" TargetMode="External"/><Relationship Id="rId57" Type="http://schemas.openxmlformats.org/officeDocument/2006/relationships/hyperlink" Target="https://www.campbellcnc.com/" TargetMode="External"/><Relationship Id="rId262" Type="http://schemas.openxmlformats.org/officeDocument/2006/relationships/hyperlink" Target="https://powerparameters.com.au/" TargetMode="External"/><Relationship Id="rId318" Type="http://schemas.openxmlformats.org/officeDocument/2006/relationships/hyperlink" Target="https://spep.com/" TargetMode="External"/><Relationship Id="rId99" Type="http://schemas.openxmlformats.org/officeDocument/2006/relationships/hyperlink" Target="https://dsmachining.com/" TargetMode="External"/><Relationship Id="rId122" Type="http://schemas.openxmlformats.org/officeDocument/2006/relationships/hyperlink" Target="https://www.fluke.com/" TargetMode="External"/><Relationship Id="rId164" Type="http://schemas.openxmlformats.org/officeDocument/2006/relationships/hyperlink" Target="https://www.uig3dprinting.com.au/" TargetMode="External"/><Relationship Id="rId371" Type="http://schemas.openxmlformats.org/officeDocument/2006/relationships/hyperlink" Target="https://us.vwr.com/store/" TargetMode="External"/><Relationship Id="rId26" Type="http://schemas.openxmlformats.org/officeDocument/2006/relationships/hyperlink" Target="https://anaheimwire.online/" TargetMode="External"/><Relationship Id="rId231" Type="http://schemas.openxmlformats.org/officeDocument/2006/relationships/hyperlink" Target="https://www.officedepot.com/" TargetMode="External"/><Relationship Id="rId273" Type="http://schemas.openxmlformats.org/officeDocument/2006/relationships/hyperlink" Target="https://pyramidprecision.com/" TargetMode="External"/><Relationship Id="rId329" Type="http://schemas.openxmlformats.org/officeDocument/2006/relationships/hyperlink" Target="https://sprayart.com/" TargetMode="External"/><Relationship Id="rId68" Type="http://schemas.openxmlformats.org/officeDocument/2006/relationships/hyperlink" Target="https://www.akadeum.com/" TargetMode="External"/><Relationship Id="rId133" Type="http://schemas.openxmlformats.org/officeDocument/2006/relationships/hyperlink" Target="https://www.genplex.com/" TargetMode="External"/><Relationship Id="rId175" Type="http://schemas.openxmlformats.org/officeDocument/2006/relationships/hyperlink" Target="https://www.kjmagnetics.com/" TargetMode="External"/><Relationship Id="rId340" Type="http://schemas.openxmlformats.org/officeDocument/2006/relationships/hyperlink" Target="https://www.suspa.com/us/" TargetMode="External"/><Relationship Id="rId200" Type="http://schemas.openxmlformats.org/officeDocument/2006/relationships/hyperlink" Target="https://megaelectronics.com/" TargetMode="External"/><Relationship Id="rId382" Type="http://schemas.openxmlformats.org/officeDocument/2006/relationships/hyperlink" Target="https://www.westernexterminator.com/" TargetMode="External"/><Relationship Id="rId242" Type="http://schemas.openxmlformats.org/officeDocument/2006/relationships/hyperlink" Target="https://www.ortechceramics.com/" TargetMode="External"/><Relationship Id="rId284" Type="http://schemas.openxmlformats.org/officeDocument/2006/relationships/hyperlink" Target="https://randallraceparts.com/" TargetMode="External"/><Relationship Id="rId37" Type="http://schemas.openxmlformats.org/officeDocument/2006/relationships/hyperlink" Target="https://tubebender.com/" TargetMode="External"/><Relationship Id="rId79" Type="http://schemas.openxmlformats.org/officeDocument/2006/relationships/hyperlink" Target="https://www.condecosoftware.com/" TargetMode="External"/><Relationship Id="rId102" Type="http://schemas.openxmlformats.org/officeDocument/2006/relationships/hyperlink" Target="https://www.dme.net/" TargetMode="External"/><Relationship Id="rId144" Type="http://schemas.openxmlformats.org/officeDocument/2006/relationships/hyperlink" Target="https://www.halderusa.com/"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3" Type="http://schemas.openxmlformats.org/officeDocument/2006/relationships/hyperlink" Target="https://www.sanmina.com/services-contract-electronics-manufacturing/manufacturing/" TargetMode="External"/><Relationship Id="rId18" Type="http://schemas.openxmlformats.org/officeDocument/2006/relationships/hyperlink" Target="http://www.kgcompo.com.my/" TargetMode="External"/><Relationship Id="rId26" Type="http://schemas.openxmlformats.org/officeDocument/2006/relationships/hyperlink" Target="https://alpha-u.com/" TargetMode="External"/><Relationship Id="rId39" Type="http://schemas.openxmlformats.org/officeDocument/2006/relationships/hyperlink" Target="https://www.plexus.com/en-us/" TargetMode="External"/><Relationship Id="rId21" Type="http://schemas.openxmlformats.org/officeDocument/2006/relationships/hyperlink" Target="https://www.cincaria.com.my/" TargetMode="External"/><Relationship Id="rId34" Type="http://schemas.openxmlformats.org/officeDocument/2006/relationships/hyperlink" Target="https://www.paramit.com/" TargetMode="External"/><Relationship Id="rId7" Type="http://schemas.openxmlformats.org/officeDocument/2006/relationships/hyperlink" Target="https://racer.com.sg/" TargetMode="External"/><Relationship Id="rId12" Type="http://schemas.openxmlformats.org/officeDocument/2006/relationships/hyperlink" Target="http://www.esmtt.com/facilities.html" TargetMode="External"/><Relationship Id="rId17" Type="http://schemas.openxmlformats.org/officeDocument/2006/relationships/hyperlink" Target="https://www.deng-kai.com/" TargetMode="External"/><Relationship Id="rId25" Type="http://schemas.openxmlformats.org/officeDocument/2006/relationships/hyperlink" Target="http://www.likom.com.my/" TargetMode="External"/><Relationship Id="rId33" Type="http://schemas.openxmlformats.org/officeDocument/2006/relationships/hyperlink" Target="https://www.acm-holdings.com/" TargetMode="External"/><Relationship Id="rId38" Type="http://schemas.openxmlformats.org/officeDocument/2006/relationships/hyperlink" Target="https://flex.com/" TargetMode="External"/><Relationship Id="rId2" Type="http://schemas.openxmlformats.org/officeDocument/2006/relationships/hyperlink" Target="https://www.d3electronics.com/about-us/" TargetMode="External"/><Relationship Id="rId16" Type="http://schemas.openxmlformats.org/officeDocument/2006/relationships/hyperlink" Target="http://www.cpipenang.com/" TargetMode="External"/><Relationship Id="rId20" Type="http://schemas.openxmlformats.org/officeDocument/2006/relationships/hyperlink" Target="https://www.eastool.com.my/" TargetMode="External"/><Relationship Id="rId29" Type="http://schemas.openxmlformats.org/officeDocument/2006/relationships/hyperlink" Target="http://www.cgglobal-cem.com/company.html" TargetMode="External"/><Relationship Id="rId1" Type="http://schemas.openxmlformats.org/officeDocument/2006/relationships/hyperlink" Target="https://www.escatec.com/en/solutions/manufacturing" TargetMode="External"/><Relationship Id="rId6" Type="http://schemas.openxmlformats.org/officeDocument/2006/relationships/hyperlink" Target="http://www.showa.com.my/home" TargetMode="External"/><Relationship Id="rId11" Type="http://schemas.openxmlformats.org/officeDocument/2006/relationships/hyperlink" Target="http://www.tkrm.com/tkrmav.asp" TargetMode="External"/><Relationship Id="rId24" Type="http://schemas.openxmlformats.org/officeDocument/2006/relationships/hyperlink" Target="https://k-one.com/" TargetMode="External"/><Relationship Id="rId32" Type="http://schemas.openxmlformats.org/officeDocument/2006/relationships/hyperlink" Target="http://www.nationgate.com.my/" TargetMode="External"/><Relationship Id="rId37" Type="http://schemas.openxmlformats.org/officeDocument/2006/relationships/hyperlink" Target="https://flex.com/" TargetMode="External"/><Relationship Id="rId40" Type="http://schemas.openxmlformats.org/officeDocument/2006/relationships/printerSettings" Target="../printerSettings/printerSettings6.bin"/><Relationship Id="rId5" Type="http://schemas.openxmlformats.org/officeDocument/2006/relationships/hyperlink" Target="https://eg.com.my/facilities.html" TargetMode="External"/><Relationship Id="rId15" Type="http://schemas.openxmlformats.org/officeDocument/2006/relationships/hyperlink" Target="https://www.salutica.com/" TargetMode="External"/><Relationship Id="rId23" Type="http://schemas.openxmlformats.org/officeDocument/2006/relationships/hyperlink" Target="https://www.uchi.net/vision-a-mission" TargetMode="External"/><Relationship Id="rId28" Type="http://schemas.openxmlformats.org/officeDocument/2006/relationships/hyperlink" Target="https://www.hotayi.com/" TargetMode="External"/><Relationship Id="rId36" Type="http://schemas.openxmlformats.org/officeDocument/2006/relationships/hyperlink" Target="https://www.venture.com.sg/" TargetMode="External"/><Relationship Id="rId10" Type="http://schemas.openxmlformats.org/officeDocument/2006/relationships/hyperlink" Target="https://www.meiban.com/injection-molding/" TargetMode="External"/><Relationship Id="rId19" Type="http://schemas.openxmlformats.org/officeDocument/2006/relationships/hyperlink" Target="http://www.t-ksj.co.jp/english/index.html" TargetMode="External"/><Relationship Id="rId31" Type="http://schemas.openxmlformats.org/officeDocument/2006/relationships/hyperlink" Target="https://www.celestica.com/" TargetMode="External"/><Relationship Id="rId4" Type="http://schemas.openxmlformats.org/officeDocument/2006/relationships/hyperlink" Target="https://www.bslcorp.com.my/manufacturing-services/" TargetMode="External"/><Relationship Id="rId9" Type="http://schemas.openxmlformats.org/officeDocument/2006/relationships/hyperlink" Target="https://www.srxglobal.com/" TargetMode="External"/><Relationship Id="rId14" Type="http://schemas.openxmlformats.org/officeDocument/2006/relationships/hyperlink" Target="https://www.plexus.com/en-us/solutions" TargetMode="External"/><Relationship Id="rId22" Type="http://schemas.openxmlformats.org/officeDocument/2006/relationships/hyperlink" Target="https://www.srxglobal.com/" TargetMode="External"/><Relationship Id="rId27" Type="http://schemas.openxmlformats.org/officeDocument/2006/relationships/hyperlink" Target="https://chugai-malaysia.com/" TargetMode="External"/><Relationship Id="rId30" Type="http://schemas.openxmlformats.org/officeDocument/2006/relationships/hyperlink" Target="https://www.scope.com.my/" TargetMode="External"/><Relationship Id="rId35" Type="http://schemas.openxmlformats.org/officeDocument/2006/relationships/hyperlink" Target="https://www.bench.com/precision-technologies" TargetMode="External"/><Relationship Id="rId8" Type="http://schemas.openxmlformats.org/officeDocument/2006/relationships/hyperlink" Target="http://www.ceedtec.com/cms/services" TargetMode="External"/><Relationship Id="rId3" Type="http://schemas.openxmlformats.org/officeDocument/2006/relationships/hyperlink" Target="https://www.professional-tools.com/"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en.forth.co.th/service/"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E47A1-0BE5-41A1-95FE-93A92E73D5F5}">
  <sheetPr codeName="Sheet1">
    <pageSetUpPr fitToPage="1"/>
  </sheetPr>
  <dimension ref="A2:J25"/>
  <sheetViews>
    <sheetView topLeftCell="A10" zoomScale="90" zoomScaleNormal="90" workbookViewId="0">
      <selection activeCell="E27" sqref="E27"/>
    </sheetView>
  </sheetViews>
  <sheetFormatPr defaultRowHeight="14.25" x14ac:dyDescent="0.45"/>
  <cols>
    <col min="1" max="1" width="8.33203125" customWidth="1"/>
    <col min="2" max="2" width="11.73046875" customWidth="1"/>
    <col min="3" max="3" width="9.265625" customWidth="1"/>
    <col min="4" max="4" width="39.1328125" customWidth="1"/>
    <col min="5" max="5" width="13.06640625" customWidth="1"/>
    <col min="6" max="6" width="9.1328125" customWidth="1"/>
  </cols>
  <sheetData>
    <row r="2" spans="1:6" x14ac:dyDescent="0.45">
      <c r="A2" s="117"/>
      <c r="B2" s="118"/>
      <c r="C2" s="118"/>
      <c r="D2" s="119"/>
      <c r="E2" s="2" t="s">
        <v>0</v>
      </c>
      <c r="F2" s="3" t="s">
        <v>1</v>
      </c>
    </row>
    <row r="3" spans="1:6" ht="36.6" customHeight="1" x14ac:dyDescent="0.45">
      <c r="A3" s="120"/>
      <c r="B3" s="121"/>
      <c r="C3" s="121"/>
      <c r="D3" s="122"/>
      <c r="E3" s="2" t="s">
        <v>2</v>
      </c>
      <c r="F3" s="4">
        <v>9</v>
      </c>
    </row>
    <row r="4" spans="1:6" ht="30" customHeight="1" x14ac:dyDescent="0.45">
      <c r="A4" s="123" t="s">
        <v>3</v>
      </c>
      <c r="B4" s="124"/>
      <c r="C4" s="114" t="s">
        <v>4</v>
      </c>
      <c r="D4" s="125"/>
      <c r="E4" s="125"/>
      <c r="F4" s="115"/>
    </row>
    <row r="5" spans="1:6" x14ac:dyDescent="0.45">
      <c r="A5" s="5"/>
      <c r="B5" s="5"/>
      <c r="C5" s="5"/>
      <c r="D5" s="5"/>
      <c r="E5" s="5"/>
      <c r="F5" s="5"/>
    </row>
    <row r="6" spans="1:6" ht="15.75" x14ac:dyDescent="0.45">
      <c r="A6" s="6" t="s">
        <v>5</v>
      </c>
      <c r="B6" s="6"/>
      <c r="C6" s="5"/>
      <c r="D6" s="5"/>
      <c r="E6" s="5"/>
      <c r="F6" s="5"/>
    </row>
    <row r="7" spans="1:6" x14ac:dyDescent="0.45">
      <c r="A7" s="114" t="s">
        <v>5</v>
      </c>
      <c r="B7" s="115"/>
      <c r="C7" s="116" t="s">
        <v>6</v>
      </c>
      <c r="D7" s="116"/>
      <c r="E7" s="116"/>
      <c r="F7" s="116"/>
    </row>
    <row r="8" spans="1:6" ht="22.5" customHeight="1" x14ac:dyDescent="0.45">
      <c r="A8" s="114" t="s">
        <v>7</v>
      </c>
      <c r="B8" s="115"/>
      <c r="C8" s="116" t="s">
        <v>8</v>
      </c>
      <c r="D8" s="116"/>
      <c r="E8" s="116"/>
      <c r="F8" s="116"/>
    </row>
    <row r="9" spans="1:6" x14ac:dyDescent="0.45">
      <c r="A9" s="7"/>
      <c r="B9" s="7"/>
      <c r="C9" s="5"/>
      <c r="D9" s="5"/>
      <c r="E9" s="5"/>
      <c r="F9" s="5"/>
    </row>
    <row r="10" spans="1:6" ht="15.75" x14ac:dyDescent="0.45">
      <c r="A10" s="8" t="s">
        <v>9</v>
      </c>
      <c r="B10" s="8"/>
      <c r="C10" s="7"/>
      <c r="D10" s="7"/>
      <c r="E10" s="7"/>
      <c r="F10" s="7"/>
    </row>
    <row r="11" spans="1:6" x14ac:dyDescent="0.45">
      <c r="A11" s="13" t="s">
        <v>2</v>
      </c>
      <c r="B11" s="13" t="s">
        <v>10</v>
      </c>
      <c r="C11" s="12" t="s">
        <v>11</v>
      </c>
      <c r="D11" s="127" t="s">
        <v>12</v>
      </c>
      <c r="E11" s="127"/>
      <c r="F11" s="127"/>
    </row>
    <row r="12" spans="1:6" ht="15" customHeight="1" x14ac:dyDescent="0.45">
      <c r="A12" s="9">
        <v>1</v>
      </c>
      <c r="B12" s="10">
        <v>40830</v>
      </c>
      <c r="C12" s="1">
        <v>1332</v>
      </c>
      <c r="D12" s="114" t="s">
        <v>13</v>
      </c>
      <c r="E12" s="125"/>
      <c r="F12" s="115"/>
    </row>
    <row r="13" spans="1:6" ht="30" customHeight="1" x14ac:dyDescent="0.45">
      <c r="A13" s="9">
        <v>2</v>
      </c>
      <c r="B13" s="10">
        <v>41379</v>
      </c>
      <c r="C13" s="1">
        <v>5783</v>
      </c>
      <c r="D13" s="114" t="s">
        <v>14</v>
      </c>
      <c r="E13" s="125"/>
      <c r="F13" s="115"/>
    </row>
    <row r="14" spans="1:6" ht="30" customHeight="1" x14ac:dyDescent="0.45">
      <c r="A14" s="9">
        <v>3</v>
      </c>
      <c r="B14" s="10">
        <v>42075</v>
      </c>
      <c r="C14" s="1">
        <v>10384</v>
      </c>
      <c r="D14" s="114" t="s">
        <v>14</v>
      </c>
      <c r="E14" s="125"/>
      <c r="F14" s="115"/>
    </row>
    <row r="15" spans="1:6" ht="59.25" customHeight="1" x14ac:dyDescent="0.45">
      <c r="A15" s="9">
        <v>4</v>
      </c>
      <c r="B15" s="10">
        <v>43287</v>
      </c>
      <c r="C15" s="1">
        <v>38745</v>
      </c>
      <c r="D15" s="114" t="s">
        <v>15</v>
      </c>
      <c r="E15" s="125"/>
      <c r="F15" s="115"/>
    </row>
    <row r="16" spans="1:6" ht="109.5" customHeight="1" x14ac:dyDescent="0.45">
      <c r="A16" s="9">
        <v>5</v>
      </c>
      <c r="B16" s="10">
        <v>44098</v>
      </c>
      <c r="C16" s="1">
        <v>53959</v>
      </c>
      <c r="D16" s="127" t="s">
        <v>16</v>
      </c>
      <c r="E16" s="127"/>
      <c r="F16" s="127"/>
    </row>
    <row r="17" spans="1:10" ht="27.95" customHeight="1" x14ac:dyDescent="0.45">
      <c r="A17" s="9">
        <v>6</v>
      </c>
      <c r="B17" s="10">
        <v>44243</v>
      </c>
      <c r="C17" s="1">
        <v>56120</v>
      </c>
      <c r="D17" s="126" t="s">
        <v>17</v>
      </c>
      <c r="E17" s="126"/>
      <c r="F17" s="126"/>
    </row>
    <row r="18" spans="1:10" ht="30" customHeight="1" x14ac:dyDescent="0.45">
      <c r="A18" s="9">
        <v>7</v>
      </c>
      <c r="B18" s="10">
        <v>44509</v>
      </c>
      <c r="C18" s="1">
        <v>62727</v>
      </c>
      <c r="D18" s="126" t="s">
        <v>18</v>
      </c>
      <c r="E18" s="126"/>
      <c r="F18" s="126"/>
    </row>
    <row r="19" spans="1:10" ht="57" customHeight="1" x14ac:dyDescent="0.45">
      <c r="A19" s="9">
        <v>8</v>
      </c>
      <c r="B19" s="10">
        <v>44750</v>
      </c>
      <c r="C19" s="1">
        <v>68944</v>
      </c>
      <c r="D19" s="126" t="s">
        <v>19</v>
      </c>
      <c r="E19" s="126"/>
      <c r="F19" s="126"/>
    </row>
    <row r="20" spans="1:10" ht="29.1" customHeight="1" x14ac:dyDescent="0.45">
      <c r="A20" s="9">
        <v>9</v>
      </c>
      <c r="B20" s="10">
        <v>44760</v>
      </c>
      <c r="C20" s="1">
        <v>69194</v>
      </c>
      <c r="D20" s="126" t="s">
        <v>20</v>
      </c>
      <c r="E20" s="126"/>
      <c r="F20" s="126"/>
    </row>
    <row r="21" spans="1:10" ht="30" customHeight="1" x14ac:dyDescent="0.45">
      <c r="A21" s="14"/>
      <c r="B21" s="15"/>
      <c r="C21" s="5"/>
      <c r="D21" s="16"/>
      <c r="E21" s="16"/>
      <c r="F21" s="16"/>
    </row>
    <row r="22" spans="1:10" x14ac:dyDescent="0.45">
      <c r="A22" s="7"/>
      <c r="B22" s="7"/>
      <c r="C22" s="11"/>
      <c r="D22" s="7"/>
      <c r="E22" s="7"/>
      <c r="F22" s="7"/>
    </row>
    <row r="23" spans="1:10" ht="15.75" x14ac:dyDescent="0.45">
      <c r="A23" s="6" t="s">
        <v>21</v>
      </c>
      <c r="B23" s="6"/>
      <c r="C23" s="5"/>
      <c r="D23" s="5"/>
      <c r="E23" s="5"/>
      <c r="F23" s="5"/>
    </row>
    <row r="24" spans="1:10" x14ac:dyDescent="0.45">
      <c r="A24" s="127" t="s">
        <v>22</v>
      </c>
      <c r="B24" s="127"/>
      <c r="C24" s="127"/>
      <c r="D24" s="127"/>
      <c r="E24" s="127"/>
      <c r="F24" s="127"/>
    </row>
    <row r="25" spans="1:10" x14ac:dyDescent="0.45">
      <c r="J25" t="s">
        <v>23</v>
      </c>
    </row>
  </sheetData>
  <mergeCells count="18">
    <mergeCell ref="D17:F17"/>
    <mergeCell ref="A24:F24"/>
    <mergeCell ref="D11:F11"/>
    <mergeCell ref="D12:F12"/>
    <mergeCell ref="D13:F13"/>
    <mergeCell ref="D14:F14"/>
    <mergeCell ref="D15:F15"/>
    <mergeCell ref="D16:F16"/>
    <mergeCell ref="D18:F18"/>
    <mergeCell ref="D19:F19"/>
    <mergeCell ref="D20:F20"/>
    <mergeCell ref="A8:B8"/>
    <mergeCell ref="C8:F8"/>
    <mergeCell ref="A2:D3"/>
    <mergeCell ref="A4:B4"/>
    <mergeCell ref="C4:F4"/>
    <mergeCell ref="A7:B7"/>
    <mergeCell ref="C7:F7"/>
  </mergeCells>
  <pageMargins left="0.7" right="0.7" top="0.75" bottom="0.75" header="0.3" footer="0.3"/>
  <pageSetup paperSize="9" scale="96"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83C03-2F66-43FD-B4F5-500132E15DA5}">
  <sheetPr codeName="Sheet8"/>
  <dimension ref="A1:BO54"/>
  <sheetViews>
    <sheetView workbookViewId="0">
      <pane ySplit="17" topLeftCell="A18" activePane="bottomLeft" state="frozen"/>
      <selection pane="bottomLeft" activeCell="CD21" sqref="CD21"/>
    </sheetView>
  </sheetViews>
  <sheetFormatPr defaultColWidth="2.9296875" defaultRowHeight="14.25" customHeight="1" x14ac:dyDescent="0.45"/>
  <cols>
    <col min="1" max="16384" width="2.9296875" style="37"/>
  </cols>
  <sheetData>
    <row r="1" spans="1:67" s="39" customFormat="1" ht="14.25" customHeight="1" x14ac:dyDescent="0.45">
      <c r="E1" s="136" t="s">
        <v>24</v>
      </c>
      <c r="F1" s="136"/>
      <c r="G1" s="136"/>
      <c r="H1" s="136"/>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J1" s="136" t="s">
        <v>25</v>
      </c>
      <c r="AK1" s="136"/>
      <c r="AL1" s="136"/>
      <c r="AM1" s="136"/>
      <c r="AN1" s="136"/>
      <c r="AO1" s="133"/>
      <c r="AP1" s="133"/>
      <c r="AQ1" s="133"/>
      <c r="AR1" s="133"/>
      <c r="AS1" s="133"/>
      <c r="AT1" s="134"/>
    </row>
    <row r="2" spans="1:67" s="41" customFormat="1" ht="14.25" customHeight="1" thickBot="1" x14ac:dyDescent="0.5">
      <c r="E2" s="137"/>
      <c r="F2" s="137"/>
      <c r="G2" s="137"/>
      <c r="H2" s="137"/>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J2" s="137"/>
      <c r="AK2" s="137"/>
      <c r="AL2" s="137"/>
      <c r="AM2" s="137"/>
      <c r="AN2" s="137"/>
      <c r="AO2" s="132"/>
      <c r="AP2" s="132"/>
      <c r="AQ2" s="132"/>
      <c r="AR2" s="132"/>
      <c r="AS2" s="132"/>
      <c r="AT2" s="135"/>
      <c r="AZ2" s="41" t="s">
        <v>26</v>
      </c>
    </row>
    <row r="4" spans="1:67" ht="14.25" customHeight="1" x14ac:dyDescent="0.45">
      <c r="E4" s="138"/>
      <c r="F4" s="138"/>
      <c r="G4" s="138"/>
      <c r="H4" s="138"/>
      <c r="I4" s="138"/>
      <c r="J4" s="138"/>
      <c r="K4" s="138"/>
      <c r="L4" s="138"/>
      <c r="M4" s="138"/>
      <c r="N4" s="138"/>
      <c r="O4" s="138"/>
      <c r="P4" s="138"/>
      <c r="Q4" s="138"/>
      <c r="R4" s="138"/>
      <c r="S4" s="138"/>
      <c r="T4" s="138"/>
      <c r="U4" s="138"/>
      <c r="V4" s="138"/>
      <c r="W4" s="138"/>
      <c r="X4" s="138"/>
      <c r="Y4" s="138"/>
      <c r="Z4" s="138"/>
      <c r="AA4" s="138"/>
      <c r="AB4" s="138"/>
      <c r="AC4" s="138"/>
      <c r="AD4" s="138"/>
      <c r="AE4" s="138"/>
      <c r="AF4" s="138"/>
      <c r="AG4" s="138"/>
      <c r="AH4" s="138"/>
      <c r="AI4" s="138"/>
      <c r="AJ4" s="138"/>
      <c r="AK4" s="138"/>
      <c r="AL4" s="138"/>
      <c r="AM4" s="138"/>
      <c r="AN4" s="138"/>
      <c r="AO4" s="138"/>
      <c r="AP4" s="138"/>
      <c r="AQ4" s="138"/>
      <c r="AR4" s="138"/>
      <c r="AS4" s="138"/>
      <c r="AT4" s="138"/>
    </row>
    <row r="5" spans="1:67" ht="14.25" customHeight="1" x14ac:dyDescent="0.45">
      <c r="E5" s="138"/>
      <c r="F5" s="138"/>
      <c r="G5" s="138"/>
      <c r="H5" s="138"/>
      <c r="I5" s="138"/>
      <c r="J5" s="138"/>
      <c r="K5" s="138"/>
      <c r="L5" s="138"/>
      <c r="M5" s="138"/>
      <c r="N5" s="138"/>
      <c r="O5" s="138"/>
      <c r="P5" s="138"/>
      <c r="Q5" s="138"/>
      <c r="R5" s="138"/>
      <c r="S5" s="138"/>
      <c r="T5" s="138"/>
      <c r="U5" s="138"/>
      <c r="V5" s="138"/>
      <c r="W5" s="138"/>
      <c r="X5" s="138"/>
      <c r="Y5" s="138"/>
      <c r="Z5" s="138"/>
      <c r="AA5" s="138"/>
      <c r="AB5" s="138"/>
      <c r="AC5" s="138"/>
      <c r="AD5" s="138"/>
      <c r="AE5" s="138"/>
      <c r="AF5" s="138"/>
      <c r="AG5" s="138"/>
      <c r="AH5" s="138"/>
      <c r="AI5" s="138"/>
      <c r="AJ5" s="138"/>
      <c r="AK5" s="138"/>
      <c r="AL5" s="138"/>
      <c r="AM5" s="138"/>
      <c r="AN5" s="138"/>
      <c r="AO5" s="138"/>
      <c r="AP5" s="138"/>
      <c r="AQ5" s="138"/>
      <c r="AR5" s="138"/>
      <c r="AS5" s="138"/>
      <c r="AT5" s="138"/>
      <c r="BB5" s="138"/>
      <c r="BC5" s="138"/>
      <c r="BD5" s="138"/>
      <c r="BE5" s="138"/>
      <c r="BF5" s="138"/>
      <c r="BG5" s="138"/>
      <c r="BH5" s="138"/>
      <c r="BI5" s="138"/>
      <c r="BJ5" s="138"/>
      <c r="BK5" s="138"/>
      <c r="BL5" s="138"/>
      <c r="BM5" s="138"/>
      <c r="BN5" s="138"/>
      <c r="BO5" s="138"/>
    </row>
    <row r="6" spans="1:67" ht="14.25" customHeight="1" x14ac:dyDescent="0.45">
      <c r="A6" s="146" t="s">
        <v>27</v>
      </c>
      <c r="B6" s="147"/>
      <c r="C6" s="147"/>
      <c r="D6" s="147"/>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c r="AH6" s="138"/>
      <c r="AI6" s="138"/>
      <c r="AJ6" s="138"/>
      <c r="AK6" s="138"/>
      <c r="AL6" s="138"/>
      <c r="AM6" s="138"/>
      <c r="AN6" s="138"/>
      <c r="AO6" s="138"/>
      <c r="AP6" s="138"/>
      <c r="AQ6" s="138"/>
      <c r="AR6" s="138"/>
      <c r="AS6" s="138"/>
      <c r="AT6" s="138"/>
      <c r="BB6" s="138"/>
      <c r="BC6" s="138"/>
      <c r="BD6" s="138"/>
      <c r="BE6" s="138"/>
      <c r="BF6" s="138"/>
      <c r="BG6" s="138"/>
      <c r="BH6" s="138"/>
      <c r="BI6" s="138"/>
      <c r="BJ6" s="138"/>
      <c r="BK6" s="138"/>
      <c r="BL6" s="138"/>
      <c r="BM6" s="138"/>
      <c r="BN6" s="138"/>
      <c r="BO6" s="138"/>
    </row>
    <row r="7" spans="1:67" ht="14.25" customHeight="1" x14ac:dyDescent="0.45">
      <c r="A7" s="147"/>
      <c r="B7" s="147"/>
      <c r="C7" s="147"/>
      <c r="D7" s="147"/>
      <c r="E7" s="138"/>
      <c r="F7" s="138"/>
      <c r="G7" s="138"/>
      <c r="H7" s="138"/>
      <c r="I7" s="138"/>
      <c r="J7" s="138"/>
      <c r="K7" s="138"/>
      <c r="L7" s="138"/>
      <c r="M7" s="138"/>
      <c r="N7" s="138"/>
      <c r="O7" s="138"/>
      <c r="P7" s="138"/>
      <c r="Q7" s="138"/>
      <c r="R7" s="138"/>
      <c r="S7" s="138"/>
      <c r="T7" s="138"/>
      <c r="U7" s="138"/>
      <c r="V7" s="138"/>
      <c r="W7" s="138"/>
      <c r="X7" s="138"/>
      <c r="Y7" s="138"/>
      <c r="Z7" s="138"/>
      <c r="AA7" s="138"/>
      <c r="AB7" s="138"/>
      <c r="AC7" s="138"/>
      <c r="AD7" s="138"/>
      <c r="AE7" s="138"/>
      <c r="AF7" s="138"/>
      <c r="AG7" s="138"/>
      <c r="AH7" s="138"/>
      <c r="AI7" s="138"/>
      <c r="AJ7" s="138"/>
      <c r="AK7" s="138"/>
      <c r="AL7" s="138"/>
      <c r="AM7" s="138"/>
      <c r="AN7" s="138"/>
      <c r="AO7" s="138"/>
      <c r="AP7" s="138"/>
      <c r="AQ7" s="138"/>
      <c r="AR7" s="138"/>
      <c r="AS7" s="138"/>
      <c r="AT7" s="138"/>
      <c r="BB7" s="138"/>
      <c r="BC7" s="138"/>
      <c r="BD7" s="138"/>
      <c r="BE7" s="138"/>
      <c r="BF7" s="138"/>
      <c r="BG7" s="138"/>
      <c r="BH7" s="138"/>
      <c r="BI7" s="138"/>
      <c r="BJ7" s="138"/>
      <c r="BK7" s="138"/>
      <c r="BL7" s="138"/>
      <c r="BM7" s="138"/>
      <c r="BN7" s="138"/>
      <c r="BO7" s="138"/>
    </row>
    <row r="8" spans="1:67" ht="14.25" customHeight="1" x14ac:dyDescent="0.45">
      <c r="E8" s="138"/>
      <c r="F8" s="138"/>
      <c r="G8" s="138"/>
      <c r="H8" s="138"/>
      <c r="I8" s="138"/>
      <c r="J8" s="138"/>
      <c r="K8" s="138"/>
      <c r="L8" s="138"/>
      <c r="M8" s="138"/>
      <c r="N8" s="138"/>
      <c r="O8" s="138"/>
      <c r="P8" s="138"/>
      <c r="Q8" s="138"/>
      <c r="R8" s="138"/>
      <c r="S8" s="138"/>
      <c r="T8" s="138"/>
      <c r="U8" s="138"/>
      <c r="V8" s="138"/>
      <c r="W8" s="138"/>
      <c r="X8" s="138"/>
      <c r="Y8" s="138"/>
      <c r="Z8" s="138"/>
      <c r="AA8" s="138"/>
      <c r="AB8" s="138"/>
      <c r="AC8" s="138"/>
      <c r="AD8" s="138"/>
      <c r="AE8" s="138"/>
      <c r="AF8" s="138"/>
      <c r="AG8" s="138"/>
      <c r="AH8" s="138"/>
      <c r="AI8" s="138"/>
      <c r="AJ8" s="138"/>
      <c r="AK8" s="138"/>
      <c r="AL8" s="138"/>
      <c r="AM8" s="138"/>
      <c r="AN8" s="138"/>
      <c r="AO8" s="138"/>
      <c r="AP8" s="138"/>
      <c r="AQ8" s="138"/>
      <c r="AR8" s="138"/>
      <c r="AS8" s="138"/>
      <c r="AT8" s="138"/>
      <c r="BB8" s="138"/>
      <c r="BC8" s="138"/>
      <c r="BD8" s="138"/>
      <c r="BE8" s="138"/>
      <c r="BF8" s="138"/>
      <c r="BG8" s="138"/>
      <c r="BH8" s="138"/>
      <c r="BI8" s="138"/>
      <c r="BJ8" s="138"/>
      <c r="BK8" s="138"/>
      <c r="BL8" s="138"/>
      <c r="BM8" s="138"/>
      <c r="BN8" s="138"/>
      <c r="BO8" s="138"/>
    </row>
    <row r="9" spans="1:67" ht="14.25" customHeight="1" x14ac:dyDescent="0.45">
      <c r="E9" s="138" t="s">
        <v>28</v>
      </c>
      <c r="F9" s="138"/>
      <c r="G9" s="138"/>
      <c r="H9" s="138"/>
      <c r="I9" s="138"/>
      <c r="J9" s="138"/>
      <c r="K9" s="138" t="s">
        <v>29</v>
      </c>
      <c r="L9" s="138"/>
      <c r="M9" s="138"/>
      <c r="N9" s="138"/>
      <c r="O9" s="138"/>
      <c r="P9" s="138"/>
      <c r="Q9" s="138" t="s">
        <v>30</v>
      </c>
      <c r="R9" s="138"/>
      <c r="S9" s="138"/>
      <c r="T9" s="138"/>
      <c r="U9" s="138"/>
      <c r="V9" s="138"/>
      <c r="W9" s="138" t="s">
        <v>31</v>
      </c>
      <c r="X9" s="138"/>
      <c r="Y9" s="138"/>
      <c r="Z9" s="138"/>
      <c r="AA9" s="138"/>
      <c r="AB9" s="138"/>
      <c r="AC9" s="138" t="s">
        <v>32</v>
      </c>
      <c r="AD9" s="138"/>
      <c r="AE9" s="138"/>
      <c r="AF9" s="138"/>
      <c r="AG9" s="138"/>
      <c r="AH9" s="138"/>
      <c r="AI9" s="138" t="s">
        <v>33</v>
      </c>
      <c r="AJ9" s="138"/>
      <c r="AK9" s="138"/>
      <c r="AL9" s="138"/>
      <c r="AM9" s="138"/>
      <c r="AN9" s="138"/>
      <c r="AO9" s="138" t="s">
        <v>34</v>
      </c>
      <c r="AP9" s="138"/>
      <c r="AQ9" s="138"/>
      <c r="AR9" s="138"/>
      <c r="AS9" s="138"/>
      <c r="AT9" s="138"/>
      <c r="BB9" s="138"/>
      <c r="BC9" s="138"/>
      <c r="BD9" s="138"/>
      <c r="BE9" s="138"/>
      <c r="BF9" s="138"/>
      <c r="BG9" s="138"/>
      <c r="BH9" s="138"/>
      <c r="BI9" s="138"/>
      <c r="BJ9" s="138"/>
      <c r="BK9" s="138"/>
      <c r="BL9" s="138"/>
      <c r="BM9" s="138"/>
      <c r="BN9" s="138"/>
      <c r="BO9" s="138"/>
    </row>
    <row r="10" spans="1:67" ht="14.25" customHeight="1" x14ac:dyDescent="0.45">
      <c r="BB10" s="138"/>
      <c r="BC10" s="138"/>
      <c r="BD10" s="138"/>
      <c r="BE10" s="138"/>
      <c r="BF10" s="138"/>
      <c r="BG10" s="138"/>
      <c r="BH10" s="138"/>
      <c r="BI10" s="138"/>
      <c r="BJ10" s="138"/>
      <c r="BK10" s="138"/>
      <c r="BL10" s="138"/>
      <c r="BM10" s="138"/>
      <c r="BN10" s="138"/>
      <c r="BO10" s="138"/>
    </row>
    <row r="11" spans="1:67" ht="14.25" customHeight="1" x14ac:dyDescent="0.45">
      <c r="E11" s="138"/>
      <c r="F11" s="138"/>
      <c r="G11" s="138"/>
      <c r="H11" s="138"/>
      <c r="I11" s="138"/>
      <c r="J11" s="138"/>
      <c r="K11" s="138"/>
      <c r="L11" s="138"/>
      <c r="M11" s="138"/>
      <c r="N11" s="138"/>
      <c r="O11" s="138"/>
      <c r="P11" s="138"/>
      <c r="Q11" s="138"/>
      <c r="R11" s="138"/>
      <c r="S11" s="138"/>
      <c r="T11" s="138"/>
      <c r="U11" s="138"/>
      <c r="V11" s="138"/>
      <c r="W11" s="138"/>
      <c r="X11" s="138"/>
      <c r="Y11" s="138"/>
      <c r="Z11" s="138"/>
      <c r="AA11" s="138"/>
      <c r="AB11" s="138"/>
      <c r="AC11" s="138"/>
      <c r="AD11" s="138"/>
      <c r="AE11" s="138"/>
      <c r="AF11" s="138"/>
      <c r="AG11" s="138"/>
      <c r="AH11" s="138"/>
      <c r="AI11" s="138"/>
      <c r="AJ11" s="138"/>
      <c r="AK11" s="138"/>
      <c r="AL11" s="138"/>
      <c r="AM11" s="138"/>
      <c r="AN11" s="138"/>
      <c r="AO11" s="138"/>
      <c r="AP11" s="138"/>
      <c r="AQ11" s="138"/>
      <c r="AR11" s="138"/>
      <c r="AS11" s="138"/>
      <c r="AT11" s="138"/>
      <c r="BB11" s="138"/>
      <c r="BC11" s="138"/>
      <c r="BD11" s="138"/>
      <c r="BE11" s="138"/>
      <c r="BF11" s="138"/>
      <c r="BG11" s="138"/>
      <c r="BH11" s="138"/>
      <c r="BI11" s="138"/>
      <c r="BJ11" s="138"/>
      <c r="BK11" s="138"/>
      <c r="BL11" s="138"/>
      <c r="BM11" s="138"/>
      <c r="BN11" s="138"/>
      <c r="BO11" s="138"/>
    </row>
    <row r="12" spans="1:67" ht="14.25" customHeight="1" x14ac:dyDescent="0.45">
      <c r="A12" s="146" t="s">
        <v>35</v>
      </c>
      <c r="B12" s="147"/>
      <c r="C12" s="147"/>
      <c r="D12" s="147"/>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BB12" s="138"/>
      <c r="BC12" s="138"/>
      <c r="BD12" s="138"/>
      <c r="BE12" s="138"/>
      <c r="BF12" s="138"/>
      <c r="BG12" s="138"/>
      <c r="BH12" s="138"/>
      <c r="BI12" s="138"/>
      <c r="BJ12" s="138"/>
      <c r="BK12" s="138"/>
      <c r="BL12" s="138"/>
      <c r="BM12" s="138"/>
      <c r="BN12" s="138"/>
      <c r="BO12" s="138"/>
    </row>
    <row r="13" spans="1:67" ht="14.25" customHeight="1" x14ac:dyDescent="0.45">
      <c r="A13" s="147"/>
      <c r="B13" s="147"/>
      <c r="C13" s="147"/>
      <c r="D13" s="147"/>
      <c r="E13" s="138"/>
      <c r="F13" s="138"/>
      <c r="G13" s="138"/>
      <c r="H13" s="138"/>
      <c r="I13" s="138"/>
      <c r="J13" s="138"/>
      <c r="K13" s="138"/>
      <c r="L13" s="138"/>
      <c r="M13" s="138"/>
      <c r="N13" s="138"/>
      <c r="O13" s="138"/>
      <c r="P13" s="138"/>
      <c r="Q13" s="138"/>
      <c r="R13" s="138"/>
      <c r="S13" s="138"/>
      <c r="T13" s="138"/>
      <c r="U13" s="138"/>
      <c r="V13" s="138"/>
      <c r="W13" s="138"/>
      <c r="X13" s="138"/>
      <c r="Y13" s="138"/>
      <c r="Z13" s="138"/>
      <c r="AA13" s="138"/>
      <c r="AB13" s="138"/>
      <c r="AC13" s="138"/>
      <c r="AD13" s="138"/>
      <c r="AE13" s="138"/>
      <c r="AF13" s="138"/>
      <c r="AG13" s="138"/>
      <c r="AH13" s="138"/>
      <c r="AI13" s="138"/>
      <c r="AJ13" s="138"/>
      <c r="AK13" s="138"/>
      <c r="AL13" s="138"/>
      <c r="AM13" s="138"/>
      <c r="AN13" s="138"/>
      <c r="AO13" s="138"/>
      <c r="AP13" s="138"/>
      <c r="AQ13" s="138"/>
      <c r="AR13" s="138"/>
      <c r="AS13" s="138"/>
      <c r="AT13" s="138"/>
      <c r="BB13" s="138"/>
      <c r="BC13" s="138"/>
      <c r="BD13" s="138"/>
      <c r="BE13" s="138"/>
      <c r="BF13" s="138"/>
      <c r="BG13" s="138"/>
      <c r="BH13" s="138"/>
      <c r="BI13" s="138"/>
      <c r="BJ13" s="138"/>
      <c r="BK13" s="138"/>
      <c r="BL13" s="138"/>
      <c r="BM13" s="138"/>
      <c r="BN13" s="138"/>
      <c r="BO13" s="138"/>
    </row>
    <row r="14" spans="1:67" ht="14.25" customHeight="1" x14ac:dyDescent="0.45">
      <c r="E14" s="138" t="s">
        <v>36</v>
      </c>
      <c r="F14" s="138"/>
      <c r="G14" s="138"/>
      <c r="H14" s="138" t="s">
        <v>37</v>
      </c>
      <c r="I14" s="138"/>
      <c r="J14" s="138"/>
      <c r="K14" s="138" t="s">
        <v>38</v>
      </c>
      <c r="L14" s="138"/>
      <c r="M14" s="138"/>
      <c r="N14" s="138" t="s">
        <v>39</v>
      </c>
      <c r="O14" s="138"/>
      <c r="P14" s="138"/>
      <c r="Q14" s="138" t="s">
        <v>40</v>
      </c>
      <c r="R14" s="138"/>
      <c r="S14" s="138"/>
      <c r="T14" s="138" t="s">
        <v>41</v>
      </c>
      <c r="U14" s="138"/>
      <c r="V14" s="138"/>
      <c r="W14" s="138" t="s">
        <v>42</v>
      </c>
      <c r="X14" s="138"/>
      <c r="Y14" s="138"/>
      <c r="Z14" s="138" t="s">
        <v>43</v>
      </c>
      <c r="AA14" s="138"/>
      <c r="AB14" s="138"/>
      <c r="AC14" s="138" t="s">
        <v>44</v>
      </c>
      <c r="AD14" s="138"/>
      <c r="AE14" s="138"/>
      <c r="AF14" s="138" t="s">
        <v>45</v>
      </c>
      <c r="AG14" s="138"/>
      <c r="AH14" s="138"/>
      <c r="AI14" s="138" t="s">
        <v>46</v>
      </c>
      <c r="AJ14" s="138"/>
      <c r="AK14" s="138"/>
      <c r="AL14" s="138" t="s">
        <v>47</v>
      </c>
      <c r="AM14" s="138"/>
      <c r="AN14" s="138"/>
      <c r="AO14" s="138" t="s">
        <v>48</v>
      </c>
      <c r="AP14" s="138"/>
      <c r="AQ14" s="138"/>
      <c r="AR14" s="138" t="s">
        <v>49</v>
      </c>
      <c r="AS14" s="138"/>
      <c r="AT14" s="138"/>
    </row>
    <row r="15" spans="1:67" s="38" customFormat="1" ht="14.25" customHeight="1" thickBot="1" x14ac:dyDescent="0.5"/>
    <row r="16" spans="1:67" s="40" customFormat="1" ht="14.25" customHeight="1" x14ac:dyDescent="0.45">
      <c r="A16" s="129"/>
      <c r="B16" s="129"/>
      <c r="C16" s="129"/>
      <c r="D16" s="130"/>
      <c r="E16" s="139" t="s">
        <v>50</v>
      </c>
      <c r="F16" s="139"/>
      <c r="G16" s="139"/>
      <c r="H16" s="139" t="s">
        <v>51</v>
      </c>
      <c r="I16" s="139"/>
      <c r="J16" s="139"/>
      <c r="K16" s="139" t="s">
        <v>52</v>
      </c>
      <c r="L16" s="139"/>
      <c r="M16" s="139" t="s">
        <v>53</v>
      </c>
      <c r="N16" s="139"/>
      <c r="O16" s="139" t="s">
        <v>54</v>
      </c>
      <c r="P16" s="139"/>
      <c r="Q16" s="139" t="s">
        <v>55</v>
      </c>
      <c r="R16" s="139"/>
      <c r="S16" s="139"/>
      <c r="T16" s="139"/>
      <c r="U16" s="139"/>
      <c r="V16" s="139"/>
      <c r="W16" s="139"/>
      <c r="X16" s="139"/>
      <c r="Y16" s="139"/>
      <c r="Z16" s="139"/>
      <c r="AA16" s="139"/>
      <c r="AB16" s="139"/>
      <c r="AC16" s="139"/>
      <c r="AD16" s="139"/>
      <c r="AE16" s="139"/>
      <c r="AF16" s="139"/>
      <c r="AG16" s="139"/>
      <c r="AH16" s="139"/>
      <c r="AI16" s="139" t="s">
        <v>56</v>
      </c>
      <c r="AJ16" s="139"/>
      <c r="AK16" s="139"/>
      <c r="AL16" s="139"/>
      <c r="AM16" s="139"/>
      <c r="AN16" s="139"/>
      <c r="AO16" s="139" t="s">
        <v>57</v>
      </c>
      <c r="AP16" s="139"/>
      <c r="AQ16" s="139"/>
      <c r="AR16" s="139"/>
      <c r="AS16" s="139"/>
      <c r="AT16" s="139"/>
    </row>
    <row r="17" spans="1:67" s="40" customFormat="1" ht="14.25" customHeight="1" x14ac:dyDescent="0.45">
      <c r="A17" s="129"/>
      <c r="B17" s="129"/>
      <c r="C17" s="129"/>
      <c r="D17" s="130"/>
      <c r="E17" s="139"/>
      <c r="F17" s="139"/>
      <c r="G17" s="139"/>
      <c r="H17" s="139"/>
      <c r="I17" s="139"/>
      <c r="J17" s="139"/>
      <c r="K17" s="139"/>
      <c r="L17" s="139"/>
      <c r="M17" s="139"/>
      <c r="N17" s="139"/>
      <c r="O17" s="139"/>
      <c r="P17" s="139"/>
      <c r="Q17" s="139"/>
      <c r="R17" s="139"/>
      <c r="S17" s="139"/>
      <c r="T17" s="139"/>
      <c r="U17" s="139"/>
      <c r="V17" s="139"/>
      <c r="W17" s="139"/>
      <c r="X17" s="139"/>
      <c r="Y17" s="139"/>
      <c r="Z17" s="139"/>
      <c r="AA17" s="139"/>
      <c r="AB17" s="139"/>
      <c r="AC17" s="139"/>
      <c r="AD17" s="139"/>
      <c r="AE17" s="139"/>
      <c r="AF17" s="139"/>
      <c r="AG17" s="139"/>
      <c r="AH17" s="139"/>
      <c r="AI17" s="139"/>
      <c r="AJ17" s="139"/>
      <c r="AK17" s="139"/>
      <c r="AL17" s="139"/>
      <c r="AM17" s="139"/>
      <c r="AN17" s="139"/>
      <c r="AO17" s="139"/>
      <c r="AP17" s="139"/>
      <c r="AQ17" s="139"/>
      <c r="AR17" s="139"/>
      <c r="AS17" s="139"/>
      <c r="AT17" s="139"/>
    </row>
    <row r="18" spans="1:67" ht="14.25" customHeight="1" x14ac:dyDescent="0.45">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V18" s="148" t="s">
        <v>58</v>
      </c>
      <c r="AW18" s="148"/>
      <c r="AX18" s="148"/>
      <c r="AY18" s="148"/>
      <c r="AZ18" s="148"/>
      <c r="BA18" s="148"/>
      <c r="BB18" s="149" t="s">
        <v>59</v>
      </c>
      <c r="BC18" s="150"/>
      <c r="BD18" s="150"/>
      <c r="BE18" s="150"/>
      <c r="BF18" s="150"/>
      <c r="BG18" s="150"/>
      <c r="BH18" s="150"/>
      <c r="BI18" s="150"/>
      <c r="BJ18" s="150"/>
      <c r="BK18" s="150"/>
      <c r="BL18" s="150"/>
      <c r="BM18" s="150"/>
      <c r="BN18" s="150"/>
      <c r="BO18" s="150"/>
    </row>
    <row r="19" spans="1:67" ht="14.25" customHeight="1" x14ac:dyDescent="0.45">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BB19" s="150"/>
      <c r="BC19" s="150"/>
      <c r="BD19" s="150"/>
      <c r="BE19" s="150"/>
      <c r="BF19" s="150"/>
      <c r="BG19" s="150"/>
      <c r="BH19" s="150"/>
      <c r="BI19" s="150"/>
      <c r="BJ19" s="150"/>
      <c r="BK19" s="150"/>
      <c r="BL19" s="150"/>
      <c r="BM19" s="150"/>
      <c r="BN19" s="150"/>
      <c r="BO19" s="150"/>
    </row>
    <row r="20" spans="1:67" ht="14.25" customHeight="1" x14ac:dyDescent="0.45">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BB20" s="150"/>
      <c r="BC20" s="150"/>
      <c r="BD20" s="150"/>
      <c r="BE20" s="150"/>
      <c r="BF20" s="150"/>
      <c r="BG20" s="150"/>
      <c r="BH20" s="150"/>
      <c r="BI20" s="150"/>
      <c r="BJ20" s="150"/>
      <c r="BK20" s="150"/>
      <c r="BL20" s="150"/>
      <c r="BM20" s="150"/>
      <c r="BN20" s="150"/>
      <c r="BO20" s="150"/>
    </row>
    <row r="21" spans="1:67" ht="14.25" customHeight="1" x14ac:dyDescent="0.45">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BB21" s="150"/>
      <c r="BC21" s="150"/>
      <c r="BD21" s="150"/>
      <c r="BE21" s="150"/>
      <c r="BF21" s="150"/>
      <c r="BG21" s="150"/>
      <c r="BH21" s="150"/>
      <c r="BI21" s="150"/>
      <c r="BJ21" s="150"/>
      <c r="BK21" s="150"/>
      <c r="BL21" s="150"/>
      <c r="BM21" s="150"/>
      <c r="BN21" s="150"/>
      <c r="BO21" s="150"/>
    </row>
    <row r="22" spans="1:67" ht="14.25" customHeight="1" x14ac:dyDescent="0.45">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BB22" s="150"/>
      <c r="BC22" s="150"/>
      <c r="BD22" s="150"/>
      <c r="BE22" s="150"/>
      <c r="BF22" s="150"/>
      <c r="BG22" s="150"/>
      <c r="BH22" s="150"/>
      <c r="BI22" s="150"/>
      <c r="BJ22" s="150"/>
      <c r="BK22" s="150"/>
      <c r="BL22" s="150"/>
      <c r="BM22" s="150"/>
      <c r="BN22" s="150"/>
      <c r="BO22" s="150"/>
    </row>
    <row r="23" spans="1:67" ht="14.25" customHeight="1" x14ac:dyDescent="0.45">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BB23" s="150"/>
      <c r="BC23" s="150"/>
      <c r="BD23" s="150"/>
      <c r="BE23" s="150"/>
      <c r="BF23" s="150"/>
      <c r="BG23" s="150"/>
      <c r="BH23" s="150"/>
      <c r="BI23" s="150"/>
      <c r="BJ23" s="150"/>
      <c r="BK23" s="150"/>
      <c r="BL23" s="150"/>
      <c r="BM23" s="150"/>
      <c r="BN23" s="150"/>
      <c r="BO23" s="150"/>
    </row>
    <row r="24" spans="1:67" ht="14.25" customHeight="1" x14ac:dyDescent="0.45">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BB24" s="150"/>
      <c r="BC24" s="150"/>
      <c r="BD24" s="150"/>
      <c r="BE24" s="150"/>
      <c r="BF24" s="150"/>
      <c r="BG24" s="150"/>
      <c r="BH24" s="150"/>
      <c r="BI24" s="150"/>
      <c r="BJ24" s="150"/>
      <c r="BK24" s="150"/>
      <c r="BL24" s="150"/>
      <c r="BM24" s="150"/>
      <c r="BN24" s="150"/>
      <c r="BO24" s="150"/>
    </row>
    <row r="25" spans="1:67" ht="14.25" customHeight="1" x14ac:dyDescent="0.45">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BB25" s="150"/>
      <c r="BC25" s="150"/>
      <c r="BD25" s="150"/>
      <c r="BE25" s="150"/>
      <c r="BF25" s="150"/>
      <c r="BG25" s="150"/>
      <c r="BH25" s="150"/>
      <c r="BI25" s="150"/>
      <c r="BJ25" s="150"/>
      <c r="BK25" s="150"/>
      <c r="BL25" s="150"/>
      <c r="BM25" s="150"/>
      <c r="BN25" s="150"/>
      <c r="BO25" s="150"/>
    </row>
    <row r="26" spans="1:67" ht="14.25" customHeight="1" x14ac:dyDescent="0.45">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BB26" s="150"/>
      <c r="BC26" s="150"/>
      <c r="BD26" s="150"/>
      <c r="BE26" s="150"/>
      <c r="BF26" s="150"/>
      <c r="BG26" s="150"/>
      <c r="BH26" s="150"/>
      <c r="BI26" s="150"/>
      <c r="BJ26" s="150"/>
      <c r="BK26" s="150"/>
      <c r="BL26" s="150"/>
      <c r="BM26" s="150"/>
      <c r="BN26" s="150"/>
      <c r="BO26" s="150"/>
    </row>
    <row r="27" spans="1:67" ht="14.25" customHeight="1" x14ac:dyDescent="0.45">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BB27" s="150"/>
      <c r="BC27" s="150"/>
      <c r="BD27" s="150"/>
      <c r="BE27" s="150"/>
      <c r="BF27" s="150"/>
      <c r="BG27" s="150"/>
      <c r="BH27" s="150"/>
      <c r="BI27" s="150"/>
      <c r="BJ27" s="150"/>
      <c r="BK27" s="150"/>
      <c r="BL27" s="150"/>
      <c r="BM27" s="150"/>
      <c r="BN27" s="150"/>
      <c r="BO27" s="150"/>
    </row>
    <row r="28" spans="1:67" ht="14.25" customHeight="1" x14ac:dyDescent="0.45">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BB28" s="150"/>
      <c r="BC28" s="150"/>
      <c r="BD28" s="150"/>
      <c r="BE28" s="150"/>
      <c r="BF28" s="150"/>
      <c r="BG28" s="150"/>
      <c r="BH28" s="150"/>
      <c r="BI28" s="150"/>
      <c r="BJ28" s="150"/>
      <c r="BK28" s="150"/>
      <c r="BL28" s="150"/>
      <c r="BM28" s="150"/>
      <c r="BN28" s="150"/>
      <c r="BO28" s="150"/>
    </row>
    <row r="29" spans="1:67" ht="14.25" customHeight="1" x14ac:dyDescent="0.45">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BB29" s="150"/>
      <c r="BC29" s="150"/>
      <c r="BD29" s="150"/>
      <c r="BE29" s="150"/>
      <c r="BF29" s="150"/>
      <c r="BG29" s="150"/>
      <c r="BH29" s="150"/>
      <c r="BI29" s="150"/>
      <c r="BJ29" s="150"/>
      <c r="BK29" s="150"/>
      <c r="BL29" s="150"/>
      <c r="BM29" s="150"/>
      <c r="BN29" s="150"/>
      <c r="BO29" s="150"/>
    </row>
    <row r="30" spans="1:67" ht="14.25" customHeight="1" x14ac:dyDescent="0.45">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BB30" s="150"/>
      <c r="BC30" s="150"/>
      <c r="BD30" s="150"/>
      <c r="BE30" s="150"/>
      <c r="BF30" s="150"/>
      <c r="BG30" s="150"/>
      <c r="BH30" s="150"/>
      <c r="BI30" s="150"/>
      <c r="BJ30" s="150"/>
      <c r="BK30" s="150"/>
      <c r="BL30" s="150"/>
      <c r="BM30" s="150"/>
      <c r="BN30" s="150"/>
      <c r="BO30" s="150"/>
    </row>
    <row r="31" spans="1:67" ht="14.25" customHeight="1" x14ac:dyDescent="0.45">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row>
    <row r="32" spans="1:67" ht="14.25" customHeight="1" x14ac:dyDescent="0.45">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V32" s="143" t="s">
        <v>60</v>
      </c>
      <c r="AW32" s="144"/>
      <c r="AX32" s="144"/>
      <c r="AY32" s="144"/>
      <c r="AZ32" s="144"/>
      <c r="BA32" s="145"/>
      <c r="BB32" s="140"/>
      <c r="BC32" s="141"/>
      <c r="BD32" s="141"/>
      <c r="BE32" s="141"/>
      <c r="BF32" s="141"/>
      <c r="BG32" s="141"/>
      <c r="BH32" s="141"/>
      <c r="BI32" s="141"/>
      <c r="BJ32" s="141"/>
      <c r="BK32" s="141"/>
      <c r="BL32" s="141"/>
      <c r="BM32" s="141"/>
      <c r="BN32" s="141"/>
      <c r="BO32" s="142"/>
    </row>
    <row r="33" spans="5:67" ht="14.25" customHeight="1" x14ac:dyDescent="0.45">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row>
    <row r="34" spans="5:67" ht="14.25" customHeight="1" x14ac:dyDescent="0.45">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V34" s="143" t="s">
        <v>61</v>
      </c>
      <c r="AW34" s="144"/>
      <c r="AX34" s="144"/>
      <c r="AY34" s="144"/>
      <c r="AZ34" s="144"/>
      <c r="BA34" s="145"/>
      <c r="BB34" s="140"/>
      <c r="BC34" s="141"/>
      <c r="BD34" s="141"/>
      <c r="BE34" s="141"/>
      <c r="BF34" s="141"/>
      <c r="BG34" s="141"/>
      <c r="BH34" s="141"/>
      <c r="BI34" s="141"/>
      <c r="BJ34" s="141"/>
      <c r="BK34" s="141"/>
      <c r="BL34" s="141"/>
      <c r="BM34" s="141"/>
      <c r="BN34" s="141"/>
      <c r="BO34" s="142"/>
    </row>
    <row r="35" spans="5:67" ht="14.25" customHeight="1" x14ac:dyDescent="0.45">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row>
    <row r="36" spans="5:67" ht="14.25" customHeight="1" x14ac:dyDescent="0.45">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V36" s="143" t="s">
        <v>62</v>
      </c>
      <c r="AW36" s="144"/>
      <c r="AX36" s="144"/>
      <c r="AY36" s="144"/>
      <c r="AZ36" s="144"/>
      <c r="BA36" s="145"/>
      <c r="BB36" s="140"/>
      <c r="BC36" s="141"/>
      <c r="BD36" s="141"/>
      <c r="BE36" s="141"/>
      <c r="BF36" s="141"/>
      <c r="BG36" s="141"/>
      <c r="BH36" s="141"/>
      <c r="BI36" s="141"/>
      <c r="BJ36" s="141"/>
      <c r="BK36" s="141"/>
      <c r="BL36" s="141"/>
      <c r="BM36" s="141"/>
      <c r="BN36" s="141"/>
      <c r="BO36" s="142"/>
    </row>
    <row r="37" spans="5:67" ht="14.25" customHeight="1" x14ac:dyDescent="0.45">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row>
    <row r="38" spans="5:67" ht="14.25" customHeight="1" x14ac:dyDescent="0.45">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V38" s="143" t="s">
        <v>63</v>
      </c>
      <c r="AW38" s="144"/>
      <c r="AX38" s="144"/>
      <c r="AY38" s="144"/>
      <c r="AZ38" s="144"/>
      <c r="BA38" s="145"/>
      <c r="BB38" s="140"/>
      <c r="BC38" s="141"/>
      <c r="BD38" s="141"/>
      <c r="BE38" s="141"/>
      <c r="BF38" s="141"/>
      <c r="BG38" s="141"/>
      <c r="BH38" s="141"/>
      <c r="BI38" s="141"/>
      <c r="BJ38" s="141"/>
      <c r="BK38" s="141"/>
      <c r="BL38" s="141"/>
      <c r="BM38" s="141"/>
      <c r="BN38" s="141"/>
      <c r="BO38" s="142"/>
    </row>
    <row r="39" spans="5:67" ht="14.25" customHeight="1" x14ac:dyDescent="0.45">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row>
    <row r="40" spans="5:67" ht="14.25" customHeight="1" x14ac:dyDescent="0.45">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row>
    <row r="41" spans="5:67" ht="14.25" customHeight="1" x14ac:dyDescent="0.45">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row>
    <row r="42" spans="5:67" ht="14.25" customHeight="1" x14ac:dyDescent="0.45">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row>
    <row r="43" spans="5:67" ht="14.25" customHeight="1" x14ac:dyDescent="0.45">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row>
    <row r="44" spans="5:67" ht="14.25" customHeight="1" x14ac:dyDescent="0.45">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row>
    <row r="45" spans="5:67" ht="14.25" customHeight="1" x14ac:dyDescent="0.45">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row>
    <row r="46" spans="5:67" ht="14.25" customHeight="1" x14ac:dyDescent="0.45">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row>
    <row r="47" spans="5:67" ht="14.25" customHeight="1" x14ac:dyDescent="0.45">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row>
    <row r="48" spans="5:67" ht="14.25" customHeight="1" x14ac:dyDescent="0.45">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row>
    <row r="49" spans="5:46" ht="14.25" customHeight="1" x14ac:dyDescent="0.45">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row>
    <row r="50" spans="5:46" ht="14.25" customHeight="1" x14ac:dyDescent="0.45">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row>
    <row r="51" spans="5:46" ht="14.25" customHeight="1" x14ac:dyDescent="0.45">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row>
    <row r="52" spans="5:46" ht="14.25" customHeight="1" x14ac:dyDescent="0.45">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row>
    <row r="53" spans="5:46" ht="14.25" customHeight="1" x14ac:dyDescent="0.45">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row>
    <row r="54" spans="5:46" ht="14.25" customHeight="1" x14ac:dyDescent="0.45">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row>
  </sheetData>
  <mergeCells count="405">
    <mergeCell ref="AV38:BA38"/>
    <mergeCell ref="BB38:BO38"/>
    <mergeCell ref="E11:G13"/>
    <mergeCell ref="E14:G14"/>
    <mergeCell ref="H11:J13"/>
    <mergeCell ref="H14:J14"/>
    <mergeCell ref="K11:M13"/>
    <mergeCell ref="K14:M14"/>
    <mergeCell ref="AO4:AT8"/>
    <mergeCell ref="AO9:AT9"/>
    <mergeCell ref="AL14:AN14"/>
    <mergeCell ref="W14:Y14"/>
    <mergeCell ref="Z14:AB14"/>
    <mergeCell ref="AC14:AE14"/>
    <mergeCell ref="N14:P14"/>
    <mergeCell ref="Q14:S14"/>
    <mergeCell ref="T14:V14"/>
    <mergeCell ref="K16:L17"/>
    <mergeCell ref="H16:J17"/>
    <mergeCell ref="E16:G17"/>
    <mergeCell ref="AV18:BA18"/>
    <mergeCell ref="BB18:BO30"/>
    <mergeCell ref="BB8:BC9"/>
    <mergeCell ref="BD8:BE9"/>
    <mergeCell ref="A6:D7"/>
    <mergeCell ref="A12:D13"/>
    <mergeCell ref="AC4:AH8"/>
    <mergeCell ref="AC9:AH9"/>
    <mergeCell ref="AI4:AN8"/>
    <mergeCell ref="AI9:AN9"/>
    <mergeCell ref="W4:AB8"/>
    <mergeCell ref="W9:AB9"/>
    <mergeCell ref="E4:J8"/>
    <mergeCell ref="E9:J9"/>
    <mergeCell ref="K4:P8"/>
    <mergeCell ref="K9:P9"/>
    <mergeCell ref="Q4:V8"/>
    <mergeCell ref="Q9:V9"/>
    <mergeCell ref="W11:Y13"/>
    <mergeCell ref="Z11:AB13"/>
    <mergeCell ref="AC11:AE13"/>
    <mergeCell ref="N11:P13"/>
    <mergeCell ref="Q11:S13"/>
    <mergeCell ref="T11:V13"/>
    <mergeCell ref="AR14:AT14"/>
    <mergeCell ref="AO11:AQ13"/>
    <mergeCell ref="AO14:AQ14"/>
    <mergeCell ref="AF11:AH13"/>
    <mergeCell ref="AF14:AH14"/>
    <mergeCell ref="AI11:AK13"/>
    <mergeCell ref="AI14:AK14"/>
    <mergeCell ref="AL11:AN13"/>
    <mergeCell ref="Q18:AH18"/>
    <mergeCell ref="AI18:AN18"/>
    <mergeCell ref="AO18:AT18"/>
    <mergeCell ref="AR11:AT13"/>
    <mergeCell ref="E19:G19"/>
    <mergeCell ref="H19:J19"/>
    <mergeCell ref="K19:L19"/>
    <mergeCell ref="M19:N19"/>
    <mergeCell ref="O19:P19"/>
    <mergeCell ref="Q19:AH19"/>
    <mergeCell ref="AI19:AN19"/>
    <mergeCell ref="AO19:AT19"/>
    <mergeCell ref="E18:G18"/>
    <mergeCell ref="H18:J18"/>
    <mergeCell ref="K18:L18"/>
    <mergeCell ref="M18:N18"/>
    <mergeCell ref="O18:P18"/>
    <mergeCell ref="Q20:AH20"/>
    <mergeCell ref="AI20:AN20"/>
    <mergeCell ref="AO20:AT20"/>
    <mergeCell ref="E21:G21"/>
    <mergeCell ref="H21:J21"/>
    <mergeCell ref="K21:L21"/>
    <mergeCell ref="M21:N21"/>
    <mergeCell ref="O21:P21"/>
    <mergeCell ref="Q21:AH21"/>
    <mergeCell ref="AI21:AN21"/>
    <mergeCell ref="AO21:AT21"/>
    <mergeCell ref="E20:G20"/>
    <mergeCell ref="H20:J20"/>
    <mergeCell ref="K20:L20"/>
    <mergeCell ref="M20:N20"/>
    <mergeCell ref="O20:P20"/>
    <mergeCell ref="Q22:AH22"/>
    <mergeCell ref="AI22:AN22"/>
    <mergeCell ref="AO22:AT22"/>
    <mergeCell ref="E23:G23"/>
    <mergeCell ref="H23:J23"/>
    <mergeCell ref="K23:L23"/>
    <mergeCell ref="M23:N23"/>
    <mergeCell ref="O23:P23"/>
    <mergeCell ref="Q23:AH23"/>
    <mergeCell ref="AI23:AN23"/>
    <mergeCell ref="AO23:AT23"/>
    <mergeCell ref="E22:G22"/>
    <mergeCell ref="H22:J22"/>
    <mergeCell ref="K22:L22"/>
    <mergeCell ref="M22:N22"/>
    <mergeCell ref="O22:P22"/>
    <mergeCell ref="Q24:AH24"/>
    <mergeCell ref="AI24:AN24"/>
    <mergeCell ref="AO24:AT24"/>
    <mergeCell ref="E25:G25"/>
    <mergeCell ref="H25:J25"/>
    <mergeCell ref="K25:L25"/>
    <mergeCell ref="M25:N25"/>
    <mergeCell ref="O25:P25"/>
    <mergeCell ref="Q25:AH25"/>
    <mergeCell ref="AI25:AN25"/>
    <mergeCell ref="AO25:AT25"/>
    <mergeCell ref="E24:G24"/>
    <mergeCell ref="H24:J24"/>
    <mergeCell ref="K24:L24"/>
    <mergeCell ref="M24:N24"/>
    <mergeCell ref="O24:P24"/>
    <mergeCell ref="Q26:AH26"/>
    <mergeCell ref="AI26:AN26"/>
    <mergeCell ref="AO26:AT26"/>
    <mergeCell ref="E27:G27"/>
    <mergeCell ref="H27:J27"/>
    <mergeCell ref="K27:L27"/>
    <mergeCell ref="M27:N27"/>
    <mergeCell ref="O27:P27"/>
    <mergeCell ref="Q27:AH27"/>
    <mergeCell ref="AI27:AN27"/>
    <mergeCell ref="AO27:AT27"/>
    <mergeCell ref="E26:G26"/>
    <mergeCell ref="H26:J26"/>
    <mergeCell ref="K26:L26"/>
    <mergeCell ref="M26:N26"/>
    <mergeCell ref="O26:P26"/>
    <mergeCell ref="Q28:AH28"/>
    <mergeCell ref="AI28:AN28"/>
    <mergeCell ref="AO28:AT28"/>
    <mergeCell ref="E29:G29"/>
    <mergeCell ref="H29:J29"/>
    <mergeCell ref="K29:L29"/>
    <mergeCell ref="M29:N29"/>
    <mergeCell ref="O29:P29"/>
    <mergeCell ref="Q29:AH29"/>
    <mergeCell ref="AI29:AN29"/>
    <mergeCell ref="AO29:AT29"/>
    <mergeCell ref="E28:G28"/>
    <mergeCell ref="H28:J28"/>
    <mergeCell ref="K28:L28"/>
    <mergeCell ref="M28:N28"/>
    <mergeCell ref="O28:P28"/>
    <mergeCell ref="Q30:AH30"/>
    <mergeCell ref="AI30:AN30"/>
    <mergeCell ref="AO30:AT30"/>
    <mergeCell ref="E31:G31"/>
    <mergeCell ref="H31:J31"/>
    <mergeCell ref="K31:L31"/>
    <mergeCell ref="M31:N31"/>
    <mergeCell ref="O31:P31"/>
    <mergeCell ref="Q31:AH31"/>
    <mergeCell ref="AI31:AN31"/>
    <mergeCell ref="AO31:AT31"/>
    <mergeCell ref="E30:G30"/>
    <mergeCell ref="H30:J30"/>
    <mergeCell ref="K30:L30"/>
    <mergeCell ref="M30:N30"/>
    <mergeCell ref="O30:P30"/>
    <mergeCell ref="Q32:AH32"/>
    <mergeCell ref="AI32:AN32"/>
    <mergeCell ref="AO32:AT32"/>
    <mergeCell ref="E33:G33"/>
    <mergeCell ref="H33:J33"/>
    <mergeCell ref="K33:L33"/>
    <mergeCell ref="M33:N33"/>
    <mergeCell ref="O33:P33"/>
    <mergeCell ref="Q33:AH33"/>
    <mergeCell ref="AI33:AN33"/>
    <mergeCell ref="AO33:AT33"/>
    <mergeCell ref="E32:G32"/>
    <mergeCell ref="H32:J32"/>
    <mergeCell ref="K32:L32"/>
    <mergeCell ref="M32:N32"/>
    <mergeCell ref="O32:P32"/>
    <mergeCell ref="Q34:AH34"/>
    <mergeCell ref="AI34:AN34"/>
    <mergeCell ref="AO34:AT34"/>
    <mergeCell ref="E35:G35"/>
    <mergeCell ref="H35:J35"/>
    <mergeCell ref="K35:L35"/>
    <mergeCell ref="M35:N35"/>
    <mergeCell ref="O35:P35"/>
    <mergeCell ref="Q35:AH35"/>
    <mergeCell ref="AI35:AN35"/>
    <mergeCell ref="AO35:AT35"/>
    <mergeCell ref="E34:G34"/>
    <mergeCell ref="H34:J34"/>
    <mergeCell ref="K34:L34"/>
    <mergeCell ref="M34:N34"/>
    <mergeCell ref="O34:P34"/>
    <mergeCell ref="O37:P37"/>
    <mergeCell ref="Q37:AH37"/>
    <mergeCell ref="AI37:AN37"/>
    <mergeCell ref="AO37:AT37"/>
    <mergeCell ref="E36:G36"/>
    <mergeCell ref="H36:J36"/>
    <mergeCell ref="K36:L36"/>
    <mergeCell ref="M36:N36"/>
    <mergeCell ref="O36:P36"/>
    <mergeCell ref="AV36:BA36"/>
    <mergeCell ref="AV34:BA34"/>
    <mergeCell ref="AV32:BA32"/>
    <mergeCell ref="BB32:BO32"/>
    <mergeCell ref="BB34:BO34"/>
    <mergeCell ref="E1:H2"/>
    <mergeCell ref="Q38:AH38"/>
    <mergeCell ref="AI38:AN38"/>
    <mergeCell ref="AO38:AT38"/>
    <mergeCell ref="AO16:AT17"/>
    <mergeCell ref="AI16:AN17"/>
    <mergeCell ref="Q16:AH17"/>
    <mergeCell ref="E38:G38"/>
    <mergeCell ref="H38:J38"/>
    <mergeCell ref="K38:L38"/>
    <mergeCell ref="M38:N38"/>
    <mergeCell ref="O38:P38"/>
    <mergeCell ref="Q36:AH36"/>
    <mergeCell ref="AI36:AN36"/>
    <mergeCell ref="AO36:AT36"/>
    <mergeCell ref="E37:G37"/>
    <mergeCell ref="H37:J37"/>
    <mergeCell ref="K37:L37"/>
    <mergeCell ref="M37:N37"/>
    <mergeCell ref="BB36:BO36"/>
    <mergeCell ref="BB5:BC6"/>
    <mergeCell ref="BB7:BC7"/>
    <mergeCell ref="BD5:BE6"/>
    <mergeCell ref="BD7:BE7"/>
    <mergeCell ref="BF5:BG6"/>
    <mergeCell ref="BF7:BG7"/>
    <mergeCell ref="BH5:BI6"/>
    <mergeCell ref="BH7:BI7"/>
    <mergeCell ref="BJ5:BK6"/>
    <mergeCell ref="BJ7:BK7"/>
    <mergeCell ref="BL5:BM6"/>
    <mergeCell ref="BL7:BM7"/>
    <mergeCell ref="BN5:BO6"/>
    <mergeCell ref="BN7:BO7"/>
    <mergeCell ref="BF8:BG9"/>
    <mergeCell ref="BH8:BI9"/>
    <mergeCell ref="BJ8:BK9"/>
    <mergeCell ref="BL8:BM9"/>
    <mergeCell ref="BN8:BO9"/>
    <mergeCell ref="BB10:BC10"/>
    <mergeCell ref="BD10:BE10"/>
    <mergeCell ref="BF10:BG10"/>
    <mergeCell ref="A16:D17"/>
    <mergeCell ref="I1:AH2"/>
    <mergeCell ref="AO1:AT2"/>
    <mergeCell ref="AJ1:AN2"/>
    <mergeCell ref="BL13:BM13"/>
    <mergeCell ref="BN13:BO13"/>
    <mergeCell ref="BB13:BC13"/>
    <mergeCell ref="BD13:BE13"/>
    <mergeCell ref="BF13:BG13"/>
    <mergeCell ref="BH13:BI13"/>
    <mergeCell ref="BJ13:BK13"/>
    <mergeCell ref="BH10:BI10"/>
    <mergeCell ref="BJ10:BK10"/>
    <mergeCell ref="BL10:BM10"/>
    <mergeCell ref="BN10:BO10"/>
    <mergeCell ref="BB11:BC12"/>
    <mergeCell ref="BD11:BE12"/>
    <mergeCell ref="BF11:BG12"/>
    <mergeCell ref="BH11:BI12"/>
    <mergeCell ref="BJ11:BK12"/>
    <mergeCell ref="BL11:BM12"/>
    <mergeCell ref="BN11:BO12"/>
    <mergeCell ref="O16:P17"/>
    <mergeCell ref="M16:N17"/>
    <mergeCell ref="Q39:AH39"/>
    <mergeCell ref="AI39:AN39"/>
    <mergeCell ref="AO39:AT39"/>
    <mergeCell ref="E40:G40"/>
    <mergeCell ref="H40:J40"/>
    <mergeCell ref="K40:L40"/>
    <mergeCell ref="M40:N40"/>
    <mergeCell ref="O40:P40"/>
    <mergeCell ref="Q40:AH40"/>
    <mergeCell ref="AI40:AN40"/>
    <mergeCell ref="AO40:AT40"/>
    <mergeCell ref="E39:G39"/>
    <mergeCell ref="H39:J39"/>
    <mergeCell ref="K39:L39"/>
    <mergeCell ref="M39:N39"/>
    <mergeCell ref="O39:P39"/>
    <mergeCell ref="Q41:AH41"/>
    <mergeCell ref="AI41:AN41"/>
    <mergeCell ref="AO41:AT41"/>
    <mergeCell ref="E42:G42"/>
    <mergeCell ref="H42:J42"/>
    <mergeCell ref="K42:L42"/>
    <mergeCell ref="M42:N42"/>
    <mergeCell ref="O42:P42"/>
    <mergeCell ref="Q42:AH42"/>
    <mergeCell ref="AI42:AN42"/>
    <mergeCell ref="AO42:AT42"/>
    <mergeCell ref="E41:G41"/>
    <mergeCell ref="H41:J41"/>
    <mergeCell ref="K41:L41"/>
    <mergeCell ref="M41:N41"/>
    <mergeCell ref="O41:P41"/>
    <mergeCell ref="Q43:AH43"/>
    <mergeCell ref="AI43:AN43"/>
    <mergeCell ref="AO43:AT43"/>
    <mergeCell ref="E44:G44"/>
    <mergeCell ref="H44:J44"/>
    <mergeCell ref="K44:L44"/>
    <mergeCell ref="M44:N44"/>
    <mergeCell ref="O44:P44"/>
    <mergeCell ref="Q44:AH44"/>
    <mergeCell ref="AI44:AN44"/>
    <mergeCell ref="AO44:AT44"/>
    <mergeCell ref="E43:G43"/>
    <mergeCell ref="H43:J43"/>
    <mergeCell ref="K43:L43"/>
    <mergeCell ref="M43:N43"/>
    <mergeCell ref="O43:P43"/>
    <mergeCell ref="Q45:AH45"/>
    <mergeCell ref="AI45:AN45"/>
    <mergeCell ref="AO45:AT45"/>
    <mergeCell ref="E46:G46"/>
    <mergeCell ref="H46:J46"/>
    <mergeCell ref="K46:L46"/>
    <mergeCell ref="M46:N46"/>
    <mergeCell ref="O46:P46"/>
    <mergeCell ref="Q46:AH46"/>
    <mergeCell ref="AI46:AN46"/>
    <mergeCell ref="AO46:AT46"/>
    <mergeCell ref="E45:G45"/>
    <mergeCell ref="H45:J45"/>
    <mergeCell ref="K45:L45"/>
    <mergeCell ref="M45:N45"/>
    <mergeCell ref="O45:P45"/>
    <mergeCell ref="Q47:AH47"/>
    <mergeCell ref="AI47:AN47"/>
    <mergeCell ref="AO47:AT47"/>
    <mergeCell ref="E48:G48"/>
    <mergeCell ref="H48:J48"/>
    <mergeCell ref="K48:L48"/>
    <mergeCell ref="M48:N48"/>
    <mergeCell ref="O48:P48"/>
    <mergeCell ref="Q48:AH48"/>
    <mergeCell ref="AI48:AN48"/>
    <mergeCell ref="AO48:AT48"/>
    <mergeCell ref="E47:G47"/>
    <mergeCell ref="H47:J47"/>
    <mergeCell ref="K47:L47"/>
    <mergeCell ref="M47:N47"/>
    <mergeCell ref="O47:P47"/>
    <mergeCell ref="Q49:AH49"/>
    <mergeCell ref="AI49:AN49"/>
    <mergeCell ref="AO49:AT49"/>
    <mergeCell ref="E50:G50"/>
    <mergeCell ref="H50:J50"/>
    <mergeCell ref="K50:L50"/>
    <mergeCell ref="M50:N50"/>
    <mergeCell ref="O50:P50"/>
    <mergeCell ref="Q50:AH50"/>
    <mergeCell ref="AI50:AN50"/>
    <mergeCell ref="AO50:AT50"/>
    <mergeCell ref="E49:G49"/>
    <mergeCell ref="H49:J49"/>
    <mergeCell ref="K49:L49"/>
    <mergeCell ref="M49:N49"/>
    <mergeCell ref="O49:P49"/>
    <mergeCell ref="Q51:AH51"/>
    <mergeCell ref="AI51:AN51"/>
    <mergeCell ref="AO51:AT51"/>
    <mergeCell ref="E52:G52"/>
    <mergeCell ref="H52:J52"/>
    <mergeCell ref="K52:L52"/>
    <mergeCell ref="M52:N52"/>
    <mergeCell ref="O52:P52"/>
    <mergeCell ref="Q52:AH52"/>
    <mergeCell ref="AI52:AN52"/>
    <mergeCell ref="AO52:AT52"/>
    <mergeCell ref="E51:G51"/>
    <mergeCell ref="H51:J51"/>
    <mergeCell ref="K51:L51"/>
    <mergeCell ref="M51:N51"/>
    <mergeCell ref="O51:P51"/>
    <mergeCell ref="Q53:AH53"/>
    <mergeCell ref="AI53:AN53"/>
    <mergeCell ref="AO53:AT53"/>
    <mergeCell ref="E54:G54"/>
    <mergeCell ref="H54:J54"/>
    <mergeCell ref="K54:L54"/>
    <mergeCell ref="M54:N54"/>
    <mergeCell ref="O54:P54"/>
    <mergeCell ref="Q54:AH54"/>
    <mergeCell ref="AI54:AN54"/>
    <mergeCell ref="AO54:AT54"/>
    <mergeCell ref="E53:G53"/>
    <mergeCell ref="H53:J53"/>
    <mergeCell ref="K53:L53"/>
    <mergeCell ref="M53:N53"/>
    <mergeCell ref="O53:P5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7221" r:id="rId4" name="btnSprings">
          <controlPr defaultSize="0" autoLine="0" r:id="rId5">
            <anchor moveWithCells="1">
              <from>
                <xdr:col>43</xdr:col>
                <xdr:colOff>47625</xdr:colOff>
                <xdr:row>10</xdr:row>
                <xdr:rowOff>76200</xdr:rowOff>
              </from>
              <to>
                <xdr:col>45</xdr:col>
                <xdr:colOff>142875</xdr:colOff>
                <xdr:row>12</xdr:row>
                <xdr:rowOff>142875</xdr:rowOff>
              </to>
            </anchor>
          </controlPr>
        </control>
      </mc:Choice>
      <mc:Fallback>
        <control shapeId="7221" r:id="rId4" name="btnSprings"/>
      </mc:Fallback>
    </mc:AlternateContent>
    <mc:AlternateContent xmlns:mc="http://schemas.openxmlformats.org/markup-compatibility/2006">
      <mc:Choice Requires="x14">
        <control shapeId="7220" r:id="rId6" name="btnSensors">
          <controlPr defaultSize="0" autoLine="0" r:id="rId7">
            <anchor moveWithCells="1">
              <from>
                <xdr:col>40</xdr:col>
                <xdr:colOff>66675</xdr:colOff>
                <xdr:row>10</xdr:row>
                <xdr:rowOff>85725</xdr:rowOff>
              </from>
              <to>
                <xdr:col>42</xdr:col>
                <xdr:colOff>161925</xdr:colOff>
                <xdr:row>12</xdr:row>
                <xdr:rowOff>152400</xdr:rowOff>
              </to>
            </anchor>
          </controlPr>
        </control>
      </mc:Choice>
      <mc:Fallback>
        <control shapeId="7220" r:id="rId6" name="btnSensors"/>
      </mc:Fallback>
    </mc:AlternateContent>
    <mc:AlternateContent xmlns:mc="http://schemas.openxmlformats.org/markup-compatibility/2006">
      <mc:Choice Requires="x14">
        <control shapeId="7219" r:id="rId8" name="btnPackaging">
          <controlPr defaultSize="0" autoLine="0" r:id="rId9">
            <anchor moveWithCells="1">
              <from>
                <xdr:col>37</xdr:col>
                <xdr:colOff>28575</xdr:colOff>
                <xdr:row>10</xdr:row>
                <xdr:rowOff>76200</xdr:rowOff>
              </from>
              <to>
                <xdr:col>39</xdr:col>
                <xdr:colOff>123825</xdr:colOff>
                <xdr:row>12</xdr:row>
                <xdr:rowOff>142875</xdr:rowOff>
              </to>
            </anchor>
          </controlPr>
        </control>
      </mc:Choice>
      <mc:Fallback>
        <control shapeId="7219" r:id="rId8" name="btnPackaging"/>
      </mc:Fallback>
    </mc:AlternateContent>
    <mc:AlternateContent xmlns:mc="http://schemas.openxmlformats.org/markup-compatibility/2006">
      <mc:Choice Requires="x14">
        <control shapeId="7218" r:id="rId10" name="btnOptics">
          <controlPr defaultSize="0" autoLine="0" r:id="rId11">
            <anchor moveWithCells="1">
              <from>
                <xdr:col>34</xdr:col>
                <xdr:colOff>38100</xdr:colOff>
                <xdr:row>10</xdr:row>
                <xdr:rowOff>76200</xdr:rowOff>
              </from>
              <to>
                <xdr:col>36</xdr:col>
                <xdr:colOff>133350</xdr:colOff>
                <xdr:row>12</xdr:row>
                <xdr:rowOff>142875</xdr:rowOff>
              </to>
            </anchor>
          </controlPr>
        </control>
      </mc:Choice>
      <mc:Fallback>
        <control shapeId="7218" r:id="rId10" name="btnOptics"/>
      </mc:Fallback>
    </mc:AlternateContent>
    <mc:AlternateContent xmlns:mc="http://schemas.openxmlformats.org/markup-compatibility/2006">
      <mc:Choice Requires="x14">
        <control shapeId="7217" r:id="rId12" name="btnMotion">
          <controlPr defaultSize="0" autoLine="0" r:id="rId13">
            <anchor moveWithCells="1">
              <from>
                <xdr:col>31</xdr:col>
                <xdr:colOff>47625</xdr:colOff>
                <xdr:row>10</xdr:row>
                <xdr:rowOff>66675</xdr:rowOff>
              </from>
              <to>
                <xdr:col>33</xdr:col>
                <xdr:colOff>142875</xdr:colOff>
                <xdr:row>12</xdr:row>
                <xdr:rowOff>133350</xdr:rowOff>
              </to>
            </anchor>
          </controlPr>
        </control>
      </mc:Choice>
      <mc:Fallback>
        <control shapeId="7217" r:id="rId12" name="btnMotion"/>
      </mc:Fallback>
    </mc:AlternateContent>
    <mc:AlternateContent xmlns:mc="http://schemas.openxmlformats.org/markup-compatibility/2006">
      <mc:Choice Requires="x14">
        <control shapeId="7216" r:id="rId14" name="btnMagnets">
          <controlPr defaultSize="0" autoLine="0" r:id="rId15">
            <anchor moveWithCells="1">
              <from>
                <xdr:col>28</xdr:col>
                <xdr:colOff>47625</xdr:colOff>
                <xdr:row>10</xdr:row>
                <xdr:rowOff>66675</xdr:rowOff>
              </from>
              <to>
                <xdr:col>30</xdr:col>
                <xdr:colOff>142875</xdr:colOff>
                <xdr:row>12</xdr:row>
                <xdr:rowOff>133350</xdr:rowOff>
              </to>
            </anchor>
          </controlPr>
        </control>
      </mc:Choice>
      <mc:Fallback>
        <control shapeId="7216" r:id="rId14" name="btnMagnets"/>
      </mc:Fallback>
    </mc:AlternateContent>
    <mc:AlternateContent xmlns:mc="http://schemas.openxmlformats.org/markup-compatibility/2006">
      <mc:Choice Requires="x14">
        <control shapeId="7215" r:id="rId16" name="btnHMI">
          <controlPr defaultSize="0" autoLine="0" r:id="rId17">
            <anchor moveWithCells="1">
              <from>
                <xdr:col>25</xdr:col>
                <xdr:colOff>38100</xdr:colOff>
                <xdr:row>10</xdr:row>
                <xdr:rowOff>76200</xdr:rowOff>
              </from>
              <to>
                <xdr:col>27</xdr:col>
                <xdr:colOff>133350</xdr:colOff>
                <xdr:row>12</xdr:row>
                <xdr:rowOff>142875</xdr:rowOff>
              </to>
            </anchor>
          </controlPr>
        </control>
      </mc:Choice>
      <mc:Fallback>
        <control shapeId="7215" r:id="rId16" name="btnHMI"/>
      </mc:Fallback>
    </mc:AlternateContent>
    <mc:AlternateContent xmlns:mc="http://schemas.openxmlformats.org/markup-compatibility/2006">
      <mc:Choice Requires="x14">
        <control shapeId="7214" r:id="rId18" name="btnGaskets">
          <controlPr defaultSize="0" autoLine="0" r:id="rId19">
            <anchor moveWithCells="1">
              <from>
                <xdr:col>22</xdr:col>
                <xdr:colOff>47625</xdr:colOff>
                <xdr:row>10</xdr:row>
                <xdr:rowOff>66675</xdr:rowOff>
              </from>
              <to>
                <xdr:col>24</xdr:col>
                <xdr:colOff>142875</xdr:colOff>
                <xdr:row>12</xdr:row>
                <xdr:rowOff>133350</xdr:rowOff>
              </to>
            </anchor>
          </controlPr>
        </control>
      </mc:Choice>
      <mc:Fallback>
        <control shapeId="7214" r:id="rId18" name="btnGaskets"/>
      </mc:Fallback>
    </mc:AlternateContent>
    <mc:AlternateContent xmlns:mc="http://schemas.openxmlformats.org/markup-compatibility/2006">
      <mc:Choice Requires="x14">
        <control shapeId="7213" r:id="rId20" name="btnFluidics">
          <controlPr defaultSize="0" autoLine="0" r:id="rId21">
            <anchor moveWithCells="1">
              <from>
                <xdr:col>19</xdr:col>
                <xdr:colOff>38100</xdr:colOff>
                <xdr:row>10</xdr:row>
                <xdr:rowOff>66675</xdr:rowOff>
              </from>
              <to>
                <xdr:col>21</xdr:col>
                <xdr:colOff>133350</xdr:colOff>
                <xdr:row>12</xdr:row>
                <xdr:rowOff>133350</xdr:rowOff>
              </to>
            </anchor>
          </controlPr>
        </control>
      </mc:Choice>
      <mc:Fallback>
        <control shapeId="7213" r:id="rId20" name="btnFluidics"/>
      </mc:Fallback>
    </mc:AlternateContent>
    <mc:AlternateContent xmlns:mc="http://schemas.openxmlformats.org/markup-compatibility/2006">
      <mc:Choice Requires="x14">
        <control shapeId="7212" r:id="rId22" name="btnFasteners">
          <controlPr defaultSize="0" autoLine="0" r:id="rId23">
            <anchor moveWithCells="1">
              <from>
                <xdr:col>16</xdr:col>
                <xdr:colOff>38100</xdr:colOff>
                <xdr:row>10</xdr:row>
                <xdr:rowOff>66675</xdr:rowOff>
              </from>
              <to>
                <xdr:col>18</xdr:col>
                <xdr:colOff>133350</xdr:colOff>
                <xdr:row>12</xdr:row>
                <xdr:rowOff>133350</xdr:rowOff>
              </to>
            </anchor>
          </controlPr>
        </control>
      </mc:Choice>
      <mc:Fallback>
        <control shapeId="7212" r:id="rId22" name="btnFasteners"/>
      </mc:Fallback>
    </mc:AlternateContent>
    <mc:AlternateContent xmlns:mc="http://schemas.openxmlformats.org/markup-compatibility/2006">
      <mc:Choice Requires="x14">
        <control shapeId="7211" r:id="rId24" name="btnElecComponents">
          <controlPr defaultSize="0" autoLine="0" r:id="rId25">
            <anchor moveWithCells="1">
              <from>
                <xdr:col>13</xdr:col>
                <xdr:colOff>47625</xdr:colOff>
                <xdr:row>10</xdr:row>
                <xdr:rowOff>66675</xdr:rowOff>
              </from>
              <to>
                <xdr:col>15</xdr:col>
                <xdr:colOff>142875</xdr:colOff>
                <xdr:row>12</xdr:row>
                <xdr:rowOff>133350</xdr:rowOff>
              </to>
            </anchor>
          </controlPr>
        </control>
      </mc:Choice>
      <mc:Fallback>
        <control shapeId="7211" r:id="rId24" name="btnElecComponents"/>
      </mc:Fallback>
    </mc:AlternateContent>
    <mc:AlternateContent xmlns:mc="http://schemas.openxmlformats.org/markup-compatibility/2006">
      <mc:Choice Requires="x14">
        <control shapeId="7210" r:id="rId26" name="btnCasting">
          <controlPr defaultSize="0" autoLine="0" r:id="rId27">
            <anchor moveWithCells="1">
              <from>
                <xdr:col>10</xdr:col>
                <xdr:colOff>66675</xdr:colOff>
                <xdr:row>10</xdr:row>
                <xdr:rowOff>66675</xdr:rowOff>
              </from>
              <to>
                <xdr:col>12</xdr:col>
                <xdr:colOff>166688</xdr:colOff>
                <xdr:row>12</xdr:row>
                <xdr:rowOff>133350</xdr:rowOff>
              </to>
            </anchor>
          </controlPr>
        </control>
      </mc:Choice>
      <mc:Fallback>
        <control shapeId="7210" r:id="rId26" name="btnCasting"/>
      </mc:Fallback>
    </mc:AlternateContent>
    <mc:AlternateContent xmlns:mc="http://schemas.openxmlformats.org/markup-compatibility/2006">
      <mc:Choice Requires="x14">
        <control shapeId="7209" r:id="rId28" name="btnCables">
          <controlPr defaultSize="0" autoLine="0" r:id="rId29">
            <anchor moveWithCells="1">
              <from>
                <xdr:col>7</xdr:col>
                <xdr:colOff>47625</xdr:colOff>
                <xdr:row>10</xdr:row>
                <xdr:rowOff>47625</xdr:rowOff>
              </from>
              <to>
                <xdr:col>9</xdr:col>
                <xdr:colOff>147638</xdr:colOff>
                <xdr:row>12</xdr:row>
                <xdr:rowOff>114300</xdr:rowOff>
              </to>
            </anchor>
          </controlPr>
        </control>
      </mc:Choice>
      <mc:Fallback>
        <control shapeId="7209" r:id="rId28" name="btnCables"/>
      </mc:Fallback>
    </mc:AlternateContent>
    <mc:AlternateContent xmlns:mc="http://schemas.openxmlformats.org/markup-compatibility/2006">
      <mc:Choice Requires="x14">
        <control shapeId="7208" r:id="rId30" name="btnAdhesives">
          <controlPr defaultSize="0" autoLine="0" r:id="rId31">
            <anchor moveWithCells="1">
              <from>
                <xdr:col>4</xdr:col>
                <xdr:colOff>47625</xdr:colOff>
                <xdr:row>10</xdr:row>
                <xdr:rowOff>47625</xdr:rowOff>
              </from>
              <to>
                <xdr:col>6</xdr:col>
                <xdr:colOff>147638</xdr:colOff>
                <xdr:row>12</xdr:row>
                <xdr:rowOff>114300</xdr:rowOff>
              </to>
            </anchor>
          </controlPr>
        </control>
      </mc:Choice>
      <mc:Fallback>
        <control shapeId="7208" r:id="rId30" name="btnAdhesives"/>
      </mc:Fallback>
    </mc:AlternateContent>
    <mc:AlternateContent xmlns:mc="http://schemas.openxmlformats.org/markup-compatibility/2006">
      <mc:Choice Requires="x14">
        <control shapeId="7207" r:id="rId32" name="btnLaserCutting">
          <controlPr defaultSize="0" autoLine="0" r:id="rId33">
            <anchor moveWithCells="1">
              <from>
                <xdr:col>40</xdr:col>
                <xdr:colOff>114300</xdr:colOff>
                <xdr:row>3</xdr:row>
                <xdr:rowOff>47625</xdr:rowOff>
              </from>
              <to>
                <xdr:col>45</xdr:col>
                <xdr:colOff>66675</xdr:colOff>
                <xdr:row>7</xdr:row>
                <xdr:rowOff>152400</xdr:rowOff>
              </to>
            </anchor>
          </controlPr>
        </control>
      </mc:Choice>
      <mc:Fallback>
        <control shapeId="7207" r:id="rId32" name="btnLaserCutting"/>
      </mc:Fallback>
    </mc:AlternateContent>
    <mc:AlternateContent xmlns:mc="http://schemas.openxmlformats.org/markup-compatibility/2006">
      <mc:Choice Requires="x14">
        <control shapeId="7206" r:id="rId34" name="btnPrototyping">
          <controlPr defaultSize="0" autoLine="0" r:id="rId35">
            <anchor moveWithCells="1">
              <from>
                <xdr:col>34</xdr:col>
                <xdr:colOff>114300</xdr:colOff>
                <xdr:row>3</xdr:row>
                <xdr:rowOff>47625</xdr:rowOff>
              </from>
              <to>
                <xdr:col>39</xdr:col>
                <xdr:colOff>66675</xdr:colOff>
                <xdr:row>7</xdr:row>
                <xdr:rowOff>152400</xdr:rowOff>
              </to>
            </anchor>
          </controlPr>
        </control>
      </mc:Choice>
      <mc:Fallback>
        <control shapeId="7206" r:id="rId34" name="btnPrototyping"/>
      </mc:Fallback>
    </mc:AlternateContent>
    <mc:AlternateContent xmlns:mc="http://schemas.openxmlformats.org/markup-compatibility/2006">
      <mc:Choice Requires="x14">
        <control shapeId="7205" r:id="rId36" name="btnSheetMetal">
          <controlPr defaultSize="0" autoLine="0" r:id="rId37">
            <anchor moveWithCells="1">
              <from>
                <xdr:col>28</xdr:col>
                <xdr:colOff>133350</xdr:colOff>
                <xdr:row>3</xdr:row>
                <xdr:rowOff>57150</xdr:rowOff>
              </from>
              <to>
                <xdr:col>33</xdr:col>
                <xdr:colOff>85725</xdr:colOff>
                <xdr:row>7</xdr:row>
                <xdr:rowOff>161925</xdr:rowOff>
              </to>
            </anchor>
          </controlPr>
        </control>
      </mc:Choice>
      <mc:Fallback>
        <control shapeId="7205" r:id="rId36" name="btnSheetMetal"/>
      </mc:Fallback>
    </mc:AlternateContent>
    <mc:AlternateContent xmlns:mc="http://schemas.openxmlformats.org/markup-compatibility/2006">
      <mc:Choice Requires="x14">
        <control shapeId="7204" r:id="rId38" name="btnMachining">
          <controlPr defaultSize="0" autoLine="0" r:id="rId39">
            <anchor moveWithCells="1">
              <from>
                <xdr:col>22</xdr:col>
                <xdr:colOff>114300</xdr:colOff>
                <xdr:row>3</xdr:row>
                <xdr:rowOff>57150</xdr:rowOff>
              </from>
              <to>
                <xdr:col>27</xdr:col>
                <xdr:colOff>66675</xdr:colOff>
                <xdr:row>7</xdr:row>
                <xdr:rowOff>161925</xdr:rowOff>
              </to>
            </anchor>
          </controlPr>
        </control>
      </mc:Choice>
      <mc:Fallback>
        <control shapeId="7204" r:id="rId38" name="btnMachining"/>
      </mc:Fallback>
    </mc:AlternateContent>
    <mc:AlternateContent xmlns:mc="http://schemas.openxmlformats.org/markup-compatibility/2006">
      <mc:Choice Requires="x14">
        <control shapeId="7203" r:id="rId40" name="btnInjMoulding">
          <controlPr defaultSize="0" autoLine="0" r:id="rId41">
            <anchor moveWithCells="1">
              <from>
                <xdr:col>16</xdr:col>
                <xdr:colOff>104775</xdr:colOff>
                <xdr:row>3</xdr:row>
                <xdr:rowOff>57150</xdr:rowOff>
              </from>
              <to>
                <xdr:col>21</xdr:col>
                <xdr:colOff>57150</xdr:colOff>
                <xdr:row>7</xdr:row>
                <xdr:rowOff>161925</xdr:rowOff>
              </to>
            </anchor>
          </controlPr>
        </control>
      </mc:Choice>
      <mc:Fallback>
        <control shapeId="7203" r:id="rId40" name="btnInjMoulding"/>
      </mc:Fallback>
    </mc:AlternateContent>
    <mc:AlternateContent xmlns:mc="http://schemas.openxmlformats.org/markup-compatibility/2006">
      <mc:Choice Requires="x14">
        <control shapeId="7202" r:id="rId42" name="btnElectronics">
          <controlPr defaultSize="0" autoLine="0" r:id="rId43">
            <anchor moveWithCells="1">
              <from>
                <xdr:col>10</xdr:col>
                <xdr:colOff>47625</xdr:colOff>
                <xdr:row>3</xdr:row>
                <xdr:rowOff>38100</xdr:rowOff>
              </from>
              <to>
                <xdr:col>15</xdr:col>
                <xdr:colOff>114300</xdr:colOff>
                <xdr:row>7</xdr:row>
                <xdr:rowOff>142875</xdr:rowOff>
              </to>
            </anchor>
          </controlPr>
        </control>
      </mc:Choice>
      <mc:Fallback>
        <control shapeId="7202" r:id="rId42" name="btnElectronics"/>
      </mc:Fallback>
    </mc:AlternateContent>
    <mc:AlternateContent xmlns:mc="http://schemas.openxmlformats.org/markup-compatibility/2006">
      <mc:Choice Requires="x14">
        <control shapeId="7201" r:id="rId44" name="btnContractManufacturing">
          <controlPr defaultSize="0" autoLine="0" r:id="rId45">
            <anchor moveWithCells="1">
              <from>
                <xdr:col>4</xdr:col>
                <xdr:colOff>28575</xdr:colOff>
                <xdr:row>3</xdr:row>
                <xdr:rowOff>47625</xdr:rowOff>
              </from>
              <to>
                <xdr:col>9</xdr:col>
                <xdr:colOff>95250</xdr:colOff>
                <xdr:row>7</xdr:row>
                <xdr:rowOff>133350</xdr:rowOff>
              </to>
            </anchor>
          </controlPr>
        </control>
      </mc:Choice>
      <mc:Fallback>
        <control shapeId="7201" r:id="rId44" name="btnContractManufacturin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outlinePr summaryBelow="0" summaryRight="0"/>
    <pageSetUpPr fitToPage="1"/>
  </sheetPr>
  <dimension ref="A1:M1494"/>
  <sheetViews>
    <sheetView tabSelected="1" zoomScale="160" zoomScaleNormal="160" workbookViewId="0">
      <pane ySplit="3" topLeftCell="A4" activePane="bottomLeft" state="frozen"/>
      <selection pane="bottomLeft" activeCell="D15" sqref="D15"/>
    </sheetView>
  </sheetViews>
  <sheetFormatPr defaultColWidth="9.1328125" defaultRowHeight="7.9" x14ac:dyDescent="0.25"/>
  <cols>
    <col min="1" max="1" width="16.6640625" style="112" customWidth="1"/>
    <col min="2" max="2" width="32.9296875" style="113" customWidth="1"/>
    <col min="3" max="3" width="6.46484375" style="107" customWidth="1"/>
    <col min="4" max="4" width="23.9296875" style="107" customWidth="1"/>
    <col min="5" max="5" width="20.59765625" style="76" customWidth="1"/>
    <col min="6" max="6" width="9.1328125" style="108"/>
    <col min="7" max="7" width="9.1328125" style="78" hidden="1" customWidth="1"/>
    <col min="8" max="11" width="8.73046875" style="107" customWidth="1"/>
    <col min="12" max="12" width="8.86328125" style="107" customWidth="1"/>
    <col min="13" max="13" width="11.53125" style="76" hidden="1" customWidth="1"/>
    <col min="14" max="14" width="9.1328125" style="107" customWidth="1"/>
    <col min="15" max="16384" width="9.1328125" style="107"/>
  </cols>
  <sheetData>
    <row r="1" spans="1:13" s="68" customFormat="1" ht="11.25" customHeight="1" x14ac:dyDescent="0.3">
      <c r="A1" s="45"/>
      <c r="B1" s="63" t="s">
        <v>64</v>
      </c>
      <c r="C1" s="67"/>
      <c r="D1" s="66"/>
      <c r="E1" s="43"/>
      <c r="G1" s="42"/>
      <c r="M1" s="42"/>
    </row>
    <row r="2" spans="1:13" s="68" customFormat="1" ht="28.5" customHeight="1" x14ac:dyDescent="0.3">
      <c r="A2" s="45"/>
      <c r="B2" s="64" t="s">
        <v>66</v>
      </c>
      <c r="D2" s="69"/>
      <c r="E2" s="44"/>
      <c r="G2" s="42"/>
      <c r="J2" s="68" t="s">
        <v>67</v>
      </c>
      <c r="M2" s="42"/>
    </row>
    <row r="3" spans="1:13" s="71" customFormat="1" ht="39" customHeight="1" x14ac:dyDescent="0.25">
      <c r="A3" s="65"/>
      <c r="B3" s="52" t="s">
        <v>55</v>
      </c>
      <c r="C3" s="70" t="s">
        <v>5346</v>
      </c>
      <c r="D3" s="70" t="s">
        <v>65</v>
      </c>
      <c r="E3" s="54" t="s">
        <v>69</v>
      </c>
      <c r="F3" s="70" t="s">
        <v>56</v>
      </c>
      <c r="G3" s="54" t="s">
        <v>70</v>
      </c>
      <c r="H3" s="70" t="s">
        <v>71</v>
      </c>
      <c r="I3" s="70" t="s">
        <v>72</v>
      </c>
      <c r="J3" s="70" t="s">
        <v>73</v>
      </c>
      <c r="K3" s="70" t="s">
        <v>74</v>
      </c>
      <c r="L3" s="70" t="s">
        <v>75</v>
      </c>
      <c r="M3" s="44" t="s">
        <v>76</v>
      </c>
    </row>
    <row r="4" spans="1:13" s="103" customFormat="1" ht="11.25" customHeight="1" x14ac:dyDescent="0.25">
      <c r="A4" s="89" t="s">
        <v>77</v>
      </c>
      <c r="B4" s="98" t="s">
        <v>78</v>
      </c>
      <c r="C4" s="101" t="s">
        <v>5347</v>
      </c>
      <c r="D4" s="101" t="s">
        <v>5342</v>
      </c>
      <c r="E4" s="74" t="s">
        <v>80</v>
      </c>
      <c r="F4" s="100" t="s">
        <v>81</v>
      </c>
      <c r="G4" s="72" t="e">
        <f>_xlfn.TEXTJOIN(", ",TRUE,B4,#REF!,#REF!,#REF!,D4,E4)</f>
        <v>#REF!</v>
      </c>
      <c r="H4" s="99"/>
      <c r="I4" s="99"/>
      <c r="J4" s="99"/>
      <c r="K4" s="99"/>
      <c r="L4" s="99"/>
      <c r="M4" s="77" t="s">
        <v>84</v>
      </c>
    </row>
    <row r="5" spans="1:13" s="103" customFormat="1" ht="10.9" customHeight="1" x14ac:dyDescent="0.25">
      <c r="A5" s="89" t="s">
        <v>85</v>
      </c>
      <c r="B5" s="98" t="s">
        <v>86</v>
      </c>
      <c r="C5" s="101" t="s">
        <v>5347</v>
      </c>
      <c r="D5" s="101" t="s">
        <v>5342</v>
      </c>
      <c r="E5" s="74" t="s">
        <v>87</v>
      </c>
      <c r="F5" s="100" t="s">
        <v>81</v>
      </c>
      <c r="G5" s="72" t="e">
        <f>_xlfn.TEXTJOIN(", ",TRUE,B5,#REF!,#REF!,#REF!,D5,E5)</f>
        <v>#REF!</v>
      </c>
      <c r="H5" s="99">
        <v>45170</v>
      </c>
      <c r="I5" s="99"/>
      <c r="J5" s="99"/>
      <c r="K5" s="99"/>
      <c r="L5" s="99"/>
      <c r="M5" s="77" t="s">
        <v>88</v>
      </c>
    </row>
    <row r="6" spans="1:13" s="103" customFormat="1" ht="10.9" customHeight="1" x14ac:dyDescent="0.25">
      <c r="A6" s="89" t="s">
        <v>89</v>
      </c>
      <c r="B6" s="98" t="s">
        <v>90</v>
      </c>
      <c r="C6" s="101" t="s">
        <v>5347</v>
      </c>
      <c r="D6" s="101" t="s">
        <v>5342</v>
      </c>
      <c r="E6" s="74" t="s">
        <v>91</v>
      </c>
      <c r="F6" s="100" t="s">
        <v>81</v>
      </c>
      <c r="G6" s="72" t="e">
        <f>_xlfn.TEXTJOIN(", ",TRUE,B6,#REF!,#REF!,#REF!,D6,E6)</f>
        <v>#REF!</v>
      </c>
      <c r="H6" s="99"/>
      <c r="I6" s="99"/>
      <c r="J6" s="99"/>
      <c r="K6" s="99">
        <v>44443</v>
      </c>
      <c r="L6" s="99"/>
      <c r="M6" s="77" t="s">
        <v>88</v>
      </c>
    </row>
    <row r="7" spans="1:13" s="103" customFormat="1" ht="10.9" customHeight="1" x14ac:dyDescent="0.25">
      <c r="A7" s="89" t="s">
        <v>92</v>
      </c>
      <c r="B7" s="98" t="s">
        <v>93</v>
      </c>
      <c r="C7" s="101" t="s">
        <v>5347</v>
      </c>
      <c r="D7" s="101" t="s">
        <v>5342</v>
      </c>
      <c r="E7" s="74" t="s">
        <v>94</v>
      </c>
      <c r="F7" s="100" t="s">
        <v>81</v>
      </c>
      <c r="G7" s="72" t="e">
        <f>_xlfn.TEXTJOIN(", ",TRUE,B7,#REF!,#REF!,#REF!,D7,E7)</f>
        <v>#REF!</v>
      </c>
      <c r="H7" s="99">
        <v>45712</v>
      </c>
      <c r="I7" s="99"/>
      <c r="J7" s="99"/>
      <c r="K7" s="99"/>
      <c r="L7" s="99"/>
      <c r="M7" s="77">
        <v>0</v>
      </c>
    </row>
    <row r="8" spans="1:13" s="103" customFormat="1" ht="10.9" customHeight="1" x14ac:dyDescent="0.25">
      <c r="A8" s="89" t="s">
        <v>95</v>
      </c>
      <c r="B8" s="98" t="s">
        <v>96</v>
      </c>
      <c r="C8" s="101" t="s">
        <v>5347</v>
      </c>
      <c r="D8" s="101" t="s">
        <v>5342</v>
      </c>
      <c r="E8" s="74" t="s">
        <v>97</v>
      </c>
      <c r="F8" s="100" t="s">
        <v>98</v>
      </c>
      <c r="G8" s="72" t="e">
        <f>_xlfn.TEXTJOIN(", ",TRUE,B8,#REF!,#REF!,#REF!,D8,E8)</f>
        <v>#REF!</v>
      </c>
      <c r="H8" s="99"/>
      <c r="I8" s="99"/>
      <c r="J8" s="99"/>
      <c r="K8" s="99"/>
      <c r="L8" s="99"/>
      <c r="M8" s="77">
        <v>0</v>
      </c>
    </row>
    <row r="9" spans="1:13" s="103" customFormat="1" ht="10.9" customHeight="1" x14ac:dyDescent="0.25">
      <c r="A9" s="89" t="s">
        <v>99</v>
      </c>
      <c r="B9" s="98" t="s">
        <v>100</v>
      </c>
      <c r="C9" s="101" t="s">
        <v>5347</v>
      </c>
      <c r="D9" s="101" t="s">
        <v>5342</v>
      </c>
      <c r="E9" s="74" t="s">
        <v>101</v>
      </c>
      <c r="F9" s="100" t="s">
        <v>98</v>
      </c>
      <c r="G9" s="72" t="e">
        <f>_xlfn.TEXTJOIN(", ",TRUE,B9,#REF!,#REF!,#REF!,D9,E9)</f>
        <v>#REF!</v>
      </c>
      <c r="H9" s="99"/>
      <c r="I9" s="99"/>
      <c r="J9" s="99"/>
      <c r="K9" s="99"/>
      <c r="L9" s="99"/>
      <c r="M9" s="77" t="s">
        <v>102</v>
      </c>
    </row>
    <row r="10" spans="1:13" s="97" customFormat="1" ht="10.9" customHeight="1" x14ac:dyDescent="0.25">
      <c r="A10" s="93" t="s">
        <v>103</v>
      </c>
      <c r="B10" s="94" t="s">
        <v>104</v>
      </c>
      <c r="C10" s="101" t="s">
        <v>5347</v>
      </c>
      <c r="D10" s="101" t="s">
        <v>5342</v>
      </c>
      <c r="E10" s="73" t="s">
        <v>105</v>
      </c>
      <c r="F10" s="95" t="s">
        <v>106</v>
      </c>
      <c r="G10" s="72" t="e">
        <f>_xlfn.TEXTJOIN(", ",TRUE,B10,#REF!,#REF!,#REF!,D10,E10)</f>
        <v>#REF!</v>
      </c>
      <c r="H10" s="96">
        <v>46077</v>
      </c>
      <c r="I10" s="96">
        <v>45777</v>
      </c>
      <c r="J10" s="96"/>
      <c r="K10" s="96"/>
      <c r="L10" s="96"/>
      <c r="M10" s="77">
        <v>0</v>
      </c>
    </row>
    <row r="11" spans="1:13" s="103" customFormat="1" ht="10.9" customHeight="1" x14ac:dyDescent="0.25">
      <c r="A11" s="89" t="s">
        <v>107</v>
      </c>
      <c r="B11" s="98" t="s">
        <v>108</v>
      </c>
      <c r="C11" s="101" t="s">
        <v>5347</v>
      </c>
      <c r="D11" s="101" t="s">
        <v>5342</v>
      </c>
      <c r="E11" s="74" t="s">
        <v>109</v>
      </c>
      <c r="F11" s="100" t="s">
        <v>98</v>
      </c>
      <c r="G11" s="72" t="e">
        <f>_xlfn.TEXTJOIN(", ",TRUE,B11,#REF!,#REF!,#REF!,D11,E11)</f>
        <v>#REF!</v>
      </c>
      <c r="H11" s="99"/>
      <c r="I11" s="99"/>
      <c r="J11" s="99"/>
      <c r="K11" s="99"/>
      <c r="L11" s="99"/>
      <c r="M11" s="77">
        <v>0</v>
      </c>
    </row>
    <row r="12" spans="1:13" s="103" customFormat="1" ht="10.9" customHeight="1" x14ac:dyDescent="0.25">
      <c r="A12" s="89" t="s">
        <v>110</v>
      </c>
      <c r="B12" s="98" t="s">
        <v>111</v>
      </c>
      <c r="C12" s="101" t="s">
        <v>5347</v>
      </c>
      <c r="D12" s="101" t="s">
        <v>5342</v>
      </c>
      <c r="E12" s="73" t="s">
        <v>112</v>
      </c>
      <c r="F12" s="100" t="s">
        <v>98</v>
      </c>
      <c r="G12" s="72" t="e">
        <f>_xlfn.TEXTJOIN(", ",TRUE,B12,#REF!,#REF!,#REF!,D12,E12)</f>
        <v>#REF!</v>
      </c>
      <c r="H12" s="99">
        <v>45482</v>
      </c>
      <c r="I12" s="99"/>
      <c r="J12" s="99"/>
      <c r="K12" s="99"/>
      <c r="L12" s="99"/>
      <c r="M12" s="77">
        <v>0</v>
      </c>
    </row>
    <row r="13" spans="1:13" s="103" customFormat="1" ht="10.9" customHeight="1" x14ac:dyDescent="0.25">
      <c r="A13" s="89" t="s">
        <v>113</v>
      </c>
      <c r="B13" s="98" t="s">
        <v>114</v>
      </c>
      <c r="C13" s="101" t="s">
        <v>5347</v>
      </c>
      <c r="D13" s="101" t="s">
        <v>5342</v>
      </c>
      <c r="E13" s="74" t="s">
        <v>115</v>
      </c>
      <c r="F13" s="100" t="s">
        <v>81</v>
      </c>
      <c r="G13" s="72" t="e">
        <f>_xlfn.TEXTJOIN(", ",TRUE,B13,#REF!,#REF!,#REF!,D13,E13)</f>
        <v>#REF!</v>
      </c>
      <c r="H13" s="99"/>
      <c r="I13" s="99"/>
      <c r="J13" s="99"/>
      <c r="K13" s="99"/>
      <c r="L13" s="99"/>
      <c r="M13" s="77" t="s">
        <v>88</v>
      </c>
    </row>
    <row r="14" spans="1:13" s="103" customFormat="1" ht="10.9" customHeight="1" x14ac:dyDescent="0.25">
      <c r="A14" s="89" t="s">
        <v>116</v>
      </c>
      <c r="B14" s="98" t="s">
        <v>117</v>
      </c>
      <c r="C14" s="101" t="s">
        <v>5347</v>
      </c>
      <c r="D14" s="101" t="s">
        <v>5342</v>
      </c>
      <c r="E14" s="74" t="s">
        <v>115</v>
      </c>
      <c r="F14" s="100" t="s">
        <v>118</v>
      </c>
      <c r="G14" s="72" t="e">
        <f>_xlfn.TEXTJOIN(", ",TRUE,B14,#REF!,#REF!,#REF!,D14,E14)</f>
        <v>#REF!</v>
      </c>
      <c r="H14" s="99">
        <v>45480</v>
      </c>
      <c r="I14" s="99">
        <v>45433</v>
      </c>
      <c r="J14" s="99"/>
      <c r="K14" s="99"/>
      <c r="L14" s="99"/>
      <c r="M14" s="77"/>
    </row>
    <row r="15" spans="1:13" s="103" customFormat="1" ht="10.9" customHeight="1" x14ac:dyDescent="0.25">
      <c r="A15" s="89" t="s">
        <v>119</v>
      </c>
      <c r="B15" s="98" t="s">
        <v>120</v>
      </c>
      <c r="C15" s="101" t="s">
        <v>5347</v>
      </c>
      <c r="D15" s="101" t="s">
        <v>5342</v>
      </c>
      <c r="E15" s="74" t="s">
        <v>115</v>
      </c>
      <c r="F15" s="100" t="s">
        <v>118</v>
      </c>
      <c r="G15" s="72" t="e">
        <f>_xlfn.TEXTJOIN(", ",TRUE,B15,#REF!,#REF!,#REF!,D15,E15)</f>
        <v>#REF!</v>
      </c>
      <c r="H15" s="99"/>
      <c r="I15" s="99">
        <v>45255</v>
      </c>
      <c r="J15" s="99"/>
      <c r="K15" s="99"/>
      <c r="L15" s="99"/>
      <c r="M15" s="77" t="s">
        <v>88</v>
      </c>
    </row>
    <row r="16" spans="1:13" s="103" customFormat="1" ht="10.9" customHeight="1" x14ac:dyDescent="0.25">
      <c r="A16" s="89" t="s">
        <v>121</v>
      </c>
      <c r="B16" s="98" t="s">
        <v>122</v>
      </c>
      <c r="C16" s="101" t="s">
        <v>5347</v>
      </c>
      <c r="D16" s="101" t="s">
        <v>5342</v>
      </c>
      <c r="E16" s="74" t="s">
        <v>123</v>
      </c>
      <c r="F16" s="100" t="s">
        <v>81</v>
      </c>
      <c r="G16" s="72" t="e">
        <f>_xlfn.TEXTJOIN(", ",TRUE,B16,#REF!,#REF!,#REF!,D16,E16)</f>
        <v>#REF!</v>
      </c>
      <c r="H16" s="99">
        <v>45727</v>
      </c>
      <c r="I16" s="99"/>
      <c r="J16" s="99"/>
      <c r="K16" s="99"/>
      <c r="L16" s="99"/>
      <c r="M16" s="77">
        <v>0</v>
      </c>
    </row>
    <row r="17" spans="1:13" s="103" customFormat="1" ht="10.9" customHeight="1" x14ac:dyDescent="0.25">
      <c r="A17" s="89" t="s">
        <v>124</v>
      </c>
      <c r="B17" s="98" t="s">
        <v>125</v>
      </c>
      <c r="C17" s="101" t="s">
        <v>5347</v>
      </c>
      <c r="D17" s="101" t="s">
        <v>5342</v>
      </c>
      <c r="E17" s="74" t="s">
        <v>126</v>
      </c>
      <c r="F17" s="100" t="s">
        <v>98</v>
      </c>
      <c r="G17" s="72" t="e">
        <f>_xlfn.TEXTJOIN(", ",TRUE,B17,#REF!,#REF!,#REF!,D17,E17)</f>
        <v>#REF!</v>
      </c>
      <c r="H17" s="99">
        <v>44833</v>
      </c>
      <c r="I17" s="99"/>
      <c r="J17" s="99"/>
      <c r="K17" s="99"/>
      <c r="L17" s="99"/>
      <c r="M17" s="77">
        <v>0</v>
      </c>
    </row>
    <row r="18" spans="1:13" s="103" customFormat="1" ht="10.9" customHeight="1" x14ac:dyDescent="0.25">
      <c r="A18" s="90" t="s">
        <v>127</v>
      </c>
      <c r="B18" s="102" t="s">
        <v>128</v>
      </c>
      <c r="C18" s="101" t="s">
        <v>5347</v>
      </c>
      <c r="D18" s="101" t="s">
        <v>5342</v>
      </c>
      <c r="E18" s="74" t="s">
        <v>129</v>
      </c>
      <c r="F18" s="100" t="s">
        <v>130</v>
      </c>
      <c r="G18" s="72" t="e">
        <f>_xlfn.TEXTJOIN(", ",TRUE,B18,#REF!,#REF!,#REF!,D18,E18)</f>
        <v>#REF!</v>
      </c>
      <c r="H18" s="99"/>
      <c r="I18" s="99"/>
      <c r="J18" s="99"/>
      <c r="K18" s="99"/>
      <c r="L18" s="99"/>
      <c r="M18" s="77" t="s">
        <v>131</v>
      </c>
    </row>
    <row r="19" spans="1:13" s="103" customFormat="1" ht="10.9" hidden="1" customHeight="1" x14ac:dyDescent="0.25">
      <c r="A19" s="89" t="s">
        <v>132</v>
      </c>
      <c r="B19" s="104" t="s">
        <v>133</v>
      </c>
      <c r="C19" s="101" t="s">
        <v>5349</v>
      </c>
      <c r="D19" s="101" t="s">
        <v>5341</v>
      </c>
      <c r="E19" s="73" t="s">
        <v>88</v>
      </c>
      <c r="F19" s="100" t="s">
        <v>130</v>
      </c>
      <c r="G19" s="72" t="e">
        <f>_xlfn.TEXTJOIN(", ",TRUE,B19,#REF!,#REF!,#REF!,D19,E19)</f>
        <v>#REF!</v>
      </c>
      <c r="H19" s="99"/>
      <c r="I19" s="99"/>
      <c r="J19" s="99"/>
      <c r="K19" s="99"/>
      <c r="L19" s="99"/>
      <c r="M19" s="77" t="s">
        <v>134</v>
      </c>
    </row>
    <row r="20" spans="1:13" s="103" customFormat="1" ht="10.9" hidden="1" customHeight="1" x14ac:dyDescent="0.25">
      <c r="A20" s="89" t="s">
        <v>135</v>
      </c>
      <c r="B20" s="98" t="s">
        <v>136</v>
      </c>
      <c r="C20" s="101" t="s">
        <v>5349</v>
      </c>
      <c r="D20" s="101" t="s">
        <v>137</v>
      </c>
      <c r="E20" s="74" t="s">
        <v>138</v>
      </c>
      <c r="F20" s="100" t="s">
        <v>139</v>
      </c>
      <c r="G20" s="72" t="e">
        <f>_xlfn.TEXTJOIN(", ",TRUE,B20,#REF!,#REF!,#REF!,D20,E20)</f>
        <v>#REF!</v>
      </c>
      <c r="H20" s="99"/>
      <c r="I20" s="99"/>
      <c r="J20" s="99"/>
      <c r="K20" s="99"/>
      <c r="L20" s="99"/>
      <c r="M20" s="77" t="s">
        <v>88</v>
      </c>
    </row>
    <row r="21" spans="1:13" s="103" customFormat="1" ht="10.9" hidden="1" customHeight="1" x14ac:dyDescent="0.25">
      <c r="A21" s="89" t="s">
        <v>207</v>
      </c>
      <c r="B21" s="98" t="s">
        <v>208</v>
      </c>
      <c r="C21" s="101" t="s">
        <v>5348</v>
      </c>
      <c r="D21" s="101" t="s">
        <v>5342</v>
      </c>
      <c r="E21" s="74" t="s">
        <v>209</v>
      </c>
      <c r="F21" s="100" t="s">
        <v>98</v>
      </c>
      <c r="G21" s="72" t="e">
        <f>_xlfn.TEXTJOIN(", ",TRUE,B21,#REF!,#REF!,#REF!,D21,E21)</f>
        <v>#REF!</v>
      </c>
      <c r="H21" s="99"/>
      <c r="I21" s="99"/>
      <c r="J21" s="99"/>
      <c r="K21" s="99"/>
      <c r="L21" s="99"/>
      <c r="M21" s="77" t="s">
        <v>88</v>
      </c>
    </row>
    <row r="22" spans="1:13" s="103" customFormat="1" ht="10.9" hidden="1" customHeight="1" x14ac:dyDescent="0.25">
      <c r="A22" s="89" t="s">
        <v>143</v>
      </c>
      <c r="B22" s="98" t="s">
        <v>144</v>
      </c>
      <c r="C22" s="101" t="s">
        <v>5349</v>
      </c>
      <c r="D22" s="101" t="s">
        <v>142</v>
      </c>
      <c r="E22" s="73" t="s">
        <v>145</v>
      </c>
      <c r="F22" s="100" t="s">
        <v>81</v>
      </c>
      <c r="G22" s="72" t="e">
        <f>_xlfn.TEXTJOIN(", ",TRUE,B22,#REF!,#REF!,#REF!,D22,E22)</f>
        <v>#REF!</v>
      </c>
      <c r="H22" s="99">
        <v>44742</v>
      </c>
      <c r="I22" s="99"/>
      <c r="J22" s="99"/>
      <c r="K22" s="99"/>
      <c r="L22" s="99"/>
      <c r="M22" s="77" t="s">
        <v>88</v>
      </c>
    </row>
    <row r="23" spans="1:13" s="103" customFormat="1" ht="10.9" hidden="1" customHeight="1" x14ac:dyDescent="0.25">
      <c r="A23" s="89" t="s">
        <v>146</v>
      </c>
      <c r="B23" s="102" t="s">
        <v>147</v>
      </c>
      <c r="C23" s="101" t="s">
        <v>5349</v>
      </c>
      <c r="D23" s="101" t="s">
        <v>149</v>
      </c>
      <c r="E23" s="73" t="s">
        <v>150</v>
      </c>
      <c r="F23" s="100" t="s">
        <v>98</v>
      </c>
      <c r="G23" s="72" t="e">
        <f>_xlfn.TEXTJOIN(", ",TRUE,B23,#REF!,#REF!,#REF!,D23,E23)</f>
        <v>#REF!</v>
      </c>
      <c r="H23" s="99"/>
      <c r="I23" s="99"/>
      <c r="J23" s="99"/>
      <c r="K23" s="99"/>
      <c r="L23" s="99"/>
      <c r="M23" s="77" t="s">
        <v>88</v>
      </c>
    </row>
    <row r="24" spans="1:13" s="103" customFormat="1" ht="10.9" hidden="1" customHeight="1" x14ac:dyDescent="0.25">
      <c r="A24" s="89" t="s">
        <v>151</v>
      </c>
      <c r="B24" s="98" t="s">
        <v>152</v>
      </c>
      <c r="C24" s="101" t="s">
        <v>5349</v>
      </c>
      <c r="D24" s="101" t="s">
        <v>153</v>
      </c>
      <c r="E24" s="74" t="s">
        <v>154</v>
      </c>
      <c r="F24" s="100" t="s">
        <v>98</v>
      </c>
      <c r="G24" s="72" t="e">
        <f>_xlfn.TEXTJOIN(", ",TRUE,B24,#REF!,#REF!,#REF!,D24,E24)</f>
        <v>#REF!</v>
      </c>
      <c r="H24" s="99"/>
      <c r="I24" s="99"/>
      <c r="J24" s="99"/>
      <c r="K24" s="99"/>
      <c r="L24" s="99"/>
      <c r="M24" s="77" t="s">
        <v>155</v>
      </c>
    </row>
    <row r="25" spans="1:13" s="103" customFormat="1" ht="10.9" hidden="1" customHeight="1" x14ac:dyDescent="0.25">
      <c r="A25" s="89" t="s">
        <v>156</v>
      </c>
      <c r="B25" s="104" t="s">
        <v>157</v>
      </c>
      <c r="C25" s="101" t="s">
        <v>5349</v>
      </c>
      <c r="D25" s="101" t="s">
        <v>153</v>
      </c>
      <c r="E25" s="73" t="s">
        <v>158</v>
      </c>
      <c r="F25" s="100" t="s">
        <v>98</v>
      </c>
      <c r="G25" s="72" t="e">
        <f>_xlfn.TEXTJOIN(", ",TRUE,B25,#REF!,#REF!,#REF!,D25,E25)</f>
        <v>#REF!</v>
      </c>
      <c r="H25" s="99"/>
      <c r="I25" s="99"/>
      <c r="J25" s="99"/>
      <c r="K25" s="99"/>
      <c r="L25" s="99"/>
      <c r="M25" s="77" t="s">
        <v>159</v>
      </c>
    </row>
    <row r="26" spans="1:13" s="103" customFormat="1" ht="10.9" hidden="1" customHeight="1" x14ac:dyDescent="0.25">
      <c r="A26" s="89" t="s">
        <v>160</v>
      </c>
      <c r="B26" s="98" t="s">
        <v>161</v>
      </c>
      <c r="C26" s="101" t="s">
        <v>5349</v>
      </c>
      <c r="D26" s="101" t="s">
        <v>162</v>
      </c>
      <c r="E26" s="73" t="s">
        <v>163</v>
      </c>
      <c r="F26" s="100" t="s">
        <v>81</v>
      </c>
      <c r="G26" s="72" t="e">
        <f>_xlfn.TEXTJOIN(", ",TRUE,B26,#REF!,#REF!,#REF!,D26,E26)</f>
        <v>#REF!</v>
      </c>
      <c r="H26" s="99"/>
      <c r="I26" s="99"/>
      <c r="J26" s="99"/>
      <c r="K26" s="99"/>
      <c r="L26" s="99"/>
      <c r="M26" s="77" t="s">
        <v>164</v>
      </c>
    </row>
    <row r="27" spans="1:13" s="103" customFormat="1" ht="10.9" hidden="1" customHeight="1" x14ac:dyDescent="0.25">
      <c r="A27" s="89" t="s">
        <v>210</v>
      </c>
      <c r="B27" s="98" t="s">
        <v>211</v>
      </c>
      <c r="C27" s="101" t="s">
        <v>5348</v>
      </c>
      <c r="D27" s="101" t="s">
        <v>5342</v>
      </c>
      <c r="E27" s="74" t="s">
        <v>212</v>
      </c>
      <c r="F27" s="100" t="s">
        <v>98</v>
      </c>
      <c r="G27" s="72" t="e">
        <f>_xlfn.TEXTJOIN(", ",TRUE,B27,#REF!,#REF!,#REF!,D27,E27)</f>
        <v>#REF!</v>
      </c>
      <c r="H27" s="99"/>
      <c r="I27" s="99"/>
      <c r="J27" s="99"/>
      <c r="K27" s="99"/>
      <c r="L27" s="99"/>
      <c r="M27" s="77" t="s">
        <v>169</v>
      </c>
    </row>
    <row r="28" spans="1:13" s="103" customFormat="1" ht="10.9" hidden="1" customHeight="1" x14ac:dyDescent="0.25">
      <c r="A28" s="89" t="s">
        <v>213</v>
      </c>
      <c r="B28" s="98" t="s">
        <v>214</v>
      </c>
      <c r="C28" s="101" t="s">
        <v>5348</v>
      </c>
      <c r="D28" s="101" t="s">
        <v>5342</v>
      </c>
      <c r="E28" s="74" t="s">
        <v>215</v>
      </c>
      <c r="F28" s="100" t="s">
        <v>98</v>
      </c>
      <c r="G28" s="72" t="e">
        <f>_xlfn.TEXTJOIN(", ",TRUE,B28,#REF!,#REF!,#REF!,D28,E28)</f>
        <v>#REF!</v>
      </c>
      <c r="H28" s="99"/>
      <c r="I28" s="99"/>
      <c r="J28" s="99"/>
      <c r="K28" s="99"/>
      <c r="L28" s="99"/>
      <c r="M28" s="77" t="s">
        <v>159</v>
      </c>
    </row>
    <row r="29" spans="1:13" s="103" customFormat="1" ht="10.9" hidden="1" customHeight="1" x14ac:dyDescent="0.25">
      <c r="A29" s="89" t="s">
        <v>216</v>
      </c>
      <c r="B29" s="98" t="s">
        <v>217</v>
      </c>
      <c r="C29" s="101" t="s">
        <v>5348</v>
      </c>
      <c r="D29" s="101" t="s">
        <v>5342</v>
      </c>
      <c r="E29" s="74" t="s">
        <v>218</v>
      </c>
      <c r="F29" s="100" t="s">
        <v>98</v>
      </c>
      <c r="G29" s="72" t="e">
        <f>_xlfn.TEXTJOIN(", ",TRUE,B29,#REF!,#REF!,#REF!,D29,E29)</f>
        <v>#REF!</v>
      </c>
      <c r="H29" s="99"/>
      <c r="I29" s="99"/>
      <c r="J29" s="99"/>
      <c r="K29" s="99"/>
      <c r="L29" s="99"/>
      <c r="M29" s="77" t="s">
        <v>88</v>
      </c>
    </row>
    <row r="30" spans="1:13" s="103" customFormat="1" ht="10.9" hidden="1" customHeight="1" x14ac:dyDescent="0.25">
      <c r="A30" s="89" t="s">
        <v>219</v>
      </c>
      <c r="B30" s="98" t="s">
        <v>220</v>
      </c>
      <c r="C30" s="101" t="s">
        <v>5348</v>
      </c>
      <c r="D30" s="101" t="s">
        <v>5342</v>
      </c>
      <c r="E30" s="74" t="s">
        <v>215</v>
      </c>
      <c r="F30" s="100" t="s">
        <v>98</v>
      </c>
      <c r="G30" s="72" t="e">
        <f>_xlfn.TEXTJOIN(", ",TRUE,B30,#REF!,#REF!,#REF!,D30,E30)</f>
        <v>#REF!</v>
      </c>
      <c r="H30" s="99"/>
      <c r="I30" s="99"/>
      <c r="J30" s="99"/>
      <c r="K30" s="99"/>
      <c r="L30" s="99"/>
      <c r="M30" s="77" t="s">
        <v>180</v>
      </c>
    </row>
    <row r="31" spans="1:13" s="103" customFormat="1" ht="10.9" hidden="1" customHeight="1" x14ac:dyDescent="0.25">
      <c r="A31" s="89" t="s">
        <v>140</v>
      </c>
      <c r="B31" s="98" t="s">
        <v>141</v>
      </c>
      <c r="C31" s="101" t="s">
        <v>5348</v>
      </c>
      <c r="D31" s="101" t="s">
        <v>142</v>
      </c>
      <c r="E31" s="73" t="s">
        <v>88</v>
      </c>
      <c r="F31" s="100" t="s">
        <v>98</v>
      </c>
      <c r="G31" s="72" t="e">
        <f>_xlfn.TEXTJOIN(", ",TRUE,B31,#REF!,#REF!,#REF!,D31,E31)</f>
        <v>#REF!</v>
      </c>
      <c r="H31" s="99"/>
      <c r="I31" s="99"/>
      <c r="J31" s="99"/>
      <c r="K31" s="99"/>
      <c r="L31" s="99"/>
      <c r="M31" s="77" t="s">
        <v>88</v>
      </c>
    </row>
    <row r="32" spans="1:13" s="103" customFormat="1" ht="10.9" hidden="1" customHeight="1" x14ac:dyDescent="0.25">
      <c r="A32" s="89" t="s">
        <v>165</v>
      </c>
      <c r="B32" s="98" t="s">
        <v>166</v>
      </c>
      <c r="C32" s="101" t="s">
        <v>5348</v>
      </c>
      <c r="D32" s="101" t="s">
        <v>167</v>
      </c>
      <c r="E32" s="74" t="s">
        <v>168</v>
      </c>
      <c r="F32" s="100" t="s">
        <v>130</v>
      </c>
      <c r="G32" s="72" t="e">
        <f>_xlfn.TEXTJOIN(", ",TRUE,B32,#REF!,#REF!,#REF!,D32,E32)</f>
        <v>#REF!</v>
      </c>
      <c r="H32" s="99">
        <v>45837</v>
      </c>
      <c r="I32" s="99"/>
      <c r="J32" s="99"/>
      <c r="K32" s="99"/>
      <c r="L32" s="99"/>
      <c r="M32" s="77" t="s">
        <v>88</v>
      </c>
    </row>
    <row r="33" spans="1:13" s="103" customFormat="1" ht="10.9" hidden="1" customHeight="1" x14ac:dyDescent="0.25">
      <c r="A33" s="89" t="s">
        <v>170</v>
      </c>
      <c r="B33" s="98" t="s">
        <v>171</v>
      </c>
      <c r="C33" s="101" t="s">
        <v>5348</v>
      </c>
      <c r="D33" s="101" t="s">
        <v>167</v>
      </c>
      <c r="E33" s="74" t="s">
        <v>172</v>
      </c>
      <c r="F33" s="100" t="s">
        <v>130</v>
      </c>
      <c r="G33" s="72" t="e">
        <f>_xlfn.TEXTJOIN(", ",TRUE,B33,#REF!,#REF!,#REF!,D33,E33)</f>
        <v>#REF!</v>
      </c>
      <c r="H33" s="99">
        <v>45382</v>
      </c>
      <c r="I33" s="99"/>
      <c r="J33" s="99"/>
      <c r="K33" s="99"/>
      <c r="L33" s="99">
        <v>45434</v>
      </c>
      <c r="M33" s="77" t="s">
        <v>88</v>
      </c>
    </row>
    <row r="34" spans="1:13" s="103" customFormat="1" ht="10.9" hidden="1" customHeight="1" x14ac:dyDescent="0.25">
      <c r="A34" s="89" t="s">
        <v>173</v>
      </c>
      <c r="B34" s="98" t="s">
        <v>174</v>
      </c>
      <c r="C34" s="101" t="s">
        <v>5348</v>
      </c>
      <c r="D34" s="101" t="s">
        <v>167</v>
      </c>
      <c r="E34" s="74" t="s">
        <v>175</v>
      </c>
      <c r="F34" s="100" t="s">
        <v>81</v>
      </c>
      <c r="G34" s="72" t="e">
        <f>_xlfn.TEXTJOIN(", ",TRUE,B34,#REF!,#REF!,#REF!,D34,E34)</f>
        <v>#REF!</v>
      </c>
      <c r="H34" s="99">
        <v>45443</v>
      </c>
      <c r="I34" s="99"/>
      <c r="J34" s="99"/>
      <c r="K34" s="99"/>
      <c r="L34" s="99"/>
      <c r="M34" s="77" t="s">
        <v>88</v>
      </c>
    </row>
    <row r="35" spans="1:13" s="103" customFormat="1" ht="10.9" hidden="1" customHeight="1" x14ac:dyDescent="0.25">
      <c r="A35" s="89" t="s">
        <v>176</v>
      </c>
      <c r="B35" s="102" t="s">
        <v>177</v>
      </c>
      <c r="C35" s="101" t="s">
        <v>5348</v>
      </c>
      <c r="D35" s="101" t="s">
        <v>167</v>
      </c>
      <c r="E35" s="74" t="s">
        <v>178</v>
      </c>
      <c r="F35" s="100" t="s">
        <v>179</v>
      </c>
      <c r="G35" s="72" t="e">
        <f>_xlfn.TEXTJOIN(", ",TRUE,B35,#REF!,#REF!,#REF!,D35,E35)</f>
        <v>#REF!</v>
      </c>
      <c r="H35" s="99">
        <v>45272</v>
      </c>
      <c r="I35" s="99"/>
      <c r="J35" s="99"/>
      <c r="K35" s="99"/>
      <c r="L35" s="99"/>
      <c r="M35" s="77" t="s">
        <v>88</v>
      </c>
    </row>
    <row r="36" spans="1:13" s="103" customFormat="1" ht="10.9" hidden="1" customHeight="1" x14ac:dyDescent="0.25">
      <c r="A36" s="89" t="s">
        <v>181</v>
      </c>
      <c r="B36" s="109" t="s">
        <v>182</v>
      </c>
      <c r="C36" s="101" t="s">
        <v>5348</v>
      </c>
      <c r="D36" s="101" t="s">
        <v>167</v>
      </c>
      <c r="E36" s="74" t="s">
        <v>183</v>
      </c>
      <c r="F36" s="100" t="s">
        <v>130</v>
      </c>
      <c r="G36" s="72" t="e">
        <f>_xlfn.TEXTJOIN(", ",TRUE,B36,#REF!,#REF!,#REF!,D36,E36)</f>
        <v>#REF!</v>
      </c>
      <c r="H36" s="99">
        <v>45248</v>
      </c>
      <c r="I36" s="99"/>
      <c r="J36" s="99"/>
      <c r="K36" s="99"/>
      <c r="L36" s="99"/>
      <c r="M36" s="77" t="s">
        <v>88</v>
      </c>
    </row>
    <row r="37" spans="1:13" s="103" customFormat="1" ht="10.9" hidden="1" customHeight="1" x14ac:dyDescent="0.25">
      <c r="A37" s="89" t="s">
        <v>184</v>
      </c>
      <c r="B37" s="102" t="s">
        <v>185</v>
      </c>
      <c r="C37" s="101" t="s">
        <v>5348</v>
      </c>
      <c r="D37" s="101" t="s">
        <v>167</v>
      </c>
      <c r="E37" s="74" t="s">
        <v>186</v>
      </c>
      <c r="F37" s="100" t="s">
        <v>187</v>
      </c>
      <c r="G37" s="72" t="e">
        <f>_xlfn.TEXTJOIN(", ",TRUE,B37,#REF!,#REF!,#REF!,D37,E37)</f>
        <v>#REF!</v>
      </c>
      <c r="H37" s="99">
        <v>45448</v>
      </c>
      <c r="I37" s="99"/>
      <c r="J37" s="99"/>
      <c r="K37" s="99"/>
      <c r="L37" s="99">
        <v>44613</v>
      </c>
      <c r="M37" s="77" t="s">
        <v>88</v>
      </c>
    </row>
    <row r="38" spans="1:13" s="103" customFormat="1" ht="10.9" hidden="1" customHeight="1" x14ac:dyDescent="0.25">
      <c r="A38" s="89" t="s">
        <v>188</v>
      </c>
      <c r="B38" s="98" t="s">
        <v>189</v>
      </c>
      <c r="C38" s="101" t="s">
        <v>5348</v>
      </c>
      <c r="D38" s="101" t="s">
        <v>190</v>
      </c>
      <c r="E38" s="74" t="s">
        <v>191</v>
      </c>
      <c r="F38" s="100" t="s">
        <v>98</v>
      </c>
      <c r="G38" s="72" t="e">
        <f>_xlfn.TEXTJOIN(", ",TRUE,B38,#REF!,#REF!,#REF!,D38,E38)</f>
        <v>#REF!</v>
      </c>
      <c r="H38" s="99"/>
      <c r="I38" s="99"/>
      <c r="J38" s="99"/>
      <c r="K38" s="99"/>
      <c r="L38" s="99"/>
      <c r="M38" s="77" t="s">
        <v>88</v>
      </c>
    </row>
    <row r="39" spans="1:13" s="103" customFormat="1" ht="10.9" hidden="1" customHeight="1" x14ac:dyDescent="0.25">
      <c r="A39" s="89" t="s">
        <v>192</v>
      </c>
      <c r="B39" s="102" t="s">
        <v>193</v>
      </c>
      <c r="C39" s="101" t="s">
        <v>5348</v>
      </c>
      <c r="D39" s="101" t="s">
        <v>190</v>
      </c>
      <c r="E39" s="74" t="s">
        <v>194</v>
      </c>
      <c r="F39" s="100" t="s">
        <v>98</v>
      </c>
      <c r="G39" s="72" t="e">
        <f>_xlfn.TEXTJOIN(", ",TRUE,B39,#REF!,#REF!,#REF!,D39,E39)</f>
        <v>#REF!</v>
      </c>
      <c r="H39" s="99"/>
      <c r="I39" s="99"/>
      <c r="J39" s="99"/>
      <c r="K39" s="99"/>
      <c r="L39" s="99"/>
      <c r="M39" s="77" t="s">
        <v>88</v>
      </c>
    </row>
    <row r="40" spans="1:13" s="103" customFormat="1" ht="10.9" hidden="1" customHeight="1" x14ac:dyDescent="0.25">
      <c r="A40" s="89" t="s">
        <v>195</v>
      </c>
      <c r="B40" s="98" t="s">
        <v>196</v>
      </c>
      <c r="C40" s="101" t="s">
        <v>5348</v>
      </c>
      <c r="D40" s="101" t="s">
        <v>190</v>
      </c>
      <c r="E40" s="74" t="s">
        <v>197</v>
      </c>
      <c r="F40" s="100" t="s">
        <v>98</v>
      </c>
      <c r="G40" s="72" t="e">
        <f>_xlfn.TEXTJOIN(", ",TRUE,B40,#REF!,#REF!,#REF!,D40,E40)</f>
        <v>#REF!</v>
      </c>
      <c r="H40" s="99"/>
      <c r="I40" s="99"/>
      <c r="J40" s="99"/>
      <c r="K40" s="99"/>
      <c r="L40" s="99"/>
      <c r="M40" s="77" t="s">
        <v>88</v>
      </c>
    </row>
    <row r="41" spans="1:13" s="103" customFormat="1" ht="10.9" hidden="1" customHeight="1" x14ac:dyDescent="0.25">
      <c r="A41" s="89" t="s">
        <v>198</v>
      </c>
      <c r="B41" s="98" t="s">
        <v>199</v>
      </c>
      <c r="C41" s="101" t="s">
        <v>5348</v>
      </c>
      <c r="D41" s="101" t="s">
        <v>190</v>
      </c>
      <c r="E41" s="74" t="s">
        <v>200</v>
      </c>
      <c r="F41" s="100" t="s">
        <v>98</v>
      </c>
      <c r="G41" s="72" t="e">
        <f>_xlfn.TEXTJOIN(", ",TRUE,B41,#REF!,#REF!,#REF!,D41,E41)</f>
        <v>#REF!</v>
      </c>
      <c r="H41" s="99"/>
      <c r="I41" s="99"/>
      <c r="J41" s="99"/>
      <c r="K41" s="99"/>
      <c r="L41" s="99"/>
      <c r="M41" s="77" t="s">
        <v>88</v>
      </c>
    </row>
    <row r="42" spans="1:13" s="103" customFormat="1" ht="10.9" hidden="1" customHeight="1" x14ac:dyDescent="0.25">
      <c r="A42" s="89" t="s">
        <v>201</v>
      </c>
      <c r="B42" s="102" t="s">
        <v>202</v>
      </c>
      <c r="C42" s="101" t="s">
        <v>5348</v>
      </c>
      <c r="D42" s="101" t="s">
        <v>190</v>
      </c>
      <c r="E42" s="74" t="s">
        <v>203</v>
      </c>
      <c r="F42" s="100" t="s">
        <v>98</v>
      </c>
      <c r="G42" s="72" t="e">
        <f>_xlfn.TEXTJOIN(", ",TRUE,B42,#REF!,#REF!,#REF!,D42,E42)</f>
        <v>#REF!</v>
      </c>
      <c r="H42" s="99"/>
      <c r="I42" s="99"/>
      <c r="J42" s="99"/>
      <c r="K42" s="99"/>
      <c r="L42" s="99"/>
      <c r="M42" s="77">
        <v>0</v>
      </c>
    </row>
    <row r="43" spans="1:13" s="103" customFormat="1" ht="10.9" hidden="1" customHeight="1" x14ac:dyDescent="0.25">
      <c r="A43" s="89" t="s">
        <v>204</v>
      </c>
      <c r="B43" s="104" t="s">
        <v>205</v>
      </c>
      <c r="C43" s="101" t="s">
        <v>5348</v>
      </c>
      <c r="D43" s="101" t="s">
        <v>190</v>
      </c>
      <c r="E43" s="74" t="s">
        <v>206</v>
      </c>
      <c r="F43" s="100" t="s">
        <v>98</v>
      </c>
      <c r="G43" s="72" t="e">
        <f>_xlfn.TEXTJOIN(", ",TRUE,B43,#REF!,#REF!,#REF!,D43,E43)</f>
        <v>#REF!</v>
      </c>
      <c r="H43" s="99"/>
      <c r="I43" s="99"/>
      <c r="J43" s="99"/>
      <c r="K43" s="99"/>
      <c r="L43" s="99"/>
      <c r="M43" s="77" t="s">
        <v>88</v>
      </c>
    </row>
    <row r="44" spans="1:13" s="103" customFormat="1" ht="10.9" customHeight="1" x14ac:dyDescent="0.25">
      <c r="A44" s="91" t="s">
        <v>223</v>
      </c>
      <c r="B44" s="98" t="s">
        <v>224</v>
      </c>
      <c r="C44" s="101" t="s">
        <v>5347</v>
      </c>
      <c r="D44" s="101" t="s">
        <v>5343</v>
      </c>
      <c r="E44" s="74" t="s">
        <v>225</v>
      </c>
      <c r="F44" s="100" t="s">
        <v>98</v>
      </c>
      <c r="G44" s="72" t="e">
        <f>_xlfn.TEXTJOIN(", ",TRUE,B44,#REF!,#REF!,#REF!,D44,E44)</f>
        <v>#REF!</v>
      </c>
      <c r="H44" s="99">
        <v>44875</v>
      </c>
      <c r="I44" s="99"/>
      <c r="J44" s="99"/>
      <c r="K44" s="99"/>
      <c r="L44" s="99"/>
      <c r="M44" s="77" t="s">
        <v>88</v>
      </c>
    </row>
    <row r="45" spans="1:13" s="103" customFormat="1" ht="10.9" customHeight="1" x14ac:dyDescent="0.25">
      <c r="A45" s="89" t="s">
        <v>226</v>
      </c>
      <c r="B45" s="98" t="s">
        <v>227</v>
      </c>
      <c r="C45" s="101" t="s">
        <v>5347</v>
      </c>
      <c r="D45" s="101" t="s">
        <v>5343</v>
      </c>
      <c r="E45" s="74" t="s">
        <v>228</v>
      </c>
      <c r="F45" s="100" t="s">
        <v>98</v>
      </c>
      <c r="G45" s="72" t="e">
        <f>_xlfn.TEXTJOIN(", ",TRUE,B45,#REF!,#REF!,#REF!,D45,E45)</f>
        <v>#REF!</v>
      </c>
      <c r="H45" s="99">
        <v>44868</v>
      </c>
      <c r="I45" s="99"/>
      <c r="J45" s="99"/>
      <c r="K45" s="99"/>
      <c r="L45" s="99"/>
      <c r="M45" s="77" t="s">
        <v>88</v>
      </c>
    </row>
    <row r="46" spans="1:13" s="103" customFormat="1" ht="10.9" customHeight="1" x14ac:dyDescent="0.25">
      <c r="A46" s="89" t="s">
        <v>229</v>
      </c>
      <c r="B46" s="98" t="s">
        <v>230</v>
      </c>
      <c r="C46" s="101" t="s">
        <v>5347</v>
      </c>
      <c r="D46" s="101" t="s">
        <v>5343</v>
      </c>
      <c r="E46" s="74" t="s">
        <v>231</v>
      </c>
      <c r="F46" s="100" t="s">
        <v>98</v>
      </c>
      <c r="G46" s="72" t="e">
        <f>_xlfn.TEXTJOIN(", ",TRUE,B46,#REF!,#REF!,#REF!,D46,E46)</f>
        <v>#REF!</v>
      </c>
      <c r="H46" s="99">
        <v>44851</v>
      </c>
      <c r="I46" s="99"/>
      <c r="J46" s="99"/>
      <c r="K46" s="99"/>
      <c r="L46" s="99"/>
      <c r="M46" s="77" t="s">
        <v>232</v>
      </c>
    </row>
    <row r="47" spans="1:13" s="103" customFormat="1" ht="10.9" customHeight="1" x14ac:dyDescent="0.25">
      <c r="A47" s="89" t="s">
        <v>233</v>
      </c>
      <c r="B47" s="98" t="s">
        <v>234</v>
      </c>
      <c r="C47" s="101" t="s">
        <v>5347</v>
      </c>
      <c r="D47" s="101" t="s">
        <v>5343</v>
      </c>
      <c r="E47" s="74" t="s">
        <v>235</v>
      </c>
      <c r="F47" s="100" t="s">
        <v>98</v>
      </c>
      <c r="G47" s="72" t="e">
        <f>_xlfn.TEXTJOIN(", ",TRUE,B47,#REF!,#REF!,#REF!,D47,E47)</f>
        <v>#REF!</v>
      </c>
      <c r="H47" s="99"/>
      <c r="I47" s="99"/>
      <c r="J47" s="99"/>
      <c r="K47" s="99"/>
      <c r="L47" s="99"/>
      <c r="M47" s="77" t="s">
        <v>88</v>
      </c>
    </row>
    <row r="48" spans="1:13" s="103" customFormat="1" ht="10.9" customHeight="1" x14ac:dyDescent="0.25">
      <c r="A48" s="89" t="s">
        <v>236</v>
      </c>
      <c r="B48" s="98" t="s">
        <v>237</v>
      </c>
      <c r="C48" s="101" t="s">
        <v>5347</v>
      </c>
      <c r="D48" s="101" t="s">
        <v>5343</v>
      </c>
      <c r="E48" s="74" t="s">
        <v>238</v>
      </c>
      <c r="F48" s="100" t="s">
        <v>239</v>
      </c>
      <c r="G48" s="72" t="e">
        <f>_xlfn.TEXTJOIN(", ",TRUE,B48,#REF!,#REF!,#REF!,D48,E48)</f>
        <v>#REF!</v>
      </c>
      <c r="H48" s="99">
        <v>45605</v>
      </c>
      <c r="I48" s="99"/>
      <c r="J48" s="99">
        <v>45309</v>
      </c>
      <c r="K48" s="99"/>
      <c r="L48" s="99">
        <v>45605</v>
      </c>
      <c r="M48" s="77">
        <v>0</v>
      </c>
    </row>
    <row r="49" spans="1:13" s="103" customFormat="1" ht="10.9" customHeight="1" x14ac:dyDescent="0.25">
      <c r="A49" s="89" t="s">
        <v>240</v>
      </c>
      <c r="B49" s="98" t="s">
        <v>241</v>
      </c>
      <c r="C49" s="101" t="s">
        <v>5347</v>
      </c>
      <c r="D49" s="101" t="s">
        <v>5343</v>
      </c>
      <c r="E49" s="74" t="s">
        <v>242</v>
      </c>
      <c r="F49" s="100" t="s">
        <v>98</v>
      </c>
      <c r="G49" s="72" t="e">
        <f>_xlfn.TEXTJOIN(", ",TRUE,B49,#REF!,#REF!,#REF!,D49,E49)</f>
        <v>#REF!</v>
      </c>
      <c r="H49" s="99">
        <v>44825</v>
      </c>
      <c r="I49" s="99"/>
      <c r="J49" s="99"/>
      <c r="K49" s="99"/>
      <c r="L49" s="99"/>
      <c r="M49" s="77">
        <v>0</v>
      </c>
    </row>
    <row r="50" spans="1:13" s="103" customFormat="1" ht="10.9" customHeight="1" x14ac:dyDescent="0.25">
      <c r="A50" s="89" t="s">
        <v>243</v>
      </c>
      <c r="B50" s="98" t="s">
        <v>244</v>
      </c>
      <c r="C50" s="101" t="s">
        <v>5347</v>
      </c>
      <c r="D50" s="101" t="s">
        <v>5343</v>
      </c>
      <c r="E50" s="74" t="s">
        <v>245</v>
      </c>
      <c r="F50" s="100" t="s">
        <v>81</v>
      </c>
      <c r="G50" s="72" t="e">
        <f>_xlfn.TEXTJOIN(", ",TRUE,B50,#REF!,#REF!,#REF!,D50,E50)</f>
        <v>#REF!</v>
      </c>
      <c r="H50" s="99"/>
      <c r="I50" s="99"/>
      <c r="J50" s="99"/>
      <c r="K50" s="99"/>
      <c r="L50" s="99"/>
      <c r="M50" s="77" t="s">
        <v>246</v>
      </c>
    </row>
    <row r="51" spans="1:13" s="103" customFormat="1" ht="10.9" customHeight="1" x14ac:dyDescent="0.25">
      <c r="A51" s="89" t="s">
        <v>243</v>
      </c>
      <c r="B51" s="98" t="s">
        <v>247</v>
      </c>
      <c r="C51" s="101" t="s">
        <v>5347</v>
      </c>
      <c r="D51" s="101" t="s">
        <v>5343</v>
      </c>
      <c r="E51" s="74" t="s">
        <v>245</v>
      </c>
      <c r="F51" s="100" t="s">
        <v>81</v>
      </c>
      <c r="G51" s="72" t="e">
        <f>_xlfn.TEXTJOIN(", ",TRUE,B51,#REF!,#REF!,#REF!,D51,E51)</f>
        <v>#REF!</v>
      </c>
      <c r="H51" s="99">
        <v>45761</v>
      </c>
      <c r="I51" s="99"/>
      <c r="J51" s="99"/>
      <c r="K51" s="99"/>
      <c r="L51" s="99"/>
      <c r="M51" s="77">
        <v>0</v>
      </c>
    </row>
    <row r="52" spans="1:13" s="103" customFormat="1" ht="10.9" customHeight="1" x14ac:dyDescent="0.25">
      <c r="A52" s="89" t="s">
        <v>243</v>
      </c>
      <c r="B52" s="98" t="s">
        <v>248</v>
      </c>
      <c r="C52" s="101" t="s">
        <v>5347</v>
      </c>
      <c r="D52" s="101" t="s">
        <v>5343</v>
      </c>
      <c r="E52" s="74" t="s">
        <v>245</v>
      </c>
      <c r="F52" s="100" t="s">
        <v>81</v>
      </c>
      <c r="G52" s="72" t="e">
        <f>_xlfn.TEXTJOIN(", ",TRUE,B52,#REF!,#REF!,#REF!,D52,E52)</f>
        <v>#REF!</v>
      </c>
      <c r="H52" s="99">
        <v>45761</v>
      </c>
      <c r="I52" s="99"/>
      <c r="J52" s="99"/>
      <c r="K52" s="99"/>
      <c r="L52" s="99"/>
      <c r="M52" s="77" t="s">
        <v>88</v>
      </c>
    </row>
    <row r="53" spans="1:13" s="103" customFormat="1" ht="10.9" customHeight="1" x14ac:dyDescent="0.25">
      <c r="A53" s="89" t="s">
        <v>249</v>
      </c>
      <c r="B53" s="98" t="s">
        <v>250</v>
      </c>
      <c r="C53" s="101" t="s">
        <v>5347</v>
      </c>
      <c r="D53" s="101" t="s">
        <v>5343</v>
      </c>
      <c r="E53" s="74" t="s">
        <v>245</v>
      </c>
      <c r="F53" s="100" t="s">
        <v>251</v>
      </c>
      <c r="G53" s="72" t="e">
        <f>_xlfn.TEXTJOIN(", ",TRUE,B53,#REF!,#REF!,#REF!,D53,E53)</f>
        <v>#REF!</v>
      </c>
      <c r="H53" s="99"/>
      <c r="I53" s="99"/>
      <c r="J53" s="99"/>
      <c r="K53" s="99"/>
      <c r="L53" s="99"/>
      <c r="M53" s="77" t="s">
        <v>252</v>
      </c>
    </row>
    <row r="54" spans="1:13" s="103" customFormat="1" ht="10.9" customHeight="1" x14ac:dyDescent="0.25">
      <c r="A54" s="89" t="s">
        <v>253</v>
      </c>
      <c r="B54" s="98" t="s">
        <v>254</v>
      </c>
      <c r="C54" s="101" t="s">
        <v>5347</v>
      </c>
      <c r="D54" s="101" t="s">
        <v>5343</v>
      </c>
      <c r="E54" s="74" t="s">
        <v>255</v>
      </c>
      <c r="F54" s="100" t="s">
        <v>98</v>
      </c>
      <c r="G54" s="72" t="e">
        <f>_xlfn.TEXTJOIN(", ",TRUE,B54,#REF!,#REF!,#REF!,D54,E54)</f>
        <v>#REF!</v>
      </c>
      <c r="H54" s="99"/>
      <c r="I54" s="99"/>
      <c r="J54" s="99"/>
      <c r="K54" s="99"/>
      <c r="L54" s="99"/>
      <c r="M54" s="77">
        <v>0</v>
      </c>
    </row>
    <row r="55" spans="1:13" s="103" customFormat="1" ht="10.9" customHeight="1" x14ac:dyDescent="0.25">
      <c r="A55" s="89" t="s">
        <v>256</v>
      </c>
      <c r="B55" s="104" t="s">
        <v>257</v>
      </c>
      <c r="C55" s="101" t="s">
        <v>5347</v>
      </c>
      <c r="D55" s="101" t="s">
        <v>5343</v>
      </c>
      <c r="E55" s="74" t="s">
        <v>258</v>
      </c>
      <c r="F55" s="100" t="s">
        <v>130</v>
      </c>
      <c r="G55" s="72" t="e">
        <f>_xlfn.TEXTJOIN(", ",TRUE,B55,#REF!,#REF!,#REF!,D55,E55)</f>
        <v>#REF!</v>
      </c>
      <c r="H55" s="99"/>
      <c r="I55" s="99"/>
      <c r="J55" s="99"/>
      <c r="K55" s="99"/>
      <c r="L55" s="99"/>
      <c r="M55" s="77" t="s">
        <v>88</v>
      </c>
    </row>
    <row r="56" spans="1:13" s="103" customFormat="1" ht="10.9" customHeight="1" x14ac:dyDescent="0.25">
      <c r="A56" s="89" t="s">
        <v>259</v>
      </c>
      <c r="B56" s="104" t="s">
        <v>260</v>
      </c>
      <c r="C56" s="101" t="s">
        <v>5347</v>
      </c>
      <c r="D56" s="101" t="s">
        <v>5343</v>
      </c>
      <c r="E56" s="74" t="s">
        <v>261</v>
      </c>
      <c r="F56" s="100" t="s">
        <v>130</v>
      </c>
      <c r="G56" s="72" t="e">
        <f>_xlfn.TEXTJOIN(", ",TRUE,B56,#REF!,#REF!,#REF!,D56,E56)</f>
        <v>#REF!</v>
      </c>
      <c r="H56" s="99"/>
      <c r="I56" s="99"/>
      <c r="J56" s="99"/>
      <c r="K56" s="99"/>
      <c r="L56" s="99"/>
      <c r="M56" s="77">
        <v>0</v>
      </c>
    </row>
    <row r="57" spans="1:13" s="103" customFormat="1" ht="10.9" customHeight="1" x14ac:dyDescent="0.25">
      <c r="A57" s="89" t="s">
        <v>262</v>
      </c>
      <c r="B57" s="98" t="s">
        <v>263</v>
      </c>
      <c r="C57" s="101" t="s">
        <v>5347</v>
      </c>
      <c r="D57" s="101" t="s">
        <v>5343</v>
      </c>
      <c r="E57" s="74" t="s">
        <v>264</v>
      </c>
      <c r="F57" s="100"/>
      <c r="G57" s="72" t="e">
        <f>_xlfn.TEXTJOIN(", ",TRUE,B57,#REF!,#REF!,#REF!,D57,E57)</f>
        <v>#REF!</v>
      </c>
      <c r="H57" s="99"/>
      <c r="I57" s="99"/>
      <c r="J57" s="99"/>
      <c r="K57" s="99"/>
      <c r="L57" s="99"/>
      <c r="M57" s="77">
        <v>0</v>
      </c>
    </row>
    <row r="58" spans="1:13" s="103" customFormat="1" ht="10.9" customHeight="1" x14ac:dyDescent="0.25">
      <c r="A58" s="89" t="s">
        <v>265</v>
      </c>
      <c r="B58" s="98" t="s">
        <v>266</v>
      </c>
      <c r="C58" s="101" t="s">
        <v>5347</v>
      </c>
      <c r="D58" s="101" t="s">
        <v>5343</v>
      </c>
      <c r="E58" s="74" t="s">
        <v>267</v>
      </c>
      <c r="F58" s="100" t="s">
        <v>98</v>
      </c>
      <c r="G58" s="72" t="e">
        <f>_xlfn.TEXTJOIN(", ",TRUE,B58,#REF!,#REF!,#REF!,D58,E58)</f>
        <v>#REF!</v>
      </c>
      <c r="H58" s="99"/>
      <c r="I58" s="99"/>
      <c r="J58" s="99"/>
      <c r="K58" s="99"/>
      <c r="L58" s="99"/>
      <c r="M58" s="77" t="s">
        <v>88</v>
      </c>
    </row>
    <row r="59" spans="1:13" s="103" customFormat="1" ht="10.9" customHeight="1" x14ac:dyDescent="0.25">
      <c r="A59" s="89" t="s">
        <v>268</v>
      </c>
      <c r="B59" s="102" t="s">
        <v>269</v>
      </c>
      <c r="C59" s="101" t="s">
        <v>5347</v>
      </c>
      <c r="D59" s="101" t="s">
        <v>5343</v>
      </c>
      <c r="E59" s="74" t="s">
        <v>270</v>
      </c>
      <c r="F59" s="100" t="s">
        <v>130</v>
      </c>
      <c r="G59" s="72" t="e">
        <f>_xlfn.TEXTJOIN(", ",TRUE,B59,#REF!,#REF!,#REF!,D59,E59)</f>
        <v>#REF!</v>
      </c>
      <c r="H59" s="99">
        <v>45783</v>
      </c>
      <c r="I59" s="99"/>
      <c r="J59" s="99"/>
      <c r="K59" s="99"/>
      <c r="L59" s="99"/>
      <c r="M59" s="77">
        <v>0</v>
      </c>
    </row>
    <row r="60" spans="1:13" s="103" customFormat="1" ht="10.9" customHeight="1" x14ac:dyDescent="0.25">
      <c r="A60" s="89" t="s">
        <v>271</v>
      </c>
      <c r="B60" s="98" t="s">
        <v>272</v>
      </c>
      <c r="C60" s="101" t="s">
        <v>5347</v>
      </c>
      <c r="D60" s="101" t="s">
        <v>5343</v>
      </c>
      <c r="E60" s="74" t="s">
        <v>273</v>
      </c>
      <c r="F60" s="100" t="s">
        <v>187</v>
      </c>
      <c r="G60" s="72" t="e">
        <f>_xlfn.TEXTJOIN(", ",TRUE,B60,#REF!,#REF!,#REF!,D60,E60)</f>
        <v>#REF!</v>
      </c>
      <c r="H60" s="99">
        <v>45593</v>
      </c>
      <c r="I60" s="99">
        <v>44896</v>
      </c>
      <c r="J60" s="99"/>
      <c r="K60" s="99"/>
      <c r="L60" s="99"/>
      <c r="M60" s="77" t="s">
        <v>88</v>
      </c>
    </row>
    <row r="61" spans="1:13" s="103" customFormat="1" ht="10.9" customHeight="1" x14ac:dyDescent="0.25">
      <c r="A61" s="89" t="s">
        <v>274</v>
      </c>
      <c r="B61" s="98" t="s">
        <v>275</v>
      </c>
      <c r="C61" s="101" t="s">
        <v>5347</v>
      </c>
      <c r="D61" s="101" t="s">
        <v>5343</v>
      </c>
      <c r="E61" s="74" t="s">
        <v>276</v>
      </c>
      <c r="F61" s="100" t="s">
        <v>277</v>
      </c>
      <c r="G61" s="72" t="e">
        <f>_xlfn.TEXTJOIN(", ",TRUE,B61,#REF!,#REF!,#REF!,D61,E61)</f>
        <v>#REF!</v>
      </c>
      <c r="H61" s="99"/>
      <c r="I61" s="99" t="s">
        <v>88</v>
      </c>
      <c r="J61" s="99"/>
      <c r="K61" s="99" t="s">
        <v>88</v>
      </c>
      <c r="L61" s="99" t="s">
        <v>88</v>
      </c>
      <c r="M61" s="77" t="s">
        <v>278</v>
      </c>
    </row>
    <row r="62" spans="1:13" s="103" customFormat="1" ht="10.9" customHeight="1" x14ac:dyDescent="0.25">
      <c r="A62" s="89" t="s">
        <v>279</v>
      </c>
      <c r="B62" s="104" t="s">
        <v>280</v>
      </c>
      <c r="C62" s="101" t="s">
        <v>5347</v>
      </c>
      <c r="D62" s="101" t="s">
        <v>5343</v>
      </c>
      <c r="E62" s="74" t="s">
        <v>281</v>
      </c>
      <c r="F62" s="100" t="s">
        <v>282</v>
      </c>
      <c r="G62" s="72" t="e">
        <f>_xlfn.TEXTJOIN(", ",TRUE,B62,#REF!,#REF!,#REF!,D62,E62)</f>
        <v>#REF!</v>
      </c>
      <c r="H62" s="99"/>
      <c r="I62" s="99"/>
      <c r="J62" s="99"/>
      <c r="K62" s="99"/>
      <c r="L62" s="99"/>
      <c r="M62" s="77">
        <v>0</v>
      </c>
    </row>
    <row r="63" spans="1:13" s="103" customFormat="1" ht="10.9" customHeight="1" x14ac:dyDescent="0.25">
      <c r="A63" s="89" t="s">
        <v>283</v>
      </c>
      <c r="B63" s="104" t="s">
        <v>284</v>
      </c>
      <c r="C63" s="101" t="s">
        <v>5347</v>
      </c>
      <c r="D63" s="101" t="s">
        <v>5343</v>
      </c>
      <c r="E63" s="74" t="s">
        <v>285</v>
      </c>
      <c r="F63" s="100" t="s">
        <v>98</v>
      </c>
      <c r="G63" s="72" t="e">
        <f>_xlfn.TEXTJOIN(", ",TRUE,B63,#REF!,#REF!,#REF!,D63,E63)</f>
        <v>#REF!</v>
      </c>
      <c r="H63" s="99"/>
      <c r="I63" s="99"/>
      <c r="J63" s="99"/>
      <c r="K63" s="99"/>
      <c r="L63" s="99"/>
      <c r="M63" s="77" t="s">
        <v>88</v>
      </c>
    </row>
    <row r="64" spans="1:13" s="103" customFormat="1" ht="10.9" hidden="1" customHeight="1" x14ac:dyDescent="0.25">
      <c r="A64" s="89" t="s">
        <v>286</v>
      </c>
      <c r="B64" s="98" t="s">
        <v>287</v>
      </c>
      <c r="C64" s="101" t="s">
        <v>5349</v>
      </c>
      <c r="D64" s="101" t="s">
        <v>288</v>
      </c>
      <c r="E64" s="73" t="s">
        <v>288</v>
      </c>
      <c r="F64" s="100" t="s">
        <v>81</v>
      </c>
      <c r="G64" s="72" t="e">
        <f>_xlfn.TEXTJOIN(", ",TRUE,B64,#REF!,#REF!,#REF!,D64,E64)</f>
        <v>#REF!</v>
      </c>
      <c r="H64" s="99"/>
      <c r="I64" s="99"/>
      <c r="J64" s="99"/>
      <c r="K64" s="99"/>
      <c r="L64" s="99"/>
      <c r="M64" s="77" t="s">
        <v>289</v>
      </c>
    </row>
    <row r="65" spans="1:13" s="103" customFormat="1" ht="10.9" hidden="1" customHeight="1" x14ac:dyDescent="0.25">
      <c r="A65" s="89" t="s">
        <v>290</v>
      </c>
      <c r="B65" s="104" t="s">
        <v>291</v>
      </c>
      <c r="C65" s="101" t="s">
        <v>5348</v>
      </c>
      <c r="D65" s="101" t="s">
        <v>292</v>
      </c>
      <c r="E65" s="74" t="s">
        <v>293</v>
      </c>
      <c r="F65" s="100" t="s">
        <v>98</v>
      </c>
      <c r="G65" s="72" t="e">
        <f>_xlfn.TEXTJOIN(", ",TRUE,B65,#REF!,#REF!,#REF!,D65,E65)</f>
        <v>#REF!</v>
      </c>
      <c r="H65" s="99"/>
      <c r="I65" s="99"/>
      <c r="J65" s="99"/>
      <c r="K65" s="99"/>
      <c r="L65" s="99"/>
      <c r="M65" s="77" t="s">
        <v>294</v>
      </c>
    </row>
    <row r="66" spans="1:13" s="103" customFormat="1" ht="10.9" hidden="1" customHeight="1" x14ac:dyDescent="0.25">
      <c r="A66" s="89" t="s">
        <v>296</v>
      </c>
      <c r="B66" s="98" t="s">
        <v>297</v>
      </c>
      <c r="C66" s="101" t="s">
        <v>5349</v>
      </c>
      <c r="D66" s="101" t="s">
        <v>298</v>
      </c>
      <c r="E66" s="73" t="s">
        <v>299</v>
      </c>
      <c r="F66" s="100" t="s">
        <v>81</v>
      </c>
      <c r="G66" s="72" t="e">
        <f>_xlfn.TEXTJOIN(", ",TRUE,B66,#REF!,#REF!,#REF!,D66,E66)</f>
        <v>#REF!</v>
      </c>
      <c r="H66" s="99"/>
      <c r="I66" s="99"/>
      <c r="J66" s="99"/>
      <c r="K66" s="99"/>
      <c r="L66" s="99"/>
      <c r="M66" s="77" t="s">
        <v>300</v>
      </c>
    </row>
    <row r="67" spans="1:13" s="103" customFormat="1" ht="10.9" hidden="1" customHeight="1" x14ac:dyDescent="0.25">
      <c r="A67" s="89" t="s">
        <v>301</v>
      </c>
      <c r="B67" s="98" t="s">
        <v>302</v>
      </c>
      <c r="C67" s="101" t="s">
        <v>5349</v>
      </c>
      <c r="D67" s="101" t="s">
        <v>298</v>
      </c>
      <c r="E67" s="73" t="s">
        <v>303</v>
      </c>
      <c r="F67" s="100" t="s">
        <v>81</v>
      </c>
      <c r="G67" s="72" t="e">
        <f>_xlfn.TEXTJOIN(", ",TRUE,B67,#REF!,#REF!,#REF!,D67,E67)</f>
        <v>#REF!</v>
      </c>
      <c r="H67" s="99"/>
      <c r="I67" s="99">
        <v>45383</v>
      </c>
      <c r="J67" s="99"/>
      <c r="K67" s="99"/>
      <c r="L67" s="99"/>
      <c r="M67" s="77" t="s">
        <v>304</v>
      </c>
    </row>
    <row r="68" spans="1:13" s="103" customFormat="1" ht="10.9" hidden="1" customHeight="1" x14ac:dyDescent="0.25">
      <c r="A68" s="89" t="s">
        <v>305</v>
      </c>
      <c r="B68" s="98" t="s">
        <v>306</v>
      </c>
      <c r="C68" s="101" t="s">
        <v>5349</v>
      </c>
      <c r="D68" s="101" t="s">
        <v>298</v>
      </c>
      <c r="E68" s="73" t="s">
        <v>307</v>
      </c>
      <c r="F68" s="100" t="s">
        <v>98</v>
      </c>
      <c r="G68" s="72" t="e">
        <f>_xlfn.TEXTJOIN(", ",TRUE,B68,#REF!,#REF!,#REF!,D68,E68)</f>
        <v>#REF!</v>
      </c>
      <c r="H68" s="99"/>
      <c r="I68" s="99"/>
      <c r="J68" s="99"/>
      <c r="K68" s="99"/>
      <c r="L68" s="99"/>
      <c r="M68" s="77" t="s">
        <v>308</v>
      </c>
    </row>
    <row r="69" spans="1:13" s="103" customFormat="1" ht="10.9" hidden="1" customHeight="1" x14ac:dyDescent="0.25">
      <c r="A69" s="89" t="s">
        <v>309</v>
      </c>
      <c r="B69" s="98" t="s">
        <v>310</v>
      </c>
      <c r="C69" s="101" t="s">
        <v>5349</v>
      </c>
      <c r="D69" s="101" t="s">
        <v>311</v>
      </c>
      <c r="E69" s="73" t="s">
        <v>312</v>
      </c>
      <c r="F69" s="100" t="s">
        <v>98</v>
      </c>
      <c r="G69" s="72" t="e">
        <f>_xlfn.TEXTJOIN(", ",TRUE,B69,#REF!,#REF!,#REF!,D69,E69)</f>
        <v>#REF!</v>
      </c>
      <c r="H69" s="99"/>
      <c r="I69" s="99"/>
      <c r="J69" s="99"/>
      <c r="K69" s="99"/>
      <c r="L69" s="99"/>
      <c r="M69" s="77">
        <v>0</v>
      </c>
    </row>
    <row r="70" spans="1:13" s="103" customFormat="1" ht="10.9" hidden="1" customHeight="1" x14ac:dyDescent="0.25">
      <c r="A70" s="89" t="s">
        <v>313</v>
      </c>
      <c r="B70" s="98" t="s">
        <v>314</v>
      </c>
      <c r="C70" s="101" t="s">
        <v>5349</v>
      </c>
      <c r="D70" s="101" t="s">
        <v>311</v>
      </c>
      <c r="E70" s="74" t="s">
        <v>315</v>
      </c>
      <c r="F70" s="100" t="s">
        <v>81</v>
      </c>
      <c r="G70" s="72" t="e">
        <f>_xlfn.TEXTJOIN(", ",TRUE,B70,#REF!,#REF!,#REF!,D70,E70)</f>
        <v>#REF!</v>
      </c>
      <c r="H70" s="99">
        <v>45005</v>
      </c>
      <c r="I70" s="99"/>
      <c r="J70" s="99" t="s">
        <v>316</v>
      </c>
      <c r="K70" s="99"/>
      <c r="L70" s="99"/>
      <c r="M70" s="77" t="s">
        <v>317</v>
      </c>
    </row>
    <row r="71" spans="1:13" s="103" customFormat="1" ht="10.9" hidden="1" customHeight="1" x14ac:dyDescent="0.25">
      <c r="A71" s="89" t="s">
        <v>318</v>
      </c>
      <c r="B71" s="98" t="s">
        <v>319</v>
      </c>
      <c r="C71" s="101" t="s">
        <v>5349</v>
      </c>
      <c r="D71" s="101" t="s">
        <v>311</v>
      </c>
      <c r="E71" s="74" t="s">
        <v>320</v>
      </c>
      <c r="F71" s="100" t="s">
        <v>81</v>
      </c>
      <c r="G71" s="72" t="e">
        <f>_xlfn.TEXTJOIN(", ",TRUE,B71,#REF!,#REF!,#REF!,D71,E71)</f>
        <v>#REF!</v>
      </c>
      <c r="H71" s="99"/>
      <c r="I71" s="99"/>
      <c r="J71" s="99"/>
      <c r="K71" s="99"/>
      <c r="L71" s="99"/>
      <c r="M71" s="77" t="s">
        <v>321</v>
      </c>
    </row>
    <row r="72" spans="1:13" s="103" customFormat="1" ht="10.9" hidden="1" customHeight="1" x14ac:dyDescent="0.25">
      <c r="A72" s="89" t="s">
        <v>322</v>
      </c>
      <c r="B72" s="98" t="s">
        <v>323</v>
      </c>
      <c r="C72" s="101" t="s">
        <v>5349</v>
      </c>
      <c r="D72" s="101" t="s">
        <v>324</v>
      </c>
      <c r="E72" s="73" t="s">
        <v>325</v>
      </c>
      <c r="F72" s="100" t="s">
        <v>98</v>
      </c>
      <c r="G72" s="72" t="e">
        <f>_xlfn.TEXTJOIN(", ",TRUE,B72,#REF!,#REF!,#REF!,D72,E72)</f>
        <v>#REF!</v>
      </c>
      <c r="H72" s="99"/>
      <c r="I72" s="99"/>
      <c r="J72" s="99"/>
      <c r="K72" s="99"/>
      <c r="L72" s="99"/>
      <c r="M72" s="77" t="s">
        <v>88</v>
      </c>
    </row>
    <row r="73" spans="1:13" s="103" customFormat="1" ht="10.9" hidden="1" customHeight="1" x14ac:dyDescent="0.25">
      <c r="A73" s="89" t="s">
        <v>326</v>
      </c>
      <c r="B73" s="98" t="s">
        <v>327</v>
      </c>
      <c r="C73" s="101" t="s">
        <v>5349</v>
      </c>
      <c r="D73" s="101" t="s">
        <v>324</v>
      </c>
      <c r="E73" s="73" t="s">
        <v>328</v>
      </c>
      <c r="F73" s="100" t="s">
        <v>81</v>
      </c>
      <c r="G73" s="72" t="e">
        <f>_xlfn.TEXTJOIN(", ",TRUE,B73,#REF!,#REF!,#REF!,D73,E73)</f>
        <v>#REF!</v>
      </c>
      <c r="H73" s="99">
        <v>45549</v>
      </c>
      <c r="I73" s="99"/>
      <c r="J73" s="99"/>
      <c r="K73" s="99"/>
      <c r="L73" s="99"/>
      <c r="M73" s="77">
        <v>0</v>
      </c>
    </row>
    <row r="74" spans="1:13" s="103" customFormat="1" ht="10.9" hidden="1" customHeight="1" x14ac:dyDescent="0.25">
      <c r="A74" s="89" t="s">
        <v>329</v>
      </c>
      <c r="B74" s="98" t="s">
        <v>330</v>
      </c>
      <c r="C74" s="101" t="s">
        <v>5349</v>
      </c>
      <c r="D74" s="101" t="s">
        <v>324</v>
      </c>
      <c r="E74" s="73" t="s">
        <v>331</v>
      </c>
      <c r="F74" s="100" t="s">
        <v>81</v>
      </c>
      <c r="G74" s="72" t="e">
        <f>_xlfn.TEXTJOIN(", ",TRUE,B74,#REF!,#REF!,#REF!,D74,E74)</f>
        <v>#REF!</v>
      </c>
      <c r="H74" s="99"/>
      <c r="I74" s="99"/>
      <c r="J74" s="99"/>
      <c r="K74" s="99"/>
      <c r="L74" s="99"/>
      <c r="M74" s="77" t="s">
        <v>332</v>
      </c>
    </row>
    <row r="75" spans="1:13" s="103" customFormat="1" ht="10.9" hidden="1" customHeight="1" x14ac:dyDescent="0.25">
      <c r="A75" s="89" t="s">
        <v>333</v>
      </c>
      <c r="B75" s="98" t="s">
        <v>334</v>
      </c>
      <c r="C75" s="101" t="s">
        <v>5349</v>
      </c>
      <c r="D75" s="101" t="s">
        <v>324</v>
      </c>
      <c r="E75" s="73" t="s">
        <v>88</v>
      </c>
      <c r="F75" s="100" t="s">
        <v>98</v>
      </c>
      <c r="G75" s="72" t="e">
        <f>_xlfn.TEXTJOIN(", ",TRUE,B75,#REF!,#REF!,#REF!,D75,E75)</f>
        <v>#REF!</v>
      </c>
      <c r="H75" s="99"/>
      <c r="I75" s="99"/>
      <c r="J75" s="99"/>
      <c r="K75" s="99"/>
      <c r="L75" s="99"/>
      <c r="M75" s="77" t="s">
        <v>335</v>
      </c>
    </row>
    <row r="76" spans="1:13" s="103" customFormat="1" ht="10.9" hidden="1" customHeight="1" x14ac:dyDescent="0.25">
      <c r="A76" s="89" t="s">
        <v>336</v>
      </c>
      <c r="B76" s="98" t="s">
        <v>337</v>
      </c>
      <c r="C76" s="101" t="s">
        <v>5349</v>
      </c>
      <c r="D76" s="101" t="s">
        <v>324</v>
      </c>
      <c r="E76" s="73" t="s">
        <v>328</v>
      </c>
      <c r="F76" s="100" t="s">
        <v>98</v>
      </c>
      <c r="G76" s="72" t="e">
        <f>_xlfn.TEXTJOIN(", ",TRUE,B76,#REF!,#REF!,#REF!,D76,E76)</f>
        <v>#REF!</v>
      </c>
      <c r="H76" s="99"/>
      <c r="I76" s="99"/>
      <c r="J76" s="99"/>
      <c r="K76" s="99"/>
      <c r="L76" s="99"/>
      <c r="M76" s="77">
        <v>0</v>
      </c>
    </row>
    <row r="77" spans="1:13" s="103" customFormat="1" ht="10.9" hidden="1" customHeight="1" x14ac:dyDescent="0.25">
      <c r="A77" s="89" t="s">
        <v>338</v>
      </c>
      <c r="B77" s="98" t="s">
        <v>339</v>
      </c>
      <c r="C77" s="101" t="s">
        <v>5349</v>
      </c>
      <c r="D77" s="101" t="s">
        <v>340</v>
      </c>
      <c r="E77" s="73" t="s">
        <v>341</v>
      </c>
      <c r="F77" s="100" t="s">
        <v>81</v>
      </c>
      <c r="G77" s="72" t="e">
        <f>_xlfn.TEXTJOIN(", ",TRUE,B77,#REF!,#REF!,#REF!,D77,E77)</f>
        <v>#REF!</v>
      </c>
      <c r="H77" s="99"/>
      <c r="I77" s="99"/>
      <c r="J77" s="99"/>
      <c r="K77" s="99"/>
      <c r="L77" s="99"/>
      <c r="M77" s="77" t="s">
        <v>342</v>
      </c>
    </row>
    <row r="78" spans="1:13" s="103" customFormat="1" ht="10.9" hidden="1" customHeight="1" x14ac:dyDescent="0.25">
      <c r="A78" s="89" t="s">
        <v>338</v>
      </c>
      <c r="B78" s="98" t="s">
        <v>343</v>
      </c>
      <c r="C78" s="101" t="s">
        <v>5349</v>
      </c>
      <c r="D78" s="101" t="s">
        <v>340</v>
      </c>
      <c r="E78" s="73" t="s">
        <v>340</v>
      </c>
      <c r="F78" s="100" t="s">
        <v>81</v>
      </c>
      <c r="G78" s="72" t="e">
        <f>_xlfn.TEXTJOIN(", ",TRUE,B78,#REF!,#REF!,#REF!,D78,E78)</f>
        <v>#REF!</v>
      </c>
      <c r="H78" s="99">
        <v>45261</v>
      </c>
      <c r="I78" s="99"/>
      <c r="J78" s="99"/>
      <c r="K78" s="99"/>
      <c r="L78" s="99"/>
      <c r="M78" s="77" t="s">
        <v>344</v>
      </c>
    </row>
    <row r="79" spans="1:13" s="103" customFormat="1" ht="10.9" hidden="1" customHeight="1" x14ac:dyDescent="0.25">
      <c r="A79" s="89" t="s">
        <v>345</v>
      </c>
      <c r="B79" s="98" t="s">
        <v>346</v>
      </c>
      <c r="C79" s="101" t="s">
        <v>5349</v>
      </c>
      <c r="D79" s="101" t="s">
        <v>340</v>
      </c>
      <c r="E79" s="73" t="s">
        <v>347</v>
      </c>
      <c r="F79" s="100" t="s">
        <v>348</v>
      </c>
      <c r="G79" s="72" t="e">
        <f>_xlfn.TEXTJOIN(", ",TRUE,B79,#REF!,#REF!,#REF!,D79,E79)</f>
        <v>#REF!</v>
      </c>
      <c r="H79" s="99"/>
      <c r="I79" s="99">
        <v>45017</v>
      </c>
      <c r="J79" s="99"/>
      <c r="K79" s="99"/>
      <c r="L79" s="99"/>
      <c r="M79" s="77" t="s">
        <v>88</v>
      </c>
    </row>
    <row r="80" spans="1:13" s="103" customFormat="1" ht="10.9" hidden="1" customHeight="1" x14ac:dyDescent="0.25">
      <c r="A80" s="89" t="s">
        <v>345</v>
      </c>
      <c r="B80" s="98" t="s">
        <v>349</v>
      </c>
      <c r="C80" s="101" t="s">
        <v>5349</v>
      </c>
      <c r="D80" s="101" t="s">
        <v>340</v>
      </c>
      <c r="E80" s="73" t="s">
        <v>347</v>
      </c>
      <c r="F80" s="100" t="s">
        <v>348</v>
      </c>
      <c r="G80" s="72" t="e">
        <f>_xlfn.TEXTJOIN(", ",TRUE,B80,#REF!,#REF!,#REF!,D80,E80)</f>
        <v>#REF!</v>
      </c>
      <c r="H80" s="99"/>
      <c r="I80" s="99">
        <v>45017</v>
      </c>
      <c r="J80" s="99"/>
      <c r="K80" s="99"/>
      <c r="L80" s="99"/>
      <c r="M80" s="77" t="s">
        <v>88</v>
      </c>
    </row>
    <row r="81" spans="1:13" s="103" customFormat="1" ht="10.9" hidden="1" customHeight="1" x14ac:dyDescent="0.25">
      <c r="A81" s="89" t="s">
        <v>350</v>
      </c>
      <c r="B81" s="98" t="s">
        <v>351</v>
      </c>
      <c r="C81" s="101" t="s">
        <v>5349</v>
      </c>
      <c r="D81" s="101" t="s">
        <v>340</v>
      </c>
      <c r="E81" s="73" t="s">
        <v>340</v>
      </c>
      <c r="F81" s="100" t="s">
        <v>348</v>
      </c>
      <c r="G81" s="72" t="e">
        <f>_xlfn.TEXTJOIN(", ",TRUE,B81,#REF!,#REF!,#REF!,D81,E81)</f>
        <v>#REF!</v>
      </c>
      <c r="H81" s="99"/>
      <c r="I81" s="99">
        <v>45677</v>
      </c>
      <c r="J81" s="99"/>
      <c r="K81" s="99"/>
      <c r="L81" s="99"/>
      <c r="M81" s="77" t="s">
        <v>88</v>
      </c>
    </row>
    <row r="82" spans="1:13" s="103" customFormat="1" ht="10.9" hidden="1" customHeight="1" x14ac:dyDescent="0.25">
      <c r="A82" s="89" t="s">
        <v>352</v>
      </c>
      <c r="B82" s="104" t="s">
        <v>353</v>
      </c>
      <c r="C82" s="101" t="s">
        <v>5349</v>
      </c>
      <c r="D82" s="101" t="s">
        <v>354</v>
      </c>
      <c r="E82" s="73" t="s">
        <v>88</v>
      </c>
      <c r="F82" s="100" t="s">
        <v>98</v>
      </c>
      <c r="G82" s="72" t="e">
        <f>_xlfn.TEXTJOIN(", ",TRUE,B82,#REF!,#REF!,#REF!,D82,E82)</f>
        <v>#REF!</v>
      </c>
      <c r="H82" s="99"/>
      <c r="I82" s="99"/>
      <c r="J82" s="99"/>
      <c r="K82" s="99"/>
      <c r="L82" s="99"/>
      <c r="M82" s="77" t="s">
        <v>88</v>
      </c>
    </row>
    <row r="83" spans="1:13" s="103" customFormat="1" ht="10.9" hidden="1" customHeight="1" x14ac:dyDescent="0.25">
      <c r="A83" s="89" t="s">
        <v>355</v>
      </c>
      <c r="B83" s="104" t="s">
        <v>356</v>
      </c>
      <c r="C83" s="101" t="s">
        <v>5349</v>
      </c>
      <c r="D83" s="101" t="s">
        <v>354</v>
      </c>
      <c r="E83" s="73" t="s">
        <v>88</v>
      </c>
      <c r="F83" s="100" t="s">
        <v>98</v>
      </c>
      <c r="G83" s="72" t="e">
        <f>_xlfn.TEXTJOIN(", ",TRUE,B83,#REF!,#REF!,#REF!,D83,E83)</f>
        <v>#REF!</v>
      </c>
      <c r="H83" s="99"/>
      <c r="I83" s="99"/>
      <c r="J83" s="99"/>
      <c r="K83" s="99"/>
      <c r="L83" s="99"/>
      <c r="M83" s="77">
        <v>0</v>
      </c>
    </row>
    <row r="84" spans="1:13" s="103" customFormat="1" ht="10.9" hidden="1" customHeight="1" x14ac:dyDescent="0.25">
      <c r="A84" s="89" t="s">
        <v>357</v>
      </c>
      <c r="B84" s="104" t="s">
        <v>358</v>
      </c>
      <c r="C84" s="101" t="s">
        <v>5349</v>
      </c>
      <c r="D84" s="101" t="s">
        <v>354</v>
      </c>
      <c r="E84" s="73" t="s">
        <v>88</v>
      </c>
      <c r="F84" s="100" t="s">
        <v>98</v>
      </c>
      <c r="G84" s="72" t="e">
        <f>_xlfn.TEXTJOIN(", ",TRUE,B84,#REF!,#REF!,#REF!,D84,E84)</f>
        <v>#REF!</v>
      </c>
      <c r="H84" s="99"/>
      <c r="I84" s="99"/>
      <c r="J84" s="99"/>
      <c r="K84" s="99"/>
      <c r="L84" s="99"/>
      <c r="M84" s="77" t="s">
        <v>359</v>
      </c>
    </row>
    <row r="85" spans="1:13" s="103" customFormat="1" ht="10.9" hidden="1" customHeight="1" x14ac:dyDescent="0.25">
      <c r="A85" s="89" t="s">
        <v>363</v>
      </c>
      <c r="B85" s="98" t="s">
        <v>364</v>
      </c>
      <c r="C85" s="101" t="s">
        <v>5349</v>
      </c>
      <c r="D85" s="101" t="s">
        <v>365</v>
      </c>
      <c r="E85" s="73" t="s">
        <v>365</v>
      </c>
      <c r="F85" s="100" t="s">
        <v>81</v>
      </c>
      <c r="G85" s="72" t="e">
        <f>_xlfn.TEXTJOIN(", ",TRUE,B85,#REF!,#REF!,#REF!,D85,E85)</f>
        <v>#REF!</v>
      </c>
      <c r="H85" s="99"/>
      <c r="I85" s="99"/>
      <c r="J85" s="99"/>
      <c r="K85" s="99"/>
      <c r="L85" s="99"/>
      <c r="M85" s="77" t="s">
        <v>366</v>
      </c>
    </row>
    <row r="86" spans="1:13" s="103" customFormat="1" ht="10.9" hidden="1" customHeight="1" x14ac:dyDescent="0.25">
      <c r="A86" s="89" t="s">
        <v>367</v>
      </c>
      <c r="B86" s="98" t="s">
        <v>368</v>
      </c>
      <c r="C86" s="101" t="s">
        <v>5349</v>
      </c>
      <c r="D86" s="101" t="s">
        <v>365</v>
      </c>
      <c r="E86" s="73" t="s">
        <v>369</v>
      </c>
      <c r="F86" s="100" t="s">
        <v>277</v>
      </c>
      <c r="G86" s="72" t="e">
        <f>_xlfn.TEXTJOIN(", ",TRUE,B86,#REF!,#REF!,#REF!,D86,E86)</f>
        <v>#REF!</v>
      </c>
      <c r="H86" s="99">
        <v>45464</v>
      </c>
      <c r="I86" s="99"/>
      <c r="J86" s="99"/>
      <c r="K86" s="99"/>
      <c r="L86" s="99"/>
      <c r="M86" s="77" t="s">
        <v>370</v>
      </c>
    </row>
    <row r="87" spans="1:13" s="103" customFormat="1" ht="10.9" hidden="1" customHeight="1" x14ac:dyDescent="0.25">
      <c r="A87" s="89" t="e">
        <v>#VALUE!</v>
      </c>
      <c r="B87" s="102" t="s">
        <v>371</v>
      </c>
      <c r="C87" s="101" t="s">
        <v>5349</v>
      </c>
      <c r="D87" s="101" t="s">
        <v>365</v>
      </c>
      <c r="E87" s="73" t="s">
        <v>365</v>
      </c>
      <c r="F87" s="100" t="s">
        <v>81</v>
      </c>
      <c r="G87" s="72" t="e">
        <f>_xlfn.TEXTJOIN(", ",TRUE,B87,#REF!,#REF!,#REF!,D87,E87)</f>
        <v>#REF!</v>
      </c>
      <c r="H87" s="99"/>
      <c r="I87" s="99"/>
      <c r="J87" s="99"/>
      <c r="K87" s="99"/>
      <c r="L87" s="99"/>
      <c r="M87" s="77" t="s">
        <v>372</v>
      </c>
    </row>
    <row r="88" spans="1:13" s="103" customFormat="1" ht="10.9" hidden="1" customHeight="1" x14ac:dyDescent="0.25">
      <c r="A88" s="89" t="s">
        <v>373</v>
      </c>
      <c r="B88" s="105" t="s">
        <v>374</v>
      </c>
      <c r="C88" s="101" t="s">
        <v>5349</v>
      </c>
      <c r="D88" s="101" t="s">
        <v>375</v>
      </c>
      <c r="E88" s="73" t="s">
        <v>375</v>
      </c>
      <c r="F88" s="100" t="s">
        <v>81</v>
      </c>
      <c r="G88" s="72" t="e">
        <f>_xlfn.TEXTJOIN(", ",TRUE,B88,#REF!,#REF!,#REF!,D88,E88)</f>
        <v>#REF!</v>
      </c>
      <c r="H88" s="99"/>
      <c r="I88" s="99"/>
      <c r="J88" s="99"/>
      <c r="K88" s="99"/>
      <c r="L88" s="99"/>
      <c r="M88" s="77">
        <v>0</v>
      </c>
    </row>
    <row r="89" spans="1:13" s="103" customFormat="1" ht="10.9" hidden="1" customHeight="1" x14ac:dyDescent="0.25">
      <c r="A89" s="89" t="s">
        <v>376</v>
      </c>
      <c r="B89" s="98" t="s">
        <v>377</v>
      </c>
      <c r="C89" s="101" t="s">
        <v>5349</v>
      </c>
      <c r="D89" s="101" t="s">
        <v>378</v>
      </c>
      <c r="E89" s="73" t="s">
        <v>379</v>
      </c>
      <c r="F89" s="100" t="s">
        <v>81</v>
      </c>
      <c r="G89" s="72" t="e">
        <f>_xlfn.TEXTJOIN(", ",TRUE,B89,#REF!,#REF!,#REF!,D89,E89)</f>
        <v>#REF!</v>
      </c>
      <c r="H89" s="99"/>
      <c r="I89" s="99"/>
      <c r="J89" s="99"/>
      <c r="K89" s="99"/>
      <c r="L89" s="99"/>
      <c r="M89" s="77">
        <v>0</v>
      </c>
    </row>
    <row r="90" spans="1:13" s="103" customFormat="1" ht="10.9" hidden="1" customHeight="1" x14ac:dyDescent="0.25">
      <c r="A90" s="89" t="s">
        <v>380</v>
      </c>
      <c r="B90" s="98" t="s">
        <v>381</v>
      </c>
      <c r="C90" s="101" t="s">
        <v>5349</v>
      </c>
      <c r="D90" s="101" t="s">
        <v>382</v>
      </c>
      <c r="E90" s="73" t="s">
        <v>383</v>
      </c>
      <c r="F90" s="100" t="s">
        <v>187</v>
      </c>
      <c r="G90" s="72" t="e">
        <f>_xlfn.TEXTJOIN(", ",TRUE,B90,#REF!,#REF!,#REF!,D90,E90)</f>
        <v>#REF!</v>
      </c>
      <c r="H90" s="99">
        <v>44834</v>
      </c>
      <c r="I90" s="99"/>
      <c r="J90" s="99"/>
      <c r="K90" s="99"/>
      <c r="L90" s="99"/>
      <c r="M90" s="77" t="s">
        <v>88</v>
      </c>
    </row>
    <row r="91" spans="1:13" s="103" customFormat="1" ht="10.9" hidden="1" customHeight="1" x14ac:dyDescent="0.25">
      <c r="A91" s="89" t="s">
        <v>384</v>
      </c>
      <c r="B91" s="98" t="s">
        <v>385</v>
      </c>
      <c r="C91" s="101" t="s">
        <v>5349</v>
      </c>
      <c r="D91" s="101" t="s">
        <v>382</v>
      </c>
      <c r="E91" s="73" t="s">
        <v>383</v>
      </c>
      <c r="F91" s="100" t="s">
        <v>130</v>
      </c>
      <c r="G91" s="72" t="e">
        <f>_xlfn.TEXTJOIN(", ",TRUE,B91,#REF!,#REF!,#REF!,D91,E91)</f>
        <v>#REF!</v>
      </c>
      <c r="H91" s="99">
        <v>45878</v>
      </c>
      <c r="I91" s="99"/>
      <c r="J91" s="99"/>
      <c r="K91" s="99"/>
      <c r="L91" s="99"/>
      <c r="M91" s="77" t="s">
        <v>386</v>
      </c>
    </row>
    <row r="92" spans="1:13" s="103" customFormat="1" ht="10.9" hidden="1" customHeight="1" x14ac:dyDescent="0.25">
      <c r="A92" s="89" t="s">
        <v>387</v>
      </c>
      <c r="B92" s="98" t="s">
        <v>388</v>
      </c>
      <c r="C92" s="101" t="s">
        <v>5349</v>
      </c>
      <c r="D92" s="101" t="s">
        <v>389</v>
      </c>
      <c r="E92" s="73" t="s">
        <v>390</v>
      </c>
      <c r="F92" s="100" t="s">
        <v>98</v>
      </c>
      <c r="G92" s="72" t="e">
        <f>_xlfn.TEXTJOIN(", ",TRUE,B92,#REF!,#REF!,#REF!,D92,E92)</f>
        <v>#REF!</v>
      </c>
      <c r="H92" s="99"/>
      <c r="I92" s="99"/>
      <c r="J92" s="99"/>
      <c r="K92" s="99"/>
      <c r="L92" s="99"/>
      <c r="M92" s="77" t="s">
        <v>88</v>
      </c>
    </row>
    <row r="93" spans="1:13" s="103" customFormat="1" ht="10.9" hidden="1" customHeight="1" x14ac:dyDescent="0.25">
      <c r="A93" s="89" t="s">
        <v>391</v>
      </c>
      <c r="B93" s="98" t="s">
        <v>392</v>
      </c>
      <c r="C93" s="101" t="s">
        <v>5349</v>
      </c>
      <c r="D93" s="101" t="s">
        <v>389</v>
      </c>
      <c r="E93" s="73" t="s">
        <v>393</v>
      </c>
      <c r="F93" s="100" t="s">
        <v>187</v>
      </c>
      <c r="G93" s="72" t="e">
        <f>_xlfn.TEXTJOIN(", ",TRUE,B93,#REF!,#REF!,#REF!,D93,E93)</f>
        <v>#REF!</v>
      </c>
      <c r="H93" s="99"/>
      <c r="I93" s="99"/>
      <c r="J93" s="99"/>
      <c r="K93" s="99"/>
      <c r="L93" s="99"/>
      <c r="M93" s="77" t="s">
        <v>88</v>
      </c>
    </row>
    <row r="94" spans="1:13" s="103" customFormat="1" ht="10.9" hidden="1" customHeight="1" x14ac:dyDescent="0.25">
      <c r="A94" s="89" t="s">
        <v>394</v>
      </c>
      <c r="B94" s="98" t="s">
        <v>395</v>
      </c>
      <c r="C94" s="101" t="s">
        <v>5349</v>
      </c>
      <c r="D94" s="101" t="s">
        <v>389</v>
      </c>
      <c r="E94" s="73" t="s">
        <v>88</v>
      </c>
      <c r="F94" s="100" t="s">
        <v>98</v>
      </c>
      <c r="G94" s="72" t="e">
        <f>_xlfn.TEXTJOIN(", ",TRUE,B94,#REF!,#REF!,#REF!,D94,E94)</f>
        <v>#REF!</v>
      </c>
      <c r="H94" s="99"/>
      <c r="I94" s="99"/>
      <c r="J94" s="99"/>
      <c r="K94" s="99"/>
      <c r="L94" s="99"/>
      <c r="M94" s="77" t="s">
        <v>396</v>
      </c>
    </row>
    <row r="95" spans="1:13" s="103" customFormat="1" ht="10.9" hidden="1" customHeight="1" x14ac:dyDescent="0.25">
      <c r="A95" s="89" t="s">
        <v>397</v>
      </c>
      <c r="B95" s="98" t="s">
        <v>398</v>
      </c>
      <c r="C95" s="101" t="s">
        <v>5349</v>
      </c>
      <c r="D95" s="101" t="s">
        <v>389</v>
      </c>
      <c r="E95" s="73" t="s">
        <v>88</v>
      </c>
      <c r="F95" s="100" t="s">
        <v>98</v>
      </c>
      <c r="G95" s="72" t="e">
        <f>_xlfn.TEXTJOIN(", ",TRUE,B95,#REF!,#REF!,#REF!,D95,E95)</f>
        <v>#REF!</v>
      </c>
      <c r="H95" s="99"/>
      <c r="I95" s="99"/>
      <c r="J95" s="99"/>
      <c r="K95" s="99"/>
      <c r="L95" s="99"/>
      <c r="M95" s="77" t="s">
        <v>88</v>
      </c>
    </row>
    <row r="96" spans="1:13" s="103" customFormat="1" ht="10.9" hidden="1" customHeight="1" x14ac:dyDescent="0.25">
      <c r="A96" s="89" t="s">
        <v>399</v>
      </c>
      <c r="B96" s="98" t="s">
        <v>400</v>
      </c>
      <c r="C96" s="101" t="s">
        <v>5349</v>
      </c>
      <c r="D96" s="101" t="s">
        <v>389</v>
      </c>
      <c r="E96" s="73" t="s">
        <v>401</v>
      </c>
      <c r="F96" s="100" t="s">
        <v>81</v>
      </c>
      <c r="G96" s="72" t="e">
        <f>_xlfn.TEXTJOIN(", ",TRUE,B96,#REF!,#REF!,#REF!,D96,E96)</f>
        <v>#REF!</v>
      </c>
      <c r="H96" s="99">
        <v>45663</v>
      </c>
      <c r="I96" s="99"/>
      <c r="J96" s="99"/>
      <c r="K96" s="99"/>
      <c r="L96" s="99"/>
      <c r="M96" s="77">
        <v>0</v>
      </c>
    </row>
    <row r="97" spans="1:13" s="103" customFormat="1" ht="10.9" hidden="1" customHeight="1" x14ac:dyDescent="0.25">
      <c r="A97" s="89" t="s">
        <v>402</v>
      </c>
      <c r="B97" s="98" t="s">
        <v>403</v>
      </c>
      <c r="C97" s="101" t="s">
        <v>5349</v>
      </c>
      <c r="D97" s="101" t="s">
        <v>389</v>
      </c>
      <c r="E97" s="73" t="s">
        <v>404</v>
      </c>
      <c r="F97" s="100" t="s">
        <v>81</v>
      </c>
      <c r="G97" s="72" t="e">
        <f>_xlfn.TEXTJOIN(", ",TRUE,B97,#REF!,#REF!,#REF!,D97,E97)</f>
        <v>#REF!</v>
      </c>
      <c r="H97" s="99">
        <v>44999</v>
      </c>
      <c r="I97" s="99">
        <v>45527</v>
      </c>
      <c r="J97" s="99"/>
      <c r="K97" s="99"/>
      <c r="L97" s="99"/>
      <c r="M97" s="77" t="s">
        <v>405</v>
      </c>
    </row>
    <row r="98" spans="1:13" s="103" customFormat="1" ht="10.9" hidden="1" customHeight="1" x14ac:dyDescent="0.25">
      <c r="A98" s="89" t="s">
        <v>402</v>
      </c>
      <c r="B98" s="98" t="s">
        <v>403</v>
      </c>
      <c r="C98" s="101" t="s">
        <v>5349</v>
      </c>
      <c r="D98" s="101" t="s">
        <v>389</v>
      </c>
      <c r="E98" s="73" t="s">
        <v>404</v>
      </c>
      <c r="F98" s="100" t="s">
        <v>81</v>
      </c>
      <c r="G98" s="72" t="e">
        <f>_xlfn.TEXTJOIN(", ",TRUE,B98,#REF!,#REF!,#REF!,D98,E98)</f>
        <v>#REF!</v>
      </c>
      <c r="H98" s="99">
        <v>44999</v>
      </c>
      <c r="I98" s="99">
        <v>45527</v>
      </c>
      <c r="J98" s="99"/>
      <c r="K98" s="99"/>
      <c r="L98" s="99"/>
      <c r="M98" s="77">
        <v>0</v>
      </c>
    </row>
    <row r="99" spans="1:13" s="103" customFormat="1" ht="10.9" hidden="1" customHeight="1" x14ac:dyDescent="0.25">
      <c r="A99" s="89" t="s">
        <v>406</v>
      </c>
      <c r="B99" s="98" t="s">
        <v>407</v>
      </c>
      <c r="C99" s="101" t="s">
        <v>5349</v>
      </c>
      <c r="D99" s="101" t="s">
        <v>389</v>
      </c>
      <c r="E99" s="73" t="s">
        <v>408</v>
      </c>
      <c r="F99" s="100" t="s">
        <v>348</v>
      </c>
      <c r="G99" s="72" t="e">
        <f>_xlfn.TEXTJOIN(", ",TRUE,B99,#REF!,#REF!,#REF!,D99,E99)</f>
        <v>#REF!</v>
      </c>
      <c r="H99" s="99">
        <v>45251</v>
      </c>
      <c r="I99" s="99"/>
      <c r="J99" s="99"/>
      <c r="K99" s="99"/>
      <c r="L99" s="99"/>
      <c r="M99" s="77">
        <v>0</v>
      </c>
    </row>
    <row r="100" spans="1:13" s="103" customFormat="1" ht="10.9" hidden="1" customHeight="1" x14ac:dyDescent="0.25">
      <c r="A100" s="89" t="s">
        <v>409</v>
      </c>
      <c r="B100" s="98" t="s">
        <v>410</v>
      </c>
      <c r="C100" s="101" t="s">
        <v>5349</v>
      </c>
      <c r="D100" s="101" t="s">
        <v>389</v>
      </c>
      <c r="E100" s="73" t="s">
        <v>88</v>
      </c>
      <c r="F100" s="100" t="s">
        <v>98</v>
      </c>
      <c r="G100" s="72" t="e">
        <f>_xlfn.TEXTJOIN(", ",TRUE,B100,#REF!,#REF!,#REF!,D100,E100)</f>
        <v>#REF!</v>
      </c>
      <c r="H100" s="99"/>
      <c r="I100" s="99"/>
      <c r="J100" s="99"/>
      <c r="K100" s="99"/>
      <c r="L100" s="99"/>
      <c r="M100" s="77" t="s">
        <v>411</v>
      </c>
    </row>
    <row r="101" spans="1:13" s="103" customFormat="1" ht="10.9" hidden="1" customHeight="1" x14ac:dyDescent="0.25">
      <c r="A101" s="89" t="s">
        <v>412</v>
      </c>
      <c r="B101" s="98" t="s">
        <v>413</v>
      </c>
      <c r="C101" s="101" t="s">
        <v>5349</v>
      </c>
      <c r="D101" s="101" t="s">
        <v>389</v>
      </c>
      <c r="E101" s="73" t="s">
        <v>88</v>
      </c>
      <c r="F101" s="100" t="s">
        <v>282</v>
      </c>
      <c r="G101" s="72" t="e">
        <f>_xlfn.TEXTJOIN(", ",TRUE,B101,#REF!,#REF!,#REF!,D101,E101)</f>
        <v>#REF!</v>
      </c>
      <c r="H101" s="99"/>
      <c r="I101" s="99"/>
      <c r="J101" s="99"/>
      <c r="K101" s="99"/>
      <c r="L101" s="99"/>
      <c r="M101" s="77" t="s">
        <v>414</v>
      </c>
    </row>
    <row r="102" spans="1:13" s="103" customFormat="1" ht="10.9" hidden="1" customHeight="1" x14ac:dyDescent="0.25">
      <c r="A102" s="89" t="s">
        <v>415</v>
      </c>
      <c r="B102" s="104" t="s">
        <v>416</v>
      </c>
      <c r="C102" s="101" t="s">
        <v>5349</v>
      </c>
      <c r="D102" s="101" t="s">
        <v>389</v>
      </c>
      <c r="E102" s="73" t="s">
        <v>88</v>
      </c>
      <c r="F102" s="100" t="s">
        <v>98</v>
      </c>
      <c r="G102" s="72" t="e">
        <f>_xlfn.TEXTJOIN(", ",TRUE,B102,#REF!,#REF!,#REF!,D102,E102)</f>
        <v>#REF!</v>
      </c>
      <c r="H102" s="99"/>
      <c r="I102" s="99"/>
      <c r="J102" s="99"/>
      <c r="K102" s="99"/>
      <c r="L102" s="99"/>
      <c r="M102" s="77" t="s">
        <v>417</v>
      </c>
    </row>
    <row r="103" spans="1:13" s="103" customFormat="1" ht="10.9" hidden="1" customHeight="1" x14ac:dyDescent="0.25">
      <c r="A103" s="89" t="s">
        <v>418</v>
      </c>
      <c r="B103" s="98" t="s">
        <v>419</v>
      </c>
      <c r="C103" s="101" t="s">
        <v>5349</v>
      </c>
      <c r="D103" s="101" t="s">
        <v>389</v>
      </c>
      <c r="E103" s="73" t="s">
        <v>382</v>
      </c>
      <c r="F103" s="100" t="s">
        <v>98</v>
      </c>
      <c r="G103" s="72" t="e">
        <f>_xlfn.TEXTJOIN(", ",TRUE,B103,#REF!,#REF!,#REF!,D103,E103)</f>
        <v>#REF!</v>
      </c>
      <c r="H103" s="99">
        <v>45472</v>
      </c>
      <c r="I103" s="99"/>
      <c r="J103" s="99"/>
      <c r="K103" s="99"/>
      <c r="L103" s="99"/>
      <c r="M103" s="77">
        <v>0</v>
      </c>
    </row>
    <row r="104" spans="1:13" s="103" customFormat="1" ht="10.9" hidden="1" customHeight="1" x14ac:dyDescent="0.25">
      <c r="A104" s="89" t="s">
        <v>420</v>
      </c>
      <c r="B104" s="98" t="s">
        <v>421</v>
      </c>
      <c r="C104" s="101" t="s">
        <v>5349</v>
      </c>
      <c r="D104" s="101" t="s">
        <v>389</v>
      </c>
      <c r="E104" s="73" t="s">
        <v>422</v>
      </c>
      <c r="F104" s="100" t="s">
        <v>98</v>
      </c>
      <c r="G104" s="72" t="e">
        <f>_xlfn.TEXTJOIN(", ",TRUE,B104,#REF!,#REF!,#REF!,D104,E104)</f>
        <v>#REF!</v>
      </c>
      <c r="H104" s="99"/>
      <c r="I104" s="99"/>
      <c r="J104" s="99"/>
      <c r="K104" s="99"/>
      <c r="L104" s="99"/>
      <c r="M104" s="77" t="s">
        <v>88</v>
      </c>
    </row>
    <row r="105" spans="1:13" s="103" customFormat="1" ht="10.9" hidden="1" customHeight="1" x14ac:dyDescent="0.25">
      <c r="A105" s="89" t="s">
        <v>423</v>
      </c>
      <c r="B105" s="98" t="s">
        <v>424</v>
      </c>
      <c r="C105" s="101" t="s">
        <v>5349</v>
      </c>
      <c r="D105" s="101" t="s">
        <v>389</v>
      </c>
      <c r="E105" s="73" t="s">
        <v>88</v>
      </c>
      <c r="F105" s="100" t="s">
        <v>282</v>
      </c>
      <c r="G105" s="72" t="e">
        <f>_xlfn.TEXTJOIN(", ",TRUE,B105,#REF!,#REF!,#REF!,D105,E105)</f>
        <v>#REF!</v>
      </c>
      <c r="H105" s="99"/>
      <c r="I105" s="99"/>
      <c r="J105" s="99"/>
      <c r="K105" s="99"/>
      <c r="L105" s="99"/>
      <c r="M105" s="77">
        <v>0</v>
      </c>
    </row>
    <row r="106" spans="1:13" s="103" customFormat="1" ht="10.9" hidden="1" customHeight="1" x14ac:dyDescent="0.25">
      <c r="A106" s="89" t="s">
        <v>425</v>
      </c>
      <c r="B106" s="98" t="s">
        <v>426</v>
      </c>
      <c r="C106" s="101" t="s">
        <v>5349</v>
      </c>
      <c r="D106" s="101" t="s">
        <v>389</v>
      </c>
      <c r="E106" s="73" t="s">
        <v>427</v>
      </c>
      <c r="F106" s="100" t="s">
        <v>81</v>
      </c>
      <c r="G106" s="72" t="e">
        <f>_xlfn.TEXTJOIN(", ",TRUE,B106,#REF!,#REF!,#REF!,D106,E106)</f>
        <v>#REF!</v>
      </c>
      <c r="H106" s="99"/>
      <c r="I106" s="99"/>
      <c r="J106" s="99"/>
      <c r="K106" s="99"/>
      <c r="L106" s="99"/>
      <c r="M106" s="77" t="s">
        <v>88</v>
      </c>
    </row>
    <row r="107" spans="1:13" s="103" customFormat="1" ht="10.9" hidden="1" customHeight="1" x14ac:dyDescent="0.25">
      <c r="A107" s="89" t="s">
        <v>428</v>
      </c>
      <c r="B107" s="98" t="s">
        <v>429</v>
      </c>
      <c r="C107" s="101" t="s">
        <v>5349</v>
      </c>
      <c r="D107" s="101" t="s">
        <v>389</v>
      </c>
      <c r="E107" s="73" t="s">
        <v>430</v>
      </c>
      <c r="F107" s="100" t="s">
        <v>81</v>
      </c>
      <c r="G107" s="72" t="e">
        <f>_xlfn.TEXTJOIN(", ",TRUE,B107,#REF!,#REF!,#REF!,D107,E107)</f>
        <v>#REF!</v>
      </c>
      <c r="H107" s="99"/>
      <c r="I107" s="99"/>
      <c r="J107" s="99"/>
      <c r="K107" s="99"/>
      <c r="L107" s="99"/>
      <c r="M107" s="77" t="s">
        <v>88</v>
      </c>
    </row>
    <row r="108" spans="1:13" s="103" customFormat="1" ht="10.9" hidden="1" customHeight="1" x14ac:dyDescent="0.25">
      <c r="A108" s="89" t="s">
        <v>431</v>
      </c>
      <c r="B108" s="98" t="s">
        <v>432</v>
      </c>
      <c r="C108" s="101" t="s">
        <v>5349</v>
      </c>
      <c r="D108" s="101" t="s">
        <v>389</v>
      </c>
      <c r="E108" s="73" t="s">
        <v>433</v>
      </c>
      <c r="F108" s="100" t="s">
        <v>98</v>
      </c>
      <c r="G108" s="72" t="e">
        <f>_xlfn.TEXTJOIN(", ",TRUE,B108,#REF!,#REF!,#REF!,D108,E108)</f>
        <v>#REF!</v>
      </c>
      <c r="H108" s="99"/>
      <c r="I108" s="99"/>
      <c r="J108" s="99"/>
      <c r="K108" s="99"/>
      <c r="L108" s="99"/>
      <c r="M108" s="77" t="s">
        <v>88</v>
      </c>
    </row>
    <row r="109" spans="1:13" s="103" customFormat="1" ht="10.9" hidden="1" customHeight="1" x14ac:dyDescent="0.25">
      <c r="A109" s="89" t="s">
        <v>434</v>
      </c>
      <c r="B109" s="98" t="s">
        <v>435</v>
      </c>
      <c r="C109" s="101" t="s">
        <v>5349</v>
      </c>
      <c r="D109" s="101" t="s">
        <v>389</v>
      </c>
      <c r="E109" s="73" t="s">
        <v>436</v>
      </c>
      <c r="F109" s="100" t="s">
        <v>437</v>
      </c>
      <c r="G109" s="72" t="e">
        <f>_xlfn.TEXTJOIN(", ",TRUE,B109,#REF!,#REF!,#REF!,D109,E109)</f>
        <v>#REF!</v>
      </c>
      <c r="H109" s="99"/>
      <c r="I109" s="99"/>
      <c r="J109" s="99"/>
      <c r="K109" s="99"/>
      <c r="L109" s="99"/>
      <c r="M109" s="77" t="s">
        <v>438</v>
      </c>
    </row>
    <row r="110" spans="1:13" s="103" customFormat="1" ht="10.9" hidden="1" customHeight="1" x14ac:dyDescent="0.25">
      <c r="A110" s="89" t="s">
        <v>439</v>
      </c>
      <c r="B110" s="98" t="s">
        <v>440</v>
      </c>
      <c r="C110" s="101" t="s">
        <v>5349</v>
      </c>
      <c r="D110" s="101" t="s">
        <v>389</v>
      </c>
      <c r="E110" s="73" t="s">
        <v>441</v>
      </c>
      <c r="F110" s="100" t="s">
        <v>81</v>
      </c>
      <c r="G110" s="72" t="e">
        <f>_xlfn.TEXTJOIN(", ",TRUE,B110,#REF!,#REF!,#REF!,D110,E110)</f>
        <v>#REF!</v>
      </c>
      <c r="H110" s="99"/>
      <c r="I110" s="99"/>
      <c r="J110" s="99"/>
      <c r="K110" s="99"/>
      <c r="L110" s="99"/>
      <c r="M110" s="77" t="s">
        <v>159</v>
      </c>
    </row>
    <row r="111" spans="1:13" s="103" customFormat="1" ht="10.9" hidden="1" customHeight="1" x14ac:dyDescent="0.25">
      <c r="A111" s="89" t="s">
        <v>442</v>
      </c>
      <c r="B111" s="98" t="s">
        <v>443</v>
      </c>
      <c r="C111" s="101" t="s">
        <v>5349</v>
      </c>
      <c r="D111" s="101" t="s">
        <v>389</v>
      </c>
      <c r="E111" s="73" t="s">
        <v>88</v>
      </c>
      <c r="F111" s="100" t="s">
        <v>98</v>
      </c>
      <c r="G111" s="72" t="e">
        <f>_xlfn.TEXTJOIN(", ",TRUE,B111,#REF!,#REF!,#REF!,D111,E111)</f>
        <v>#REF!</v>
      </c>
      <c r="H111" s="99"/>
      <c r="I111" s="99"/>
      <c r="J111" s="99"/>
      <c r="K111" s="99"/>
      <c r="L111" s="99"/>
      <c r="M111" s="77" t="s">
        <v>444</v>
      </c>
    </row>
    <row r="112" spans="1:13" s="103" customFormat="1" ht="10.9" hidden="1" customHeight="1" x14ac:dyDescent="0.25">
      <c r="A112" s="89" t="s">
        <v>445</v>
      </c>
      <c r="B112" s="105" t="s">
        <v>446</v>
      </c>
      <c r="C112" s="101" t="s">
        <v>5349</v>
      </c>
      <c r="D112" s="101" t="s">
        <v>389</v>
      </c>
      <c r="E112" s="73" t="s">
        <v>382</v>
      </c>
      <c r="F112" s="100" t="s">
        <v>81</v>
      </c>
      <c r="G112" s="72" t="e">
        <f>_xlfn.TEXTJOIN(", ",TRUE,B112,#REF!,#REF!,#REF!,D112,E112)</f>
        <v>#REF!</v>
      </c>
      <c r="H112" s="99"/>
      <c r="I112" s="99"/>
      <c r="J112" s="99"/>
      <c r="K112" s="99"/>
      <c r="L112" s="99"/>
      <c r="M112" s="77">
        <v>0</v>
      </c>
    </row>
    <row r="113" spans="1:13" s="103" customFormat="1" ht="10.9" hidden="1" customHeight="1" x14ac:dyDescent="0.25">
      <c r="A113" s="89" t="s">
        <v>447</v>
      </c>
      <c r="B113" s="102" t="s">
        <v>448</v>
      </c>
      <c r="C113" s="101" t="s">
        <v>5349</v>
      </c>
      <c r="D113" s="101" t="s">
        <v>389</v>
      </c>
      <c r="E113" s="73" t="s">
        <v>382</v>
      </c>
      <c r="F113" s="100" t="s">
        <v>449</v>
      </c>
      <c r="G113" s="72" t="e">
        <f>_xlfn.TEXTJOIN(", ",TRUE,B113,#REF!,#REF!,#REF!,D113,E113)</f>
        <v>#REF!</v>
      </c>
      <c r="H113" s="99">
        <v>45274</v>
      </c>
      <c r="I113" s="99"/>
      <c r="J113" s="99"/>
      <c r="K113" s="99"/>
      <c r="L113" s="99"/>
      <c r="M113" s="77">
        <v>0</v>
      </c>
    </row>
    <row r="114" spans="1:13" s="103" customFormat="1" ht="10.9" hidden="1" customHeight="1" x14ac:dyDescent="0.25">
      <c r="A114" s="89" t="s">
        <v>450</v>
      </c>
      <c r="B114" s="102" t="s">
        <v>451</v>
      </c>
      <c r="C114" s="101" t="s">
        <v>5349</v>
      </c>
      <c r="D114" s="101" t="s">
        <v>389</v>
      </c>
      <c r="E114" s="73" t="s">
        <v>452</v>
      </c>
      <c r="F114" s="100" t="s">
        <v>453</v>
      </c>
      <c r="G114" s="72" t="e">
        <f>_xlfn.TEXTJOIN(", ",TRUE,B114,#REF!,#REF!,#REF!,D114,E114)</f>
        <v>#REF!</v>
      </c>
      <c r="H114" s="99"/>
      <c r="I114" s="99"/>
      <c r="J114" s="99"/>
      <c r="K114" s="99"/>
      <c r="L114" s="99"/>
      <c r="M114" s="77" t="s">
        <v>454</v>
      </c>
    </row>
    <row r="115" spans="1:13" s="103" customFormat="1" ht="10.9" hidden="1" customHeight="1" x14ac:dyDescent="0.25">
      <c r="A115" s="89" t="s">
        <v>455</v>
      </c>
      <c r="B115" s="104" t="s">
        <v>456</v>
      </c>
      <c r="C115" s="101" t="s">
        <v>5349</v>
      </c>
      <c r="D115" s="101" t="s">
        <v>389</v>
      </c>
      <c r="E115" s="73" t="s">
        <v>457</v>
      </c>
      <c r="F115" s="100" t="s">
        <v>81</v>
      </c>
      <c r="G115" s="72" t="e">
        <f>_xlfn.TEXTJOIN(", ",TRUE,B115,#REF!,#REF!,#REF!,D115,E115)</f>
        <v>#REF!</v>
      </c>
      <c r="H115" s="99"/>
      <c r="I115" s="99"/>
      <c r="J115" s="99"/>
      <c r="K115" s="99"/>
      <c r="L115" s="99"/>
      <c r="M115" s="77">
        <v>0</v>
      </c>
    </row>
    <row r="116" spans="1:13" s="103" customFormat="1" ht="10.9" hidden="1" customHeight="1" x14ac:dyDescent="0.25">
      <c r="A116" s="89" t="s">
        <v>458</v>
      </c>
      <c r="B116" s="98" t="s">
        <v>459</v>
      </c>
      <c r="C116" s="101" t="s">
        <v>5349</v>
      </c>
      <c r="D116" s="101" t="s">
        <v>389</v>
      </c>
      <c r="E116" s="73" t="s">
        <v>382</v>
      </c>
      <c r="F116" s="100" t="s">
        <v>98</v>
      </c>
      <c r="G116" s="72" t="e">
        <f>_xlfn.TEXTJOIN(", ",TRUE,B116,#REF!,#REF!,#REF!,D116,E116)</f>
        <v>#REF!</v>
      </c>
      <c r="H116" s="99"/>
      <c r="I116" s="99">
        <v>45266</v>
      </c>
      <c r="J116" s="99"/>
      <c r="K116" s="99"/>
      <c r="L116" s="99"/>
      <c r="M116" s="77" t="s">
        <v>88</v>
      </c>
    </row>
    <row r="117" spans="1:13" s="103" customFormat="1" ht="10.9" hidden="1" customHeight="1" x14ac:dyDescent="0.25">
      <c r="A117" s="89" t="s">
        <v>460</v>
      </c>
      <c r="B117" s="98" t="s">
        <v>461</v>
      </c>
      <c r="C117" s="101" t="s">
        <v>5349</v>
      </c>
      <c r="D117" s="101" t="s">
        <v>389</v>
      </c>
      <c r="E117" s="73" t="s">
        <v>382</v>
      </c>
      <c r="F117" s="100" t="s">
        <v>98</v>
      </c>
      <c r="G117" s="72" t="e">
        <f>_xlfn.TEXTJOIN(", ",TRUE,B117,#REF!,#REF!,#REF!,D117,E117)</f>
        <v>#REF!</v>
      </c>
      <c r="H117" s="99"/>
      <c r="I117" s="99"/>
      <c r="J117" s="99"/>
      <c r="K117" s="99"/>
      <c r="L117" s="99"/>
      <c r="M117" s="77" t="s">
        <v>462</v>
      </c>
    </row>
    <row r="118" spans="1:13" s="103" customFormat="1" ht="10.9" hidden="1" customHeight="1" x14ac:dyDescent="0.25">
      <c r="A118" s="89" t="s">
        <v>463</v>
      </c>
      <c r="B118" s="104" t="s">
        <v>464</v>
      </c>
      <c r="C118" s="101" t="s">
        <v>5349</v>
      </c>
      <c r="D118" s="101" t="s">
        <v>389</v>
      </c>
      <c r="E118" s="73" t="s">
        <v>88</v>
      </c>
      <c r="F118" s="100" t="s">
        <v>98</v>
      </c>
      <c r="G118" s="72" t="e">
        <f>_xlfn.TEXTJOIN(", ",TRUE,B118,#REF!,#REF!,#REF!,D118,E118)</f>
        <v>#REF!</v>
      </c>
      <c r="H118" s="99"/>
      <c r="I118" s="99"/>
      <c r="J118" s="99"/>
      <c r="K118" s="99"/>
      <c r="L118" s="99"/>
      <c r="M118" s="77">
        <v>0</v>
      </c>
    </row>
    <row r="119" spans="1:13" s="103" customFormat="1" ht="10.9" hidden="1" customHeight="1" x14ac:dyDescent="0.25">
      <c r="A119" s="89" t="s">
        <v>465</v>
      </c>
      <c r="B119" s="105" t="s">
        <v>466</v>
      </c>
      <c r="C119" s="101" t="s">
        <v>5349</v>
      </c>
      <c r="D119" s="101" t="s">
        <v>389</v>
      </c>
      <c r="E119" s="73" t="s">
        <v>382</v>
      </c>
      <c r="F119" s="100" t="s">
        <v>98</v>
      </c>
      <c r="G119" s="72" t="e">
        <f>_xlfn.TEXTJOIN(", ",TRUE,B119,#REF!,#REF!,#REF!,D119,E119)</f>
        <v>#REF!</v>
      </c>
      <c r="H119" s="99"/>
      <c r="I119" s="99"/>
      <c r="J119" s="99"/>
      <c r="K119" s="99"/>
      <c r="L119" s="99"/>
      <c r="M119" s="77" t="s">
        <v>88</v>
      </c>
    </row>
    <row r="120" spans="1:13" s="103" customFormat="1" ht="10.9" hidden="1" customHeight="1" x14ac:dyDescent="0.25">
      <c r="A120" s="89" t="s">
        <v>467</v>
      </c>
      <c r="B120" s="102" t="s">
        <v>468</v>
      </c>
      <c r="C120" s="101" t="s">
        <v>5349</v>
      </c>
      <c r="D120" s="101" t="s">
        <v>389</v>
      </c>
      <c r="E120" s="73" t="s">
        <v>382</v>
      </c>
      <c r="F120" s="100" t="s">
        <v>81</v>
      </c>
      <c r="G120" s="72" t="e">
        <f>_xlfn.TEXTJOIN(", ",TRUE,B120,#REF!,#REF!,#REF!,D120,E120)</f>
        <v>#REF!</v>
      </c>
      <c r="H120" s="99"/>
      <c r="I120" s="99"/>
      <c r="J120" s="99"/>
      <c r="K120" s="99"/>
      <c r="L120" s="99"/>
      <c r="M120" s="77" t="s">
        <v>88</v>
      </c>
    </row>
    <row r="121" spans="1:13" s="103" customFormat="1" ht="10.9" customHeight="1" x14ac:dyDescent="0.25">
      <c r="A121" s="89" t="s">
        <v>469</v>
      </c>
      <c r="B121" s="104" t="s">
        <v>470</v>
      </c>
      <c r="C121" s="101" t="s">
        <v>5347</v>
      </c>
      <c r="D121" s="101" t="s">
        <v>5344</v>
      </c>
      <c r="E121" s="73" t="s">
        <v>471</v>
      </c>
      <c r="F121" s="100" t="s">
        <v>98</v>
      </c>
      <c r="G121" s="72" t="e">
        <f>_xlfn.TEXTJOIN(", ",TRUE,B121,#REF!,#REF!,#REF!,D121,E121)</f>
        <v>#REF!</v>
      </c>
      <c r="H121" s="99"/>
      <c r="I121" s="99"/>
      <c r="J121" s="99"/>
      <c r="K121" s="99"/>
      <c r="L121" s="99"/>
      <c r="M121" s="77" t="s">
        <v>472</v>
      </c>
    </row>
    <row r="122" spans="1:13" s="103" customFormat="1" ht="10.9" customHeight="1" x14ac:dyDescent="0.25">
      <c r="A122" s="89" t="s">
        <v>473</v>
      </c>
      <c r="B122" s="98" t="s">
        <v>474</v>
      </c>
      <c r="C122" s="101" t="s">
        <v>5347</v>
      </c>
      <c r="D122" s="101" t="s">
        <v>5344</v>
      </c>
      <c r="E122" s="74" t="s">
        <v>475</v>
      </c>
      <c r="F122" s="100" t="s">
        <v>98</v>
      </c>
      <c r="G122" s="72" t="e">
        <f>_xlfn.TEXTJOIN(", ",TRUE,B122,#REF!,#REF!,#REF!,D122,E122)</f>
        <v>#REF!</v>
      </c>
      <c r="H122" s="99"/>
      <c r="I122" s="99"/>
      <c r="J122" s="99"/>
      <c r="K122" s="99"/>
      <c r="L122" s="99"/>
      <c r="M122" s="77">
        <v>0</v>
      </c>
    </row>
    <row r="123" spans="1:13" s="103" customFormat="1" ht="10.9" customHeight="1" x14ac:dyDescent="0.25">
      <c r="A123" s="89" t="s">
        <v>476</v>
      </c>
      <c r="B123" s="98" t="s">
        <v>477</v>
      </c>
      <c r="C123" s="101" t="s">
        <v>5347</v>
      </c>
      <c r="D123" s="101" t="s">
        <v>5344</v>
      </c>
      <c r="E123" s="74" t="s">
        <v>478</v>
      </c>
      <c r="F123" s="100" t="s">
        <v>130</v>
      </c>
      <c r="G123" s="72" t="e">
        <f>_xlfn.TEXTJOIN(", ",TRUE,B123,#REF!,#REF!,#REF!,D123,E123)</f>
        <v>#REF!</v>
      </c>
      <c r="H123" s="99">
        <v>45832</v>
      </c>
      <c r="I123" s="99"/>
      <c r="J123" s="99"/>
      <c r="K123" s="99"/>
      <c r="L123" s="99"/>
      <c r="M123" s="77" t="s">
        <v>88</v>
      </c>
    </row>
    <row r="124" spans="1:13" s="103" customFormat="1" ht="10.9" customHeight="1" x14ac:dyDescent="0.25">
      <c r="A124" s="89" t="s">
        <v>479</v>
      </c>
      <c r="B124" s="104" t="s">
        <v>480</v>
      </c>
      <c r="C124" s="101" t="s">
        <v>5347</v>
      </c>
      <c r="D124" s="101" t="s">
        <v>5344</v>
      </c>
      <c r="E124" s="74" t="s">
        <v>481</v>
      </c>
      <c r="F124" s="100" t="s">
        <v>98</v>
      </c>
      <c r="G124" s="72" t="e">
        <f>_xlfn.TEXTJOIN(", ",TRUE,B124,#REF!,#REF!,#REF!,D124,E124)</f>
        <v>#REF!</v>
      </c>
      <c r="H124" s="99"/>
      <c r="I124" s="99"/>
      <c r="J124" s="99"/>
      <c r="K124" s="99"/>
      <c r="L124" s="99"/>
      <c r="M124" s="77" t="s">
        <v>88</v>
      </c>
    </row>
    <row r="125" spans="1:13" s="103" customFormat="1" ht="10.9" hidden="1" customHeight="1" x14ac:dyDescent="0.25">
      <c r="A125" s="89" t="s">
        <v>482</v>
      </c>
      <c r="B125" s="104" t="s">
        <v>483</v>
      </c>
      <c r="C125" s="101" t="s">
        <v>5349</v>
      </c>
      <c r="D125" s="101" t="s">
        <v>484</v>
      </c>
      <c r="E125" s="73" t="s">
        <v>88</v>
      </c>
      <c r="F125" s="100" t="s">
        <v>98</v>
      </c>
      <c r="G125" s="72" t="e">
        <f>_xlfn.TEXTJOIN(", ",TRUE,B125,#REF!,#REF!,#REF!,D125,E125)</f>
        <v>#REF!</v>
      </c>
      <c r="H125" s="99"/>
      <c r="I125" s="99"/>
      <c r="J125" s="99"/>
      <c r="K125" s="99"/>
      <c r="L125" s="99"/>
      <c r="M125" s="77" t="s">
        <v>88</v>
      </c>
    </row>
    <row r="126" spans="1:13" s="103" customFormat="1" ht="10.9" hidden="1" customHeight="1" x14ac:dyDescent="0.25">
      <c r="A126" s="89" t="s">
        <v>485</v>
      </c>
      <c r="B126" s="104" t="s">
        <v>486</v>
      </c>
      <c r="C126" s="101" t="s">
        <v>5349</v>
      </c>
      <c r="D126" s="101" t="s">
        <v>487</v>
      </c>
      <c r="E126" s="73" t="s">
        <v>88</v>
      </c>
      <c r="F126" s="100" t="s">
        <v>98</v>
      </c>
      <c r="G126" s="72" t="e">
        <f>_xlfn.TEXTJOIN(", ",TRUE,B126,#REF!,#REF!,#REF!,D126,E126)</f>
        <v>#REF!</v>
      </c>
      <c r="H126" s="99"/>
      <c r="I126" s="99"/>
      <c r="J126" s="99"/>
      <c r="K126" s="99"/>
      <c r="L126" s="99"/>
      <c r="M126" s="77" t="s">
        <v>88</v>
      </c>
    </row>
    <row r="127" spans="1:13" s="103" customFormat="1" ht="10.9" hidden="1" customHeight="1" x14ac:dyDescent="0.25">
      <c r="A127" s="89" t="s">
        <v>488</v>
      </c>
      <c r="B127" s="98" t="s">
        <v>489</v>
      </c>
      <c r="C127" s="101" t="s">
        <v>5349</v>
      </c>
      <c r="D127" s="101" t="s">
        <v>490</v>
      </c>
      <c r="E127" s="73" t="s">
        <v>490</v>
      </c>
      <c r="F127" s="100" t="s">
        <v>81</v>
      </c>
      <c r="G127" s="72" t="e">
        <f>_xlfn.TEXTJOIN(", ",TRUE,B127,#REF!,#REF!,#REF!,D127,E127)</f>
        <v>#REF!</v>
      </c>
      <c r="H127" s="99">
        <v>45526</v>
      </c>
      <c r="I127" s="99"/>
      <c r="J127" s="99"/>
      <c r="K127" s="99"/>
      <c r="L127" s="99"/>
      <c r="M127" s="77" t="s">
        <v>88</v>
      </c>
    </row>
    <row r="128" spans="1:13" s="103" customFormat="1" ht="10.9" hidden="1" customHeight="1" x14ac:dyDescent="0.25">
      <c r="A128" s="89" t="s">
        <v>491</v>
      </c>
      <c r="B128" s="98" t="s">
        <v>492</v>
      </c>
      <c r="C128" s="101" t="s">
        <v>5348</v>
      </c>
      <c r="D128" s="101" t="s">
        <v>493</v>
      </c>
      <c r="E128" s="74" t="s">
        <v>494</v>
      </c>
      <c r="F128" s="100" t="s">
        <v>81</v>
      </c>
      <c r="G128" s="72" t="e">
        <f>_xlfn.TEXTJOIN(", ",TRUE,B128,#REF!,#REF!,#REF!,D128,E128)</f>
        <v>#REF!</v>
      </c>
      <c r="H128" s="99">
        <v>45549</v>
      </c>
      <c r="I128" s="99"/>
      <c r="J128" s="99"/>
      <c r="K128" s="99"/>
      <c r="L128" s="99"/>
      <c r="M128" s="77" t="s">
        <v>88</v>
      </c>
    </row>
    <row r="129" spans="1:13" s="103" customFormat="1" ht="10.9" hidden="1" customHeight="1" x14ac:dyDescent="0.25">
      <c r="A129" s="89" t="s">
        <v>495</v>
      </c>
      <c r="B129" s="102" t="s">
        <v>496</v>
      </c>
      <c r="C129" s="101" t="s">
        <v>5348</v>
      </c>
      <c r="D129" s="101" t="s">
        <v>493</v>
      </c>
      <c r="E129" s="74" t="s">
        <v>497</v>
      </c>
      <c r="F129" s="100" t="s">
        <v>98</v>
      </c>
      <c r="G129" s="72" t="e">
        <f>_xlfn.TEXTJOIN(", ",TRUE,B129,#REF!,#REF!,#REF!,D129,E129)</f>
        <v>#REF!</v>
      </c>
      <c r="H129" s="99"/>
      <c r="I129" s="99"/>
      <c r="J129" s="99"/>
      <c r="K129" s="99"/>
      <c r="L129" s="99"/>
      <c r="M129" s="77">
        <v>0</v>
      </c>
    </row>
    <row r="130" spans="1:13" s="103" customFormat="1" ht="10.9" hidden="1" customHeight="1" x14ac:dyDescent="0.25">
      <c r="A130" s="89" t="s">
        <v>498</v>
      </c>
      <c r="B130" s="98" t="s">
        <v>499</v>
      </c>
      <c r="C130" s="101" t="s">
        <v>5348</v>
      </c>
      <c r="D130" s="101" t="s">
        <v>493</v>
      </c>
      <c r="E130" s="74" t="s">
        <v>500</v>
      </c>
      <c r="F130" s="100" t="s">
        <v>81</v>
      </c>
      <c r="G130" s="72" t="e">
        <f>_xlfn.TEXTJOIN(", ",TRUE,B130,#REF!,#REF!,#REF!,D130,E130)</f>
        <v>#REF!</v>
      </c>
      <c r="H130" s="99">
        <v>45533</v>
      </c>
      <c r="I130" s="99"/>
      <c r="J130" s="99"/>
      <c r="K130" s="99"/>
      <c r="L130" s="99"/>
      <c r="M130" s="77" t="s">
        <v>88</v>
      </c>
    </row>
    <row r="131" spans="1:13" s="103" customFormat="1" ht="10.9" hidden="1" customHeight="1" x14ac:dyDescent="0.25">
      <c r="A131" s="89" t="s">
        <v>501</v>
      </c>
      <c r="B131" s="98" t="s">
        <v>502</v>
      </c>
      <c r="C131" s="101" t="s">
        <v>5349</v>
      </c>
      <c r="D131" s="101" t="s">
        <v>503</v>
      </c>
      <c r="E131" s="73" t="s">
        <v>88</v>
      </c>
      <c r="F131" s="100" t="s">
        <v>98</v>
      </c>
      <c r="G131" s="72" t="e">
        <f>_xlfn.TEXTJOIN(", ",TRUE,B131,#REF!,#REF!,#REF!,D131,E131)</f>
        <v>#REF!</v>
      </c>
      <c r="H131" s="99"/>
      <c r="I131" s="99"/>
      <c r="J131" s="99"/>
      <c r="K131" s="99"/>
      <c r="L131" s="99"/>
      <c r="M131" s="77" t="s">
        <v>88</v>
      </c>
    </row>
    <row r="132" spans="1:13" s="103" customFormat="1" ht="10.9" hidden="1" customHeight="1" x14ac:dyDescent="0.25">
      <c r="A132" s="89" t="s">
        <v>504</v>
      </c>
      <c r="B132" s="104" t="s">
        <v>505</v>
      </c>
      <c r="C132" s="101" t="s">
        <v>5349</v>
      </c>
      <c r="D132" s="101" t="s">
        <v>503</v>
      </c>
      <c r="E132" s="73" t="s">
        <v>88</v>
      </c>
      <c r="F132" s="100" t="s">
        <v>98</v>
      </c>
      <c r="G132" s="72" t="e">
        <f>_xlfn.TEXTJOIN(", ",TRUE,B132,#REF!,#REF!,#REF!,D132,E132)</f>
        <v>#REF!</v>
      </c>
      <c r="H132" s="99"/>
      <c r="I132" s="99"/>
      <c r="J132" s="99"/>
      <c r="K132" s="99"/>
      <c r="L132" s="99"/>
      <c r="M132" s="77">
        <v>0</v>
      </c>
    </row>
    <row r="133" spans="1:13" s="103" customFormat="1" ht="10.9" hidden="1" customHeight="1" x14ac:dyDescent="0.25">
      <c r="A133" s="89" t="s">
        <v>506</v>
      </c>
      <c r="B133" s="102" t="s">
        <v>507</v>
      </c>
      <c r="C133" s="101" t="s">
        <v>5349</v>
      </c>
      <c r="D133" s="101" t="s">
        <v>508</v>
      </c>
      <c r="E133" s="73" t="s">
        <v>509</v>
      </c>
      <c r="F133" s="100" t="s">
        <v>81</v>
      </c>
      <c r="G133" s="72" t="e">
        <f>_xlfn.TEXTJOIN(", ",TRUE,B133,#REF!,#REF!,#REF!,D133,E133)</f>
        <v>#REF!</v>
      </c>
      <c r="H133" s="99"/>
      <c r="I133" s="99"/>
      <c r="J133" s="99"/>
      <c r="K133" s="99"/>
      <c r="L133" s="99"/>
      <c r="M133" s="77" t="s">
        <v>510</v>
      </c>
    </row>
    <row r="134" spans="1:13" s="103" customFormat="1" ht="10.9" hidden="1" customHeight="1" x14ac:dyDescent="0.25">
      <c r="A134" s="89" t="s">
        <v>511</v>
      </c>
      <c r="B134" s="98" t="s">
        <v>512</v>
      </c>
      <c r="C134" s="101" t="s">
        <v>5349</v>
      </c>
      <c r="D134" s="101" t="s">
        <v>513</v>
      </c>
      <c r="E134" s="73" t="s">
        <v>514</v>
      </c>
      <c r="F134" s="100" t="s">
        <v>98</v>
      </c>
      <c r="G134" s="72" t="e">
        <f>_xlfn.TEXTJOIN(", ",TRUE,B134,#REF!,#REF!,#REF!,D134,E134)</f>
        <v>#REF!</v>
      </c>
      <c r="H134" s="99"/>
      <c r="I134" s="99"/>
      <c r="J134" s="99"/>
      <c r="K134" s="99"/>
      <c r="L134" s="99"/>
      <c r="M134" s="77" t="s">
        <v>88</v>
      </c>
    </row>
    <row r="135" spans="1:13" s="103" customFormat="1" ht="10.9" hidden="1" customHeight="1" x14ac:dyDescent="0.25">
      <c r="A135" s="89" t="s">
        <v>515</v>
      </c>
      <c r="B135" s="98" t="s">
        <v>516</v>
      </c>
      <c r="C135" s="101" t="s">
        <v>5349</v>
      </c>
      <c r="D135" s="101" t="s">
        <v>517</v>
      </c>
      <c r="E135" s="73" t="s">
        <v>517</v>
      </c>
      <c r="F135" s="100" t="s">
        <v>98</v>
      </c>
      <c r="G135" s="72" t="e">
        <f>_xlfn.TEXTJOIN(", ",TRUE,B135,#REF!,#REF!,#REF!,D135,E135)</f>
        <v>#REF!</v>
      </c>
      <c r="H135" s="99"/>
      <c r="I135" s="99"/>
      <c r="J135" s="99"/>
      <c r="K135" s="99"/>
      <c r="L135" s="99"/>
      <c r="M135" s="77" t="s">
        <v>88</v>
      </c>
    </row>
    <row r="136" spans="1:13" s="103" customFormat="1" ht="10.9" hidden="1" customHeight="1" x14ac:dyDescent="0.25">
      <c r="A136" s="89" t="s">
        <v>519</v>
      </c>
      <c r="B136" s="98" t="s">
        <v>520</v>
      </c>
      <c r="C136" s="101" t="s">
        <v>5349</v>
      </c>
      <c r="D136" s="101" t="s">
        <v>518</v>
      </c>
      <c r="E136" s="73" t="s">
        <v>521</v>
      </c>
      <c r="F136" s="100" t="s">
        <v>187</v>
      </c>
      <c r="G136" s="72" t="e">
        <f>_xlfn.TEXTJOIN(", ",TRUE,B136,#REF!,#REF!,#REF!,D136,E136)</f>
        <v>#REF!</v>
      </c>
      <c r="H136" s="99"/>
      <c r="I136" s="99"/>
      <c r="J136" s="99"/>
      <c r="K136" s="99"/>
      <c r="L136" s="99"/>
      <c r="M136" s="77" t="s">
        <v>522</v>
      </c>
    </row>
    <row r="137" spans="1:13" s="103" customFormat="1" ht="10.9" hidden="1" customHeight="1" x14ac:dyDescent="0.25">
      <c r="A137" s="89" t="s">
        <v>523</v>
      </c>
      <c r="B137" s="98" t="s">
        <v>524</v>
      </c>
      <c r="C137" s="101" t="s">
        <v>5348</v>
      </c>
      <c r="D137" s="101" t="s">
        <v>5345</v>
      </c>
      <c r="E137" s="74" t="s">
        <v>526</v>
      </c>
      <c r="F137" s="100" t="s">
        <v>98</v>
      </c>
      <c r="G137" s="72" t="e">
        <f>_xlfn.TEXTJOIN(", ",TRUE,B137,#REF!,#REF!,#REF!,D137,E137)</f>
        <v>#REF!</v>
      </c>
      <c r="H137" s="99">
        <v>45173</v>
      </c>
      <c r="I137" s="99"/>
      <c r="J137" s="99"/>
      <c r="K137" s="99"/>
      <c r="L137" s="99"/>
      <c r="M137" s="77" t="s">
        <v>88</v>
      </c>
    </row>
    <row r="138" spans="1:13" s="103" customFormat="1" ht="10.9" hidden="1" customHeight="1" x14ac:dyDescent="0.25">
      <c r="A138" s="89" t="s">
        <v>527</v>
      </c>
      <c r="B138" s="98" t="s">
        <v>528</v>
      </c>
      <c r="C138" s="101" t="s">
        <v>5348</v>
      </c>
      <c r="D138" s="101" t="s">
        <v>5345</v>
      </c>
      <c r="E138" s="73" t="s">
        <v>525</v>
      </c>
      <c r="F138" s="100" t="s">
        <v>81</v>
      </c>
      <c r="G138" s="72" t="e">
        <f>_xlfn.TEXTJOIN(", ",TRUE,B138,#REF!,#REF!,#REF!,D138,E138)</f>
        <v>#REF!</v>
      </c>
      <c r="H138" s="99"/>
      <c r="I138" s="99"/>
      <c r="J138" s="99"/>
      <c r="K138" s="99"/>
      <c r="L138" s="99"/>
      <c r="M138" s="77" t="s">
        <v>529</v>
      </c>
    </row>
    <row r="139" spans="1:13" s="103" customFormat="1" ht="10.9" hidden="1" customHeight="1" x14ac:dyDescent="0.25">
      <c r="A139" s="89" t="s">
        <v>530</v>
      </c>
      <c r="B139" s="98" t="s">
        <v>531</v>
      </c>
      <c r="C139" s="101" t="s">
        <v>5348</v>
      </c>
      <c r="D139" s="101" t="s">
        <v>5345</v>
      </c>
      <c r="E139" s="73" t="s">
        <v>532</v>
      </c>
      <c r="F139" s="100" t="s">
        <v>98</v>
      </c>
      <c r="G139" s="72" t="e">
        <f>_xlfn.TEXTJOIN(", ",TRUE,B139,#REF!,#REF!,#REF!,D139,E139)</f>
        <v>#REF!</v>
      </c>
      <c r="H139" s="99"/>
      <c r="I139" s="99">
        <v>45172</v>
      </c>
      <c r="J139" s="99"/>
      <c r="K139" s="99"/>
      <c r="L139" s="99"/>
      <c r="M139" s="77" t="s">
        <v>533</v>
      </c>
    </row>
    <row r="140" spans="1:13" s="103" customFormat="1" ht="10.9" hidden="1" customHeight="1" x14ac:dyDescent="0.25">
      <c r="A140" s="89" t="s">
        <v>534</v>
      </c>
      <c r="B140" s="98" t="s">
        <v>535</v>
      </c>
      <c r="C140" s="101" t="s">
        <v>5348</v>
      </c>
      <c r="D140" s="101" t="s">
        <v>5345</v>
      </c>
      <c r="E140" s="73" t="s">
        <v>525</v>
      </c>
      <c r="F140" s="100" t="s">
        <v>81</v>
      </c>
      <c r="G140" s="72" t="e">
        <f>_xlfn.TEXTJOIN(", ",TRUE,B140,#REF!,#REF!,#REF!,D140,E140)</f>
        <v>#REF!</v>
      </c>
      <c r="H140" s="99">
        <v>45302</v>
      </c>
      <c r="I140" s="99"/>
      <c r="J140" s="99"/>
      <c r="K140" s="99"/>
      <c r="L140" s="99"/>
      <c r="M140" s="77" t="s">
        <v>536</v>
      </c>
    </row>
    <row r="141" spans="1:13" s="103" customFormat="1" ht="10.9" hidden="1" customHeight="1" x14ac:dyDescent="0.25">
      <c r="A141" s="89" t="s">
        <v>534</v>
      </c>
      <c r="B141" s="98" t="s">
        <v>535</v>
      </c>
      <c r="C141" s="101" t="s">
        <v>5348</v>
      </c>
      <c r="D141" s="101" t="s">
        <v>5345</v>
      </c>
      <c r="E141" s="73" t="s">
        <v>525</v>
      </c>
      <c r="F141" s="100" t="s">
        <v>81</v>
      </c>
      <c r="G141" s="72" t="e">
        <f>_xlfn.TEXTJOIN(", ",TRUE,B141,#REF!,#REF!,#REF!,D141,E141)</f>
        <v>#REF!</v>
      </c>
      <c r="H141" s="99">
        <v>45302</v>
      </c>
      <c r="I141" s="99"/>
      <c r="J141" s="99"/>
      <c r="K141" s="99"/>
      <c r="L141" s="99"/>
      <c r="M141" s="77" t="s">
        <v>537</v>
      </c>
    </row>
    <row r="142" spans="1:13" s="103" customFormat="1" ht="10.9" hidden="1" customHeight="1" x14ac:dyDescent="0.25">
      <c r="A142" s="89" t="s">
        <v>538</v>
      </c>
      <c r="B142" s="102" t="s">
        <v>539</v>
      </c>
      <c r="C142" s="101" t="s">
        <v>5348</v>
      </c>
      <c r="D142" s="101" t="s">
        <v>5345</v>
      </c>
      <c r="E142" s="73" t="s">
        <v>88</v>
      </c>
      <c r="F142" s="100"/>
      <c r="G142" s="72" t="e">
        <f>_xlfn.TEXTJOIN(", ",TRUE,B142,#REF!,#REF!,#REF!,D142,E142)</f>
        <v>#REF!</v>
      </c>
      <c r="H142" s="99"/>
      <c r="I142" s="99"/>
      <c r="J142" s="99"/>
      <c r="K142" s="99"/>
      <c r="L142" s="99"/>
      <c r="M142" s="77" t="s">
        <v>88</v>
      </c>
    </row>
    <row r="143" spans="1:13" s="103" customFormat="1" ht="10.9" hidden="1" customHeight="1" x14ac:dyDescent="0.25">
      <c r="A143" s="89" t="s">
        <v>540</v>
      </c>
      <c r="B143" s="98" t="s">
        <v>541</v>
      </c>
      <c r="C143" s="101" t="s">
        <v>5348</v>
      </c>
      <c r="D143" s="101" t="s">
        <v>5345</v>
      </c>
      <c r="E143" s="74" t="s">
        <v>542</v>
      </c>
      <c r="F143" s="100" t="s">
        <v>98</v>
      </c>
      <c r="G143" s="72" t="e">
        <f>_xlfn.TEXTJOIN(", ",TRUE,B143,#REF!,#REF!,#REF!,D143,E143)</f>
        <v>#REF!</v>
      </c>
      <c r="H143" s="99"/>
      <c r="I143" s="99"/>
      <c r="J143" s="99"/>
      <c r="K143" s="99"/>
      <c r="L143" s="99"/>
      <c r="M143" s="77" t="s">
        <v>88</v>
      </c>
    </row>
    <row r="144" spans="1:13" s="103" customFormat="1" ht="10.9" hidden="1" customHeight="1" x14ac:dyDescent="0.25">
      <c r="A144" s="89" t="s">
        <v>543</v>
      </c>
      <c r="B144" s="102" t="s">
        <v>544</v>
      </c>
      <c r="C144" s="101" t="s">
        <v>5348</v>
      </c>
      <c r="D144" s="101" t="s">
        <v>5345</v>
      </c>
      <c r="E144" s="74" t="s">
        <v>545</v>
      </c>
      <c r="F144" s="100"/>
      <c r="G144" s="72" t="e">
        <f>_xlfn.TEXTJOIN(", ",TRUE,B144,#REF!,#REF!,#REF!,D144,E144)</f>
        <v>#REF!</v>
      </c>
      <c r="H144" s="99"/>
      <c r="I144" s="99"/>
      <c r="J144" s="99"/>
      <c r="K144" s="99"/>
      <c r="L144" s="99"/>
      <c r="M144" s="77" t="s">
        <v>88</v>
      </c>
    </row>
    <row r="145" spans="1:13" s="103" customFormat="1" ht="10.9" hidden="1" customHeight="1" x14ac:dyDescent="0.25">
      <c r="A145" s="89" t="s">
        <v>538</v>
      </c>
      <c r="B145" s="98" t="s">
        <v>546</v>
      </c>
      <c r="C145" s="101" t="s">
        <v>5348</v>
      </c>
      <c r="D145" s="101" t="s">
        <v>5345</v>
      </c>
      <c r="E145" s="73" t="s">
        <v>525</v>
      </c>
      <c r="F145" s="100" t="s">
        <v>98</v>
      </c>
      <c r="G145" s="72" t="e">
        <f>_xlfn.TEXTJOIN(", ",TRUE,B145,#REF!,#REF!,#REF!,D145,E145)</f>
        <v>#REF!</v>
      </c>
      <c r="H145" s="99">
        <v>45162</v>
      </c>
      <c r="I145" s="99"/>
      <c r="J145" s="99"/>
      <c r="K145" s="99"/>
      <c r="L145" s="99"/>
      <c r="M145" s="77">
        <v>0</v>
      </c>
    </row>
    <row r="146" spans="1:13" s="103" customFormat="1" ht="10.9" hidden="1" customHeight="1" x14ac:dyDescent="0.25">
      <c r="A146" s="89" t="s">
        <v>534</v>
      </c>
      <c r="B146" s="98" t="s">
        <v>547</v>
      </c>
      <c r="C146" s="101" t="s">
        <v>5348</v>
      </c>
      <c r="D146" s="101" t="s">
        <v>5345</v>
      </c>
      <c r="E146" s="73" t="s">
        <v>525</v>
      </c>
      <c r="F146" s="100" t="s">
        <v>98</v>
      </c>
      <c r="G146" s="72" t="e">
        <f>_xlfn.TEXTJOIN(", ",TRUE,B146,#REF!,#REF!,#REF!,D146,E146)</f>
        <v>#REF!</v>
      </c>
      <c r="H146" s="99">
        <v>45148</v>
      </c>
      <c r="I146" s="99">
        <v>45454</v>
      </c>
      <c r="J146" s="99"/>
      <c r="K146" s="99"/>
      <c r="L146" s="99">
        <v>45436</v>
      </c>
      <c r="M146" s="77">
        <v>0</v>
      </c>
    </row>
    <row r="147" spans="1:13" s="103" customFormat="1" ht="10.9" hidden="1" customHeight="1" x14ac:dyDescent="0.25">
      <c r="A147" s="89" t="s">
        <v>548</v>
      </c>
      <c r="B147" s="98" t="s">
        <v>549</v>
      </c>
      <c r="C147" s="101" t="s">
        <v>5348</v>
      </c>
      <c r="D147" s="101" t="s">
        <v>5345</v>
      </c>
      <c r="E147" s="73" t="s">
        <v>525</v>
      </c>
      <c r="F147" s="100" t="s">
        <v>81</v>
      </c>
      <c r="G147" s="72" t="e">
        <f>_xlfn.TEXTJOIN(", ",TRUE,B147,#REF!,#REF!,#REF!,D147,E147)</f>
        <v>#REF!</v>
      </c>
      <c r="H147" s="99">
        <v>45266</v>
      </c>
      <c r="I147" s="99"/>
      <c r="J147" s="99"/>
      <c r="K147" s="99"/>
      <c r="L147" s="99"/>
      <c r="M147" s="77" t="s">
        <v>550</v>
      </c>
    </row>
    <row r="148" spans="1:13" s="103" customFormat="1" ht="10.9" hidden="1" customHeight="1" x14ac:dyDescent="0.25">
      <c r="A148" s="89" t="s">
        <v>548</v>
      </c>
      <c r="B148" s="98" t="s">
        <v>549</v>
      </c>
      <c r="C148" s="101" t="s">
        <v>5348</v>
      </c>
      <c r="D148" s="101" t="s">
        <v>5345</v>
      </c>
      <c r="E148" s="73" t="s">
        <v>525</v>
      </c>
      <c r="F148" s="100" t="s">
        <v>81</v>
      </c>
      <c r="G148" s="72" t="e">
        <f>_xlfn.TEXTJOIN(", ",TRUE,B148,#REF!,#REF!,#REF!,D148,E148)</f>
        <v>#REF!</v>
      </c>
      <c r="H148" s="99">
        <v>45266</v>
      </c>
      <c r="I148" s="99"/>
      <c r="J148" s="99"/>
      <c r="K148" s="99"/>
      <c r="L148" s="99"/>
      <c r="M148" s="77">
        <v>0</v>
      </c>
    </row>
    <row r="149" spans="1:13" s="103" customFormat="1" ht="10.9" hidden="1" customHeight="1" x14ac:dyDescent="0.25">
      <c r="A149" s="89" t="s">
        <v>551</v>
      </c>
      <c r="B149" s="98" t="s">
        <v>552</v>
      </c>
      <c r="C149" s="101" t="s">
        <v>5348</v>
      </c>
      <c r="D149" s="101" t="s">
        <v>5345</v>
      </c>
      <c r="E149" s="73" t="s">
        <v>525</v>
      </c>
      <c r="F149" s="100" t="s">
        <v>81</v>
      </c>
      <c r="G149" s="72" t="e">
        <f>_xlfn.TEXTJOIN(", ",TRUE,B149,#REF!,#REF!,#REF!,D149,E149)</f>
        <v>#REF!</v>
      </c>
      <c r="H149" s="99">
        <v>45330</v>
      </c>
      <c r="I149" s="99"/>
      <c r="J149" s="99"/>
      <c r="K149" s="99"/>
      <c r="L149" s="99"/>
      <c r="M149" s="77" t="s">
        <v>553</v>
      </c>
    </row>
    <row r="150" spans="1:13" s="103" customFormat="1" ht="10.9" hidden="1" customHeight="1" x14ac:dyDescent="0.25">
      <c r="A150" s="89" t="s">
        <v>554</v>
      </c>
      <c r="B150" s="98" t="s">
        <v>555</v>
      </c>
      <c r="C150" s="101" t="s">
        <v>5348</v>
      </c>
      <c r="D150" s="101" t="s">
        <v>5345</v>
      </c>
      <c r="E150" s="73" t="s">
        <v>556</v>
      </c>
      <c r="F150" s="100" t="s">
        <v>81</v>
      </c>
      <c r="G150" s="72" t="e">
        <f>_xlfn.TEXTJOIN(", ",TRUE,B150,#REF!,#REF!,#REF!,D150,E150)</f>
        <v>#REF!</v>
      </c>
      <c r="H150" s="99"/>
      <c r="I150" s="99"/>
      <c r="J150" s="99"/>
      <c r="K150" s="99"/>
      <c r="L150" s="99"/>
      <c r="M150" s="77">
        <v>0</v>
      </c>
    </row>
    <row r="151" spans="1:13" s="103" customFormat="1" ht="10.9" hidden="1" customHeight="1" x14ac:dyDescent="0.25">
      <c r="A151" s="89" t="s">
        <v>557</v>
      </c>
      <c r="B151" s="98" t="s">
        <v>558</v>
      </c>
      <c r="C151" s="101" t="s">
        <v>5348</v>
      </c>
      <c r="D151" s="101" t="s">
        <v>5345</v>
      </c>
      <c r="E151" s="73" t="s">
        <v>88</v>
      </c>
      <c r="F151" s="100" t="s">
        <v>98</v>
      </c>
      <c r="G151" s="72" t="e">
        <f>_xlfn.TEXTJOIN(", ",TRUE,B151,#REF!,#REF!,#REF!,D151,E151)</f>
        <v>#REF!</v>
      </c>
      <c r="H151" s="99"/>
      <c r="I151" s="99"/>
      <c r="J151" s="99"/>
      <c r="K151" s="99"/>
      <c r="L151" s="99"/>
      <c r="M151" s="77" t="s">
        <v>559</v>
      </c>
    </row>
    <row r="152" spans="1:13" s="103" customFormat="1" ht="10.9" hidden="1" customHeight="1" x14ac:dyDescent="0.25">
      <c r="A152" s="89" t="s">
        <v>560</v>
      </c>
      <c r="B152" s="98" t="s">
        <v>561</v>
      </c>
      <c r="C152" s="101" t="s">
        <v>5348</v>
      </c>
      <c r="D152" s="101" t="s">
        <v>5345</v>
      </c>
      <c r="E152" s="73" t="s">
        <v>88</v>
      </c>
      <c r="F152" s="100" t="s">
        <v>562</v>
      </c>
      <c r="G152" s="72" t="e">
        <f>_xlfn.TEXTJOIN(", ",TRUE,B152,#REF!,#REF!,#REF!,D152,E152)</f>
        <v>#REF!</v>
      </c>
      <c r="H152" s="99"/>
      <c r="I152" s="99"/>
      <c r="J152" s="99"/>
      <c r="K152" s="99"/>
      <c r="L152" s="99"/>
      <c r="M152" s="77" t="s">
        <v>559</v>
      </c>
    </row>
    <row r="153" spans="1:13" s="103" customFormat="1" ht="10.9" hidden="1" customHeight="1" x14ac:dyDescent="0.25">
      <c r="A153" s="89" t="s">
        <v>563</v>
      </c>
      <c r="B153" s="98" t="s">
        <v>564</v>
      </c>
      <c r="C153" s="101" t="s">
        <v>5348</v>
      </c>
      <c r="D153" s="101" t="s">
        <v>5345</v>
      </c>
      <c r="E153" s="73" t="s">
        <v>525</v>
      </c>
      <c r="F153" s="100" t="s">
        <v>81</v>
      </c>
      <c r="G153" s="72" t="e">
        <f>_xlfn.TEXTJOIN(", ",TRUE,B153,#REF!,#REF!,#REF!,D153,E153)</f>
        <v>#REF!</v>
      </c>
      <c r="H153" s="99">
        <v>45463</v>
      </c>
      <c r="I153" s="99"/>
      <c r="J153" s="99"/>
      <c r="K153" s="99"/>
      <c r="L153" s="99"/>
      <c r="M153" s="77" t="s">
        <v>565</v>
      </c>
    </row>
    <row r="154" spans="1:13" s="103" customFormat="1" ht="10.9" hidden="1" customHeight="1" x14ac:dyDescent="0.25">
      <c r="A154" s="89" t="s">
        <v>560</v>
      </c>
      <c r="B154" s="98" t="s">
        <v>566</v>
      </c>
      <c r="C154" s="101" t="s">
        <v>5348</v>
      </c>
      <c r="D154" s="101" t="s">
        <v>5345</v>
      </c>
      <c r="E154" s="73" t="s">
        <v>525</v>
      </c>
      <c r="F154" s="100" t="s">
        <v>81</v>
      </c>
      <c r="G154" s="72" t="e">
        <f>_xlfn.TEXTJOIN(", ",TRUE,B154,#REF!,#REF!,#REF!,D154,E154)</f>
        <v>#REF!</v>
      </c>
      <c r="H154" s="99">
        <v>45250</v>
      </c>
      <c r="I154" s="99"/>
      <c r="J154" s="99"/>
      <c r="K154" s="99"/>
      <c r="L154" s="99"/>
      <c r="M154" s="77">
        <v>0</v>
      </c>
    </row>
    <row r="155" spans="1:13" s="103" customFormat="1" ht="10.9" hidden="1" customHeight="1" x14ac:dyDescent="0.25">
      <c r="A155" s="89" t="s">
        <v>567</v>
      </c>
      <c r="B155" s="98" t="s">
        <v>568</v>
      </c>
      <c r="C155" s="101" t="s">
        <v>5348</v>
      </c>
      <c r="D155" s="101" t="s">
        <v>5345</v>
      </c>
      <c r="E155" s="73" t="s">
        <v>525</v>
      </c>
      <c r="F155" s="100" t="s">
        <v>277</v>
      </c>
      <c r="G155" s="72" t="e">
        <f>_xlfn.TEXTJOIN(", ",TRUE,B155,#REF!,#REF!,#REF!,D155,E155)</f>
        <v>#REF!</v>
      </c>
      <c r="H155" s="99">
        <v>45543</v>
      </c>
      <c r="I155" s="99"/>
      <c r="J155" s="99"/>
      <c r="K155" s="99"/>
      <c r="L155" s="99"/>
      <c r="M155" s="77" t="s">
        <v>88</v>
      </c>
    </row>
    <row r="156" spans="1:13" s="103" customFormat="1" ht="10.9" hidden="1" customHeight="1" x14ac:dyDescent="0.25">
      <c r="A156" s="89" t="s">
        <v>569</v>
      </c>
      <c r="B156" s="102" t="s">
        <v>570</v>
      </c>
      <c r="C156" s="101" t="s">
        <v>5348</v>
      </c>
      <c r="D156" s="101" t="s">
        <v>5345</v>
      </c>
      <c r="E156" s="73" t="s">
        <v>571</v>
      </c>
      <c r="F156" s="100"/>
      <c r="G156" s="72" t="e">
        <f>_xlfn.TEXTJOIN(", ",TRUE,B156,#REF!,#REF!,#REF!,D156,E156)</f>
        <v>#REF!</v>
      </c>
      <c r="H156" s="99"/>
      <c r="I156" s="99"/>
      <c r="J156" s="99"/>
      <c r="K156" s="99"/>
      <c r="L156" s="99"/>
      <c r="M156" s="77" t="s">
        <v>88</v>
      </c>
    </row>
    <row r="157" spans="1:13" s="103" customFormat="1" ht="10.9" hidden="1" customHeight="1" x14ac:dyDescent="0.25">
      <c r="A157" s="89" t="s">
        <v>560</v>
      </c>
      <c r="B157" s="98" t="s">
        <v>566</v>
      </c>
      <c r="C157" s="101" t="s">
        <v>5348</v>
      </c>
      <c r="D157" s="101" t="s">
        <v>5345</v>
      </c>
      <c r="E157" s="73" t="s">
        <v>525</v>
      </c>
      <c r="F157" s="100" t="s">
        <v>98</v>
      </c>
      <c r="G157" s="72" t="e">
        <f>_xlfn.TEXTJOIN(", ",TRUE,B157,#REF!,#REF!,#REF!,D157,E157)</f>
        <v>#REF!</v>
      </c>
      <c r="H157" s="99">
        <v>45250</v>
      </c>
      <c r="I157" s="99"/>
      <c r="J157" s="99"/>
      <c r="K157" s="99"/>
      <c r="L157" s="99"/>
      <c r="M157" s="77" t="s">
        <v>572</v>
      </c>
    </row>
    <row r="158" spans="1:13" s="103" customFormat="1" ht="10.9" hidden="1" customHeight="1" x14ac:dyDescent="0.25">
      <c r="A158" s="89" t="s">
        <v>573</v>
      </c>
      <c r="B158" s="102" t="s">
        <v>574</v>
      </c>
      <c r="C158" s="101" t="s">
        <v>5348</v>
      </c>
      <c r="D158" s="101" t="s">
        <v>5345</v>
      </c>
      <c r="E158" s="74" t="s">
        <v>575</v>
      </c>
      <c r="F158" s="100" t="s">
        <v>562</v>
      </c>
      <c r="G158" s="72" t="e">
        <f>_xlfn.TEXTJOIN(", ",TRUE,B158,#REF!,#REF!,#REF!,D158,E158)</f>
        <v>#REF!</v>
      </c>
      <c r="H158" s="99"/>
      <c r="I158" s="99"/>
      <c r="J158" s="99"/>
      <c r="K158" s="99"/>
      <c r="L158" s="99"/>
      <c r="M158" s="77" t="s">
        <v>572</v>
      </c>
    </row>
    <row r="159" spans="1:13" s="103" customFormat="1" ht="10.9" hidden="1" customHeight="1" x14ac:dyDescent="0.25">
      <c r="A159" s="89" t="s">
        <v>576</v>
      </c>
      <c r="B159" s="102" t="s">
        <v>577</v>
      </c>
      <c r="C159" s="101" t="s">
        <v>5348</v>
      </c>
      <c r="D159" s="101" t="s">
        <v>5345</v>
      </c>
      <c r="E159" s="73" t="s">
        <v>88</v>
      </c>
      <c r="F159" s="100" t="s">
        <v>98</v>
      </c>
      <c r="G159" s="72" t="e">
        <f>_xlfn.TEXTJOIN(", ",TRUE,B159,#REF!,#REF!,#REF!,D159,E159)</f>
        <v>#REF!</v>
      </c>
      <c r="H159" s="99"/>
      <c r="I159" s="99"/>
      <c r="J159" s="99"/>
      <c r="K159" s="99"/>
      <c r="L159" s="99"/>
      <c r="M159" s="77" t="s">
        <v>88</v>
      </c>
    </row>
    <row r="160" spans="1:13" s="103" customFormat="1" ht="10.9" hidden="1" customHeight="1" x14ac:dyDescent="0.25">
      <c r="A160" s="89" t="s">
        <v>578</v>
      </c>
      <c r="B160" s="98" t="s">
        <v>579</v>
      </c>
      <c r="C160" s="101" t="s">
        <v>5348</v>
      </c>
      <c r="D160" s="101" t="s">
        <v>5345</v>
      </c>
      <c r="E160" s="73" t="s">
        <v>525</v>
      </c>
      <c r="F160" s="100" t="s">
        <v>81</v>
      </c>
      <c r="G160" s="72" t="e">
        <f>_xlfn.TEXTJOIN(", ",TRUE,B160,#REF!,#REF!,#REF!,D160,E160)</f>
        <v>#REF!</v>
      </c>
      <c r="H160" s="99">
        <v>45265</v>
      </c>
      <c r="I160" s="99"/>
      <c r="J160" s="99"/>
      <c r="K160" s="99"/>
      <c r="L160" s="99"/>
      <c r="M160" s="77" t="s">
        <v>580</v>
      </c>
    </row>
    <row r="161" spans="1:13" s="103" customFormat="1" ht="10.9" hidden="1" customHeight="1" x14ac:dyDescent="0.25">
      <c r="A161" s="89" t="s">
        <v>581</v>
      </c>
      <c r="B161" s="98" t="s">
        <v>582</v>
      </c>
      <c r="C161" s="101" t="s">
        <v>5348</v>
      </c>
      <c r="D161" s="101" t="s">
        <v>5345</v>
      </c>
      <c r="E161" s="73" t="s">
        <v>525</v>
      </c>
      <c r="F161" s="100" t="s">
        <v>81</v>
      </c>
      <c r="G161" s="72" t="e">
        <f>_xlfn.TEXTJOIN(", ",TRUE,B161,#REF!,#REF!,#REF!,D161,E161)</f>
        <v>#REF!</v>
      </c>
      <c r="H161" s="99">
        <v>45499</v>
      </c>
      <c r="I161" s="99"/>
      <c r="J161" s="99"/>
      <c r="K161" s="99"/>
      <c r="L161" s="99"/>
      <c r="M161" s="77" t="s">
        <v>583</v>
      </c>
    </row>
    <row r="162" spans="1:13" s="103" customFormat="1" ht="10.9" hidden="1" customHeight="1" x14ac:dyDescent="0.25">
      <c r="A162" s="89" t="s">
        <v>557</v>
      </c>
      <c r="B162" s="98" t="s">
        <v>584</v>
      </c>
      <c r="C162" s="101" t="s">
        <v>5348</v>
      </c>
      <c r="D162" s="101" t="s">
        <v>5345</v>
      </c>
      <c r="E162" s="73" t="s">
        <v>585</v>
      </c>
      <c r="F162" s="100" t="s">
        <v>98</v>
      </c>
      <c r="G162" s="72" t="e">
        <f>_xlfn.TEXTJOIN(", ",TRUE,B162,#REF!,#REF!,#REF!,D162,E162)</f>
        <v>#REF!</v>
      </c>
      <c r="H162" s="99"/>
      <c r="I162" s="99"/>
      <c r="J162" s="99"/>
      <c r="K162" s="99"/>
      <c r="L162" s="99"/>
      <c r="M162" s="77" t="s">
        <v>586</v>
      </c>
    </row>
    <row r="163" spans="1:13" s="103" customFormat="1" ht="10.9" hidden="1" customHeight="1" x14ac:dyDescent="0.25">
      <c r="A163" s="89" t="s">
        <v>587</v>
      </c>
      <c r="B163" s="98" t="s">
        <v>588</v>
      </c>
      <c r="C163" s="101" t="s">
        <v>5348</v>
      </c>
      <c r="D163" s="101" t="s">
        <v>5345</v>
      </c>
      <c r="E163" s="74" t="s">
        <v>589</v>
      </c>
      <c r="F163" s="100" t="s">
        <v>98</v>
      </c>
      <c r="G163" s="72" t="e">
        <f>_xlfn.TEXTJOIN(", ",TRUE,B163,#REF!,#REF!,#REF!,D163,E163)</f>
        <v>#REF!</v>
      </c>
      <c r="H163" s="99"/>
      <c r="I163" s="99"/>
      <c r="J163" s="99"/>
      <c r="K163" s="99"/>
      <c r="L163" s="99"/>
      <c r="M163" s="77" t="s">
        <v>88</v>
      </c>
    </row>
    <row r="164" spans="1:13" s="103" customFormat="1" ht="10.9" hidden="1" customHeight="1" x14ac:dyDescent="0.25">
      <c r="A164" s="89" t="s">
        <v>590</v>
      </c>
      <c r="B164" s="98" t="s">
        <v>591</v>
      </c>
      <c r="C164" s="101" t="s">
        <v>5348</v>
      </c>
      <c r="D164" s="101" t="s">
        <v>5345</v>
      </c>
      <c r="E164" s="73" t="s">
        <v>88</v>
      </c>
      <c r="F164" s="100" t="s">
        <v>98</v>
      </c>
      <c r="G164" s="72" t="e">
        <f>_xlfn.TEXTJOIN(", ",TRUE,B164,#REF!,#REF!,#REF!,D164,E164)</f>
        <v>#REF!</v>
      </c>
      <c r="H164" s="99"/>
      <c r="I164" s="99"/>
      <c r="J164" s="99"/>
      <c r="K164" s="99"/>
      <c r="L164" s="99"/>
      <c r="M164" s="77" t="s">
        <v>592</v>
      </c>
    </row>
    <row r="165" spans="1:13" s="103" customFormat="1" ht="10.9" hidden="1" customHeight="1" x14ac:dyDescent="0.25">
      <c r="A165" s="89" t="s">
        <v>593</v>
      </c>
      <c r="B165" s="98" t="s">
        <v>594</v>
      </c>
      <c r="C165" s="101" t="s">
        <v>5348</v>
      </c>
      <c r="D165" s="101" t="s">
        <v>5345</v>
      </c>
      <c r="E165" s="73" t="s">
        <v>525</v>
      </c>
      <c r="F165" s="100" t="s">
        <v>179</v>
      </c>
      <c r="G165" s="72" t="e">
        <f>_xlfn.TEXTJOIN(", ",TRUE,B165,#REF!,#REF!,#REF!,D165,E165)</f>
        <v>#REF!</v>
      </c>
      <c r="H165" s="99">
        <v>45157</v>
      </c>
      <c r="I165" s="99"/>
      <c r="J165" s="99"/>
      <c r="K165" s="99"/>
      <c r="L165" s="99"/>
      <c r="M165" s="77" t="s">
        <v>88</v>
      </c>
    </row>
    <row r="166" spans="1:13" s="103" customFormat="1" ht="10.9" hidden="1" customHeight="1" x14ac:dyDescent="0.25">
      <c r="A166" s="89" t="s">
        <v>595</v>
      </c>
      <c r="B166" s="98" t="s">
        <v>596</v>
      </c>
      <c r="C166" s="101" t="s">
        <v>5348</v>
      </c>
      <c r="D166" s="101" t="s">
        <v>5345</v>
      </c>
      <c r="E166" s="73" t="s">
        <v>525</v>
      </c>
      <c r="F166" s="100" t="s">
        <v>187</v>
      </c>
      <c r="G166" s="72" t="e">
        <f>_xlfn.TEXTJOIN(", ",TRUE,B166,#REF!,#REF!,#REF!,D166,E166)</f>
        <v>#REF!</v>
      </c>
      <c r="H166" s="99">
        <v>44897</v>
      </c>
      <c r="I166" s="99"/>
      <c r="J166" s="99"/>
      <c r="K166" s="99"/>
      <c r="L166" s="99"/>
      <c r="M166" s="77" t="s">
        <v>88</v>
      </c>
    </row>
    <row r="167" spans="1:13" s="103" customFormat="1" ht="10.9" hidden="1" customHeight="1" x14ac:dyDescent="0.25">
      <c r="A167" s="89" t="s">
        <v>597</v>
      </c>
      <c r="B167" s="104" t="s">
        <v>598</v>
      </c>
      <c r="C167" s="101" t="s">
        <v>5348</v>
      </c>
      <c r="D167" s="101" t="s">
        <v>5345</v>
      </c>
      <c r="E167" s="73" t="s">
        <v>88</v>
      </c>
      <c r="F167" s="100" t="s">
        <v>562</v>
      </c>
      <c r="G167" s="72" t="e">
        <f>_xlfn.TEXTJOIN(", ",TRUE,B167,#REF!,#REF!,#REF!,D167,E167)</f>
        <v>#REF!</v>
      </c>
      <c r="H167" s="99"/>
      <c r="I167" s="99"/>
      <c r="J167" s="99"/>
      <c r="K167" s="99"/>
      <c r="L167" s="99"/>
      <c r="M167" s="77" t="s">
        <v>88</v>
      </c>
    </row>
    <row r="168" spans="1:13" s="103" customFormat="1" ht="10.9" hidden="1" customHeight="1" x14ac:dyDescent="0.25">
      <c r="A168" s="89" t="s">
        <v>597</v>
      </c>
      <c r="B168" s="102" t="s">
        <v>599</v>
      </c>
      <c r="C168" s="101" t="s">
        <v>5348</v>
      </c>
      <c r="D168" s="101" t="s">
        <v>5345</v>
      </c>
      <c r="E168" s="73" t="s">
        <v>525</v>
      </c>
      <c r="F168" s="100" t="s">
        <v>98</v>
      </c>
      <c r="G168" s="72" t="e">
        <f>_xlfn.TEXTJOIN(", ",TRUE,B168,#REF!,#REF!,#REF!,D168,E168)</f>
        <v>#REF!</v>
      </c>
      <c r="H168" s="99">
        <v>45908</v>
      </c>
      <c r="I168" s="99"/>
      <c r="J168" s="99"/>
      <c r="K168" s="99"/>
      <c r="L168" s="99"/>
      <c r="M168" s="77" t="s">
        <v>88</v>
      </c>
    </row>
    <row r="169" spans="1:13" s="103" customFormat="1" ht="10.9" hidden="1" customHeight="1" x14ac:dyDescent="0.25">
      <c r="A169" s="89" t="s">
        <v>597</v>
      </c>
      <c r="B169" s="98" t="s">
        <v>599</v>
      </c>
      <c r="C169" s="101" t="s">
        <v>5348</v>
      </c>
      <c r="D169" s="101" t="s">
        <v>5345</v>
      </c>
      <c r="E169" s="73" t="s">
        <v>525</v>
      </c>
      <c r="F169" s="100" t="s">
        <v>98</v>
      </c>
      <c r="G169" s="72" t="e">
        <f>_xlfn.TEXTJOIN(", ",TRUE,B169,#REF!,#REF!,#REF!,D169,E169)</f>
        <v>#REF!</v>
      </c>
      <c r="H169" s="99">
        <v>45908</v>
      </c>
      <c r="I169" s="99"/>
      <c r="J169" s="99"/>
      <c r="K169" s="99"/>
      <c r="L169" s="99"/>
      <c r="M169" s="77" t="s">
        <v>88</v>
      </c>
    </row>
    <row r="170" spans="1:13" s="103" customFormat="1" ht="10.9" hidden="1" customHeight="1" x14ac:dyDescent="0.25">
      <c r="A170" s="89" t="s">
        <v>581</v>
      </c>
      <c r="B170" s="104" t="s">
        <v>600</v>
      </c>
      <c r="C170" s="101" t="s">
        <v>5348</v>
      </c>
      <c r="D170" s="101" t="s">
        <v>5345</v>
      </c>
      <c r="E170" s="73" t="s">
        <v>88</v>
      </c>
      <c r="F170" s="100" t="s">
        <v>81</v>
      </c>
      <c r="G170" s="72" t="e">
        <f>_xlfn.TEXTJOIN(", ",TRUE,B170,#REF!,#REF!,#REF!,D170,E170)</f>
        <v>#REF!</v>
      </c>
      <c r="H170" s="99"/>
      <c r="I170" s="99"/>
      <c r="J170" s="99"/>
      <c r="K170" s="99"/>
      <c r="L170" s="99"/>
      <c r="M170" s="77" t="s">
        <v>601</v>
      </c>
    </row>
    <row r="171" spans="1:13" s="103" customFormat="1" ht="10.9" hidden="1" customHeight="1" x14ac:dyDescent="0.25">
      <c r="A171" s="89" t="s">
        <v>602</v>
      </c>
      <c r="B171" s="102" t="s">
        <v>603</v>
      </c>
      <c r="C171" s="101" t="s">
        <v>5348</v>
      </c>
      <c r="D171" s="101" t="s">
        <v>5345</v>
      </c>
      <c r="E171" s="73" t="s">
        <v>88</v>
      </c>
      <c r="F171" s="100" t="s">
        <v>562</v>
      </c>
      <c r="G171" s="72" t="e">
        <f>_xlfn.TEXTJOIN(", ",TRUE,B171,#REF!,#REF!,#REF!,D171,E171)</f>
        <v>#REF!</v>
      </c>
      <c r="H171" s="99"/>
      <c r="I171" s="99"/>
      <c r="J171" s="99"/>
      <c r="K171" s="99"/>
      <c r="L171" s="99"/>
      <c r="M171" s="77" t="s">
        <v>586</v>
      </c>
    </row>
    <row r="172" spans="1:13" s="103" customFormat="1" ht="10.9" hidden="1" customHeight="1" x14ac:dyDescent="0.25">
      <c r="A172" s="89" t="s">
        <v>604</v>
      </c>
      <c r="B172" s="104" t="s">
        <v>605</v>
      </c>
      <c r="C172" s="101" t="s">
        <v>5348</v>
      </c>
      <c r="D172" s="101" t="s">
        <v>5345</v>
      </c>
      <c r="E172" s="73" t="s">
        <v>606</v>
      </c>
      <c r="F172" s="100" t="s">
        <v>98</v>
      </c>
      <c r="G172" s="72" t="e">
        <f>_xlfn.TEXTJOIN(", ",TRUE,B172,#REF!,#REF!,#REF!,D172,E172)</f>
        <v>#REF!</v>
      </c>
      <c r="H172" s="99"/>
      <c r="I172" s="99"/>
      <c r="J172" s="99"/>
      <c r="K172" s="99"/>
      <c r="L172" s="99"/>
      <c r="M172" s="77" t="s">
        <v>88</v>
      </c>
    </row>
    <row r="173" spans="1:13" s="103" customFormat="1" ht="10.9" hidden="1" customHeight="1" x14ac:dyDescent="0.25">
      <c r="A173" s="89" t="s">
        <v>607</v>
      </c>
      <c r="B173" s="104" t="s">
        <v>608</v>
      </c>
      <c r="C173" s="101" t="s">
        <v>5348</v>
      </c>
      <c r="D173" s="101" t="s">
        <v>5345</v>
      </c>
      <c r="E173" s="73" t="s">
        <v>88</v>
      </c>
      <c r="F173" s="100" t="s">
        <v>98</v>
      </c>
      <c r="G173" s="72" t="e">
        <f>_xlfn.TEXTJOIN(", ",TRUE,B173,#REF!,#REF!,#REF!,D173,E173)</f>
        <v>#REF!</v>
      </c>
      <c r="H173" s="99"/>
      <c r="I173" s="99"/>
      <c r="J173" s="99"/>
      <c r="K173" s="99"/>
      <c r="L173" s="99"/>
      <c r="M173" s="77" t="s">
        <v>609</v>
      </c>
    </row>
    <row r="174" spans="1:13" s="103" customFormat="1" ht="10.9" hidden="1" customHeight="1" x14ac:dyDescent="0.25">
      <c r="A174" s="89" t="s">
        <v>576</v>
      </c>
      <c r="B174" s="102" t="s">
        <v>610</v>
      </c>
      <c r="C174" s="101" t="s">
        <v>5348</v>
      </c>
      <c r="D174" s="101" t="s">
        <v>5345</v>
      </c>
      <c r="E174" s="73" t="s">
        <v>525</v>
      </c>
      <c r="F174" s="100" t="s">
        <v>130</v>
      </c>
      <c r="G174" s="72" t="e">
        <f>_xlfn.TEXTJOIN(", ",TRUE,B174,#REF!,#REF!,#REF!,D174,E174)</f>
        <v>#REF!</v>
      </c>
      <c r="H174" s="99">
        <v>45242</v>
      </c>
      <c r="I174" s="99"/>
      <c r="J174" s="99"/>
      <c r="K174" s="99"/>
      <c r="L174" s="99"/>
      <c r="M174" s="77" t="s">
        <v>609</v>
      </c>
    </row>
    <row r="175" spans="1:13" s="103" customFormat="1" ht="10.9" hidden="1" customHeight="1" x14ac:dyDescent="0.25">
      <c r="A175" s="89" t="s">
        <v>611</v>
      </c>
      <c r="B175" s="98" t="s">
        <v>612</v>
      </c>
      <c r="C175" s="101" t="s">
        <v>5348</v>
      </c>
      <c r="D175" s="101" t="s">
        <v>5345</v>
      </c>
      <c r="E175" s="73" t="s">
        <v>525</v>
      </c>
      <c r="F175" s="100" t="s">
        <v>81</v>
      </c>
      <c r="G175" s="72" t="e">
        <f>_xlfn.TEXTJOIN(", ",TRUE,B175,#REF!,#REF!,#REF!,D175,E175)</f>
        <v>#REF!</v>
      </c>
      <c r="H175" s="99"/>
      <c r="I175" s="99"/>
      <c r="J175" s="99"/>
      <c r="K175" s="99"/>
      <c r="L175" s="99"/>
      <c r="M175" s="77" t="s">
        <v>88</v>
      </c>
    </row>
    <row r="176" spans="1:13" s="103" customFormat="1" ht="10.9" hidden="1" customHeight="1" x14ac:dyDescent="0.25">
      <c r="A176" s="89" t="s">
        <v>613</v>
      </c>
      <c r="B176" s="104" t="s">
        <v>614</v>
      </c>
      <c r="C176" s="101" t="s">
        <v>5348</v>
      </c>
      <c r="D176" s="101" t="s">
        <v>5345</v>
      </c>
      <c r="E176" s="73" t="s">
        <v>88</v>
      </c>
      <c r="F176" s="100" t="s">
        <v>98</v>
      </c>
      <c r="G176" s="72" t="e">
        <f>_xlfn.TEXTJOIN(", ",TRUE,B176,#REF!,#REF!,#REF!,D176,E176)</f>
        <v>#REF!</v>
      </c>
      <c r="H176" s="99"/>
      <c r="I176" s="99"/>
      <c r="J176" s="99"/>
      <c r="K176" s="99"/>
      <c r="L176" s="99"/>
      <c r="M176" s="77" t="s">
        <v>88</v>
      </c>
    </row>
    <row r="177" spans="1:13" s="103" customFormat="1" ht="10.9" hidden="1" customHeight="1" x14ac:dyDescent="0.25">
      <c r="A177" s="89" t="s">
        <v>615</v>
      </c>
      <c r="B177" s="102" t="s">
        <v>616</v>
      </c>
      <c r="C177" s="101" t="s">
        <v>5348</v>
      </c>
      <c r="D177" s="101" t="s">
        <v>5345</v>
      </c>
      <c r="E177" s="73" t="s">
        <v>525</v>
      </c>
      <c r="F177" s="100" t="s">
        <v>98</v>
      </c>
      <c r="G177" s="72" t="e">
        <f>_xlfn.TEXTJOIN(", ",TRUE,B177,#REF!,#REF!,#REF!,D177,E177)</f>
        <v>#REF!</v>
      </c>
      <c r="H177" s="99">
        <v>45579</v>
      </c>
      <c r="I177" s="99"/>
      <c r="J177" s="99"/>
      <c r="K177" s="99"/>
      <c r="L177" s="99"/>
      <c r="M177" s="77">
        <v>0</v>
      </c>
    </row>
    <row r="178" spans="1:13" s="103" customFormat="1" ht="10.9" hidden="1" customHeight="1" x14ac:dyDescent="0.25">
      <c r="A178" s="89" t="s">
        <v>617</v>
      </c>
      <c r="B178" s="104" t="s">
        <v>618</v>
      </c>
      <c r="C178" s="101" t="s">
        <v>5348</v>
      </c>
      <c r="D178" s="101" t="s">
        <v>5345</v>
      </c>
      <c r="E178" s="73" t="s">
        <v>88</v>
      </c>
      <c r="F178" s="100" t="s">
        <v>98</v>
      </c>
      <c r="G178" s="72" t="e">
        <f>_xlfn.TEXTJOIN(", ",TRUE,B178,#REF!,#REF!,#REF!,D178,E178)</f>
        <v>#REF!</v>
      </c>
      <c r="H178" s="99"/>
      <c r="I178" s="99"/>
      <c r="J178" s="99"/>
      <c r="K178" s="99"/>
      <c r="L178" s="99"/>
      <c r="M178" s="77" t="s">
        <v>88</v>
      </c>
    </row>
    <row r="179" spans="1:13" s="103" customFormat="1" ht="10.9" hidden="1" customHeight="1" x14ac:dyDescent="0.25">
      <c r="A179" s="89" t="s">
        <v>619</v>
      </c>
      <c r="B179" s="104" t="s">
        <v>620</v>
      </c>
      <c r="C179" s="101" t="s">
        <v>5348</v>
      </c>
      <c r="D179" s="101" t="s">
        <v>5345</v>
      </c>
      <c r="E179" s="73" t="s">
        <v>621</v>
      </c>
      <c r="F179" s="100" t="s">
        <v>449</v>
      </c>
      <c r="G179" s="72" t="e">
        <f>_xlfn.TEXTJOIN(", ",TRUE,B179,#REF!,#REF!,#REF!,D179,E179)</f>
        <v>#REF!</v>
      </c>
      <c r="H179" s="99">
        <v>45379</v>
      </c>
      <c r="I179" s="99"/>
      <c r="J179" s="99"/>
      <c r="K179" s="99"/>
      <c r="L179" s="99"/>
      <c r="M179" s="77" t="s">
        <v>622</v>
      </c>
    </row>
    <row r="180" spans="1:13" s="103" customFormat="1" ht="10.9" hidden="1" customHeight="1" x14ac:dyDescent="0.25">
      <c r="A180" s="89"/>
      <c r="B180" s="104" t="s">
        <v>623</v>
      </c>
      <c r="C180" s="101" t="s">
        <v>5348</v>
      </c>
      <c r="D180" s="101" t="s">
        <v>5345</v>
      </c>
      <c r="E180" s="73" t="s">
        <v>88</v>
      </c>
      <c r="F180" s="100" t="s">
        <v>130</v>
      </c>
      <c r="G180" s="72" t="e">
        <f>_xlfn.TEXTJOIN(", ",TRUE,B180,#REF!,#REF!,#REF!,D180,E180)</f>
        <v>#REF!</v>
      </c>
      <c r="H180" s="99"/>
      <c r="I180" s="99"/>
      <c r="J180" s="99"/>
      <c r="K180" s="99"/>
      <c r="L180" s="99"/>
      <c r="M180" s="77" t="s">
        <v>88</v>
      </c>
    </row>
    <row r="181" spans="1:13" s="103" customFormat="1" ht="10.9" hidden="1" customHeight="1" x14ac:dyDescent="0.25">
      <c r="A181" s="89" t="s">
        <v>624</v>
      </c>
      <c r="B181" s="104" t="s">
        <v>625</v>
      </c>
      <c r="C181" s="101" t="s">
        <v>5348</v>
      </c>
      <c r="D181" s="101" t="s">
        <v>5345</v>
      </c>
      <c r="E181" s="73" t="s">
        <v>88</v>
      </c>
      <c r="F181" s="100" t="s">
        <v>98</v>
      </c>
      <c r="G181" s="72" t="e">
        <f>_xlfn.TEXTJOIN(", ",TRUE,B181,#REF!,#REF!,#REF!,D181,E181)</f>
        <v>#REF!</v>
      </c>
      <c r="H181" s="99"/>
      <c r="I181" s="99"/>
      <c r="J181" s="99"/>
      <c r="K181" s="99"/>
      <c r="L181" s="99"/>
      <c r="M181" s="77">
        <v>0</v>
      </c>
    </row>
    <row r="182" spans="1:13" s="103" customFormat="1" ht="10.9" hidden="1" customHeight="1" x14ac:dyDescent="0.25">
      <c r="A182" s="89" t="s">
        <v>626</v>
      </c>
      <c r="B182" s="98" t="s">
        <v>627</v>
      </c>
      <c r="C182" s="101" t="s">
        <v>5349</v>
      </c>
      <c r="D182" s="101" t="s">
        <v>525</v>
      </c>
      <c r="E182" s="73" t="s">
        <v>628</v>
      </c>
      <c r="F182" s="100" t="s">
        <v>98</v>
      </c>
      <c r="G182" s="72" t="e">
        <f>_xlfn.TEXTJOIN(", ",TRUE,B182,#REF!,#REF!,#REF!,D182,E182)</f>
        <v>#REF!</v>
      </c>
      <c r="H182" s="99"/>
      <c r="I182" s="99"/>
      <c r="J182" s="99"/>
      <c r="K182" s="99"/>
      <c r="L182" s="99"/>
      <c r="M182" s="77" t="s">
        <v>629</v>
      </c>
    </row>
    <row r="183" spans="1:13" s="103" customFormat="1" ht="10.9" hidden="1" customHeight="1" x14ac:dyDescent="0.25">
      <c r="A183" s="89" t="s">
        <v>630</v>
      </c>
      <c r="B183" s="98" t="s">
        <v>631</v>
      </c>
      <c r="C183" s="101" t="s">
        <v>5348</v>
      </c>
      <c r="D183" s="101" t="s">
        <v>5345</v>
      </c>
      <c r="E183" s="73" t="s">
        <v>525</v>
      </c>
      <c r="F183" s="100" t="s">
        <v>98</v>
      </c>
      <c r="G183" s="72" t="e">
        <f>_xlfn.TEXTJOIN(", ",TRUE,B183,#REF!,#REF!,#REF!,D183,E183)</f>
        <v>#REF!</v>
      </c>
      <c r="H183" s="99"/>
      <c r="I183" s="99"/>
      <c r="J183" s="99"/>
      <c r="K183" s="99"/>
      <c r="L183" s="99"/>
      <c r="M183" s="77">
        <v>0</v>
      </c>
    </row>
    <row r="184" spans="1:13" s="103" customFormat="1" ht="10.9" hidden="1" customHeight="1" x14ac:dyDescent="0.25">
      <c r="A184" s="89" t="s">
        <v>632</v>
      </c>
      <c r="B184" s="102" t="s">
        <v>633</v>
      </c>
      <c r="C184" s="101" t="s">
        <v>5348</v>
      </c>
      <c r="D184" s="101" t="s">
        <v>5345</v>
      </c>
      <c r="E184" s="73" t="s">
        <v>525</v>
      </c>
      <c r="F184" s="100" t="s">
        <v>81</v>
      </c>
      <c r="G184" s="72" t="e">
        <f>_xlfn.TEXTJOIN(", ",TRUE,B184,#REF!,#REF!,#REF!,D184,E184)</f>
        <v>#REF!</v>
      </c>
      <c r="H184" s="99">
        <v>44170</v>
      </c>
      <c r="I184" s="99"/>
      <c r="J184" s="99"/>
      <c r="K184" s="99"/>
      <c r="L184" s="99"/>
      <c r="M184" s="77">
        <v>0</v>
      </c>
    </row>
    <row r="185" spans="1:13" s="103" customFormat="1" ht="10.9" hidden="1" customHeight="1" x14ac:dyDescent="0.25">
      <c r="A185" s="89" t="s">
        <v>634</v>
      </c>
      <c r="B185" s="102" t="s">
        <v>635</v>
      </c>
      <c r="C185" s="101" t="s">
        <v>5348</v>
      </c>
      <c r="D185" s="101" t="s">
        <v>5345</v>
      </c>
      <c r="E185" s="73" t="s">
        <v>525</v>
      </c>
      <c r="F185" s="100" t="s">
        <v>98</v>
      </c>
      <c r="G185" s="72" t="e">
        <f>_xlfn.TEXTJOIN(", ",TRUE,B185,#REF!,#REF!,#REF!,D185,E185)</f>
        <v>#REF!</v>
      </c>
      <c r="H185" s="99">
        <v>44948</v>
      </c>
      <c r="I185" s="99"/>
      <c r="J185" s="99"/>
      <c r="K185" s="99"/>
      <c r="L185" s="99"/>
      <c r="M185" s="77">
        <v>0</v>
      </c>
    </row>
    <row r="186" spans="1:13" s="103" customFormat="1" ht="10.9" hidden="1" customHeight="1" x14ac:dyDescent="0.25">
      <c r="A186" s="89" t="s">
        <v>636</v>
      </c>
      <c r="B186" s="102" t="s">
        <v>637</v>
      </c>
      <c r="C186" s="101" t="s">
        <v>5348</v>
      </c>
      <c r="D186" s="101" t="s">
        <v>5345</v>
      </c>
      <c r="E186" s="73" t="s">
        <v>525</v>
      </c>
      <c r="F186" s="100" t="s">
        <v>449</v>
      </c>
      <c r="G186" s="72" t="e">
        <f>_xlfn.TEXTJOIN(", ",TRUE,B186,#REF!,#REF!,#REF!,D186,E186)</f>
        <v>#REF!</v>
      </c>
      <c r="H186" s="99">
        <v>45550</v>
      </c>
      <c r="I186" s="99"/>
      <c r="J186" s="99"/>
      <c r="K186" s="99">
        <v>45477</v>
      </c>
      <c r="L186" s="99"/>
      <c r="M186" s="77" t="s">
        <v>88</v>
      </c>
    </row>
    <row r="187" spans="1:13" s="103" customFormat="1" ht="10.9" hidden="1" customHeight="1" x14ac:dyDescent="0.25">
      <c r="A187" s="89" t="s">
        <v>638</v>
      </c>
      <c r="B187" s="102" t="s">
        <v>639</v>
      </c>
      <c r="C187" s="101" t="s">
        <v>5348</v>
      </c>
      <c r="D187" s="101" t="s">
        <v>5345</v>
      </c>
      <c r="E187" s="73" t="s">
        <v>525</v>
      </c>
      <c r="F187" s="100" t="s">
        <v>130</v>
      </c>
      <c r="G187" s="72" t="e">
        <f>_xlfn.TEXTJOIN(", ",TRUE,B187,#REF!,#REF!,#REF!,D187,E187)</f>
        <v>#REF!</v>
      </c>
      <c r="H187" s="99">
        <v>45579</v>
      </c>
      <c r="I187" s="99"/>
      <c r="J187" s="99"/>
      <c r="K187" s="99"/>
      <c r="L187" s="99">
        <v>45237</v>
      </c>
      <c r="M187" s="77">
        <v>0</v>
      </c>
    </row>
    <row r="188" spans="1:13" s="103" customFormat="1" ht="10.9" hidden="1" customHeight="1" x14ac:dyDescent="0.25">
      <c r="A188" s="89" t="s">
        <v>640</v>
      </c>
      <c r="B188" s="98" t="s">
        <v>641</v>
      </c>
      <c r="C188" s="101" t="s">
        <v>5348</v>
      </c>
      <c r="D188" s="101" t="s">
        <v>5345</v>
      </c>
      <c r="E188" s="73" t="s">
        <v>642</v>
      </c>
      <c r="F188" s="100" t="s">
        <v>277</v>
      </c>
      <c r="G188" s="72" t="e">
        <f>_xlfn.TEXTJOIN(", ",TRUE,B188,#REF!,#REF!,#REF!,D188,E188)</f>
        <v>#REF!</v>
      </c>
      <c r="H188" s="99"/>
      <c r="I188" s="99"/>
      <c r="J188" s="99"/>
      <c r="K188" s="99"/>
      <c r="L188" s="99"/>
      <c r="M188" s="77" t="s">
        <v>643</v>
      </c>
    </row>
    <row r="189" spans="1:13" s="103" customFormat="1" ht="10.9" hidden="1" customHeight="1" x14ac:dyDescent="0.25">
      <c r="A189" s="89" t="s">
        <v>644</v>
      </c>
      <c r="B189" s="98" t="s">
        <v>645</v>
      </c>
      <c r="C189" s="101" t="s">
        <v>5348</v>
      </c>
      <c r="D189" s="101" t="s">
        <v>5345</v>
      </c>
      <c r="E189" s="73" t="s">
        <v>646</v>
      </c>
      <c r="F189" s="100" t="s">
        <v>98</v>
      </c>
      <c r="G189" s="72" t="e">
        <f>_xlfn.TEXTJOIN(", ",TRUE,B189,#REF!,#REF!,#REF!,D189,E189)</f>
        <v>#REF!</v>
      </c>
      <c r="H189" s="99">
        <v>45446</v>
      </c>
      <c r="I189" s="99"/>
      <c r="J189" s="99"/>
      <c r="K189" s="99"/>
      <c r="L189" s="99"/>
      <c r="M189" s="77" t="s">
        <v>88</v>
      </c>
    </row>
    <row r="190" spans="1:13" s="103" customFormat="1" ht="10.9" hidden="1" customHeight="1" x14ac:dyDescent="0.25">
      <c r="A190" s="89" t="s">
        <v>647</v>
      </c>
      <c r="B190" s="102" t="s">
        <v>648</v>
      </c>
      <c r="C190" s="101" t="s">
        <v>5349</v>
      </c>
      <c r="D190" s="101" t="s">
        <v>646</v>
      </c>
      <c r="E190" s="73" t="s">
        <v>646</v>
      </c>
      <c r="F190" s="100" t="s">
        <v>98</v>
      </c>
      <c r="G190" s="72" t="e">
        <f>_xlfn.TEXTJOIN(", ",TRUE,B190,#REF!,#REF!,#REF!,D190,E190)</f>
        <v>#REF!</v>
      </c>
      <c r="H190" s="99">
        <v>45186</v>
      </c>
      <c r="I190" s="99"/>
      <c r="J190" s="99"/>
      <c r="K190" s="99"/>
      <c r="L190" s="99"/>
      <c r="M190" s="77" t="s">
        <v>88</v>
      </c>
    </row>
    <row r="191" spans="1:13" s="103" customFormat="1" ht="10.9" hidden="1" customHeight="1" x14ac:dyDescent="0.25">
      <c r="A191" s="89" t="s">
        <v>649</v>
      </c>
      <c r="B191" s="98" t="s">
        <v>650</v>
      </c>
      <c r="C191" s="101" t="s">
        <v>5349</v>
      </c>
      <c r="D191" s="101" t="s">
        <v>651</v>
      </c>
      <c r="E191" s="73" t="s">
        <v>651</v>
      </c>
      <c r="F191" s="100" t="s">
        <v>81</v>
      </c>
      <c r="G191" s="72" t="e">
        <f>_xlfn.TEXTJOIN(", ",TRUE,B191,#REF!,#REF!,#REF!,D191,E191)</f>
        <v>#REF!</v>
      </c>
      <c r="H191" s="99">
        <v>44865</v>
      </c>
      <c r="I191" s="99"/>
      <c r="J191" s="99" t="s">
        <v>652</v>
      </c>
      <c r="K191" s="99"/>
      <c r="L191" s="99"/>
      <c r="M191" s="77" t="s">
        <v>88</v>
      </c>
    </row>
    <row r="192" spans="1:13" s="103" customFormat="1" ht="10.9" hidden="1" customHeight="1" x14ac:dyDescent="0.25">
      <c r="A192" s="89" t="s">
        <v>653</v>
      </c>
      <c r="B192" s="102" t="s">
        <v>654</v>
      </c>
      <c r="C192" s="101" t="s">
        <v>5349</v>
      </c>
      <c r="D192" s="101" t="s">
        <v>651</v>
      </c>
      <c r="E192" s="73" t="s">
        <v>651</v>
      </c>
      <c r="F192" s="100" t="s">
        <v>81</v>
      </c>
      <c r="G192" s="72" t="e">
        <f>_xlfn.TEXTJOIN(", ",TRUE,B192,#REF!,#REF!,#REF!,D192,E192)</f>
        <v>#REF!</v>
      </c>
      <c r="H192" s="99">
        <v>44999</v>
      </c>
      <c r="I192" s="99"/>
      <c r="J192" s="99" t="s">
        <v>316</v>
      </c>
      <c r="K192" s="99"/>
      <c r="L192" s="99"/>
      <c r="M192" s="77" t="s">
        <v>586</v>
      </c>
    </row>
    <row r="193" spans="1:13" s="103" customFormat="1" ht="10.9" hidden="1" customHeight="1" x14ac:dyDescent="0.25">
      <c r="A193" s="89" t="s">
        <v>656</v>
      </c>
      <c r="B193" s="98" t="s">
        <v>657</v>
      </c>
      <c r="C193" s="101" t="s">
        <v>5348</v>
      </c>
      <c r="D193" s="101" t="s">
        <v>658</v>
      </c>
      <c r="E193" s="73" t="s">
        <v>659</v>
      </c>
      <c r="F193" s="100" t="s">
        <v>130</v>
      </c>
      <c r="G193" s="72" t="e">
        <f>_xlfn.TEXTJOIN(", ",TRUE,B193,#REF!,#REF!,#REF!,D193,E193)</f>
        <v>#REF!</v>
      </c>
      <c r="H193" s="99">
        <v>45948</v>
      </c>
      <c r="I193" s="99"/>
      <c r="J193" s="99"/>
      <c r="K193" s="99"/>
      <c r="L193" s="99"/>
      <c r="M193" s="77">
        <v>0</v>
      </c>
    </row>
    <row r="194" spans="1:13" s="103" customFormat="1" ht="10.9" hidden="1" customHeight="1" x14ac:dyDescent="0.25">
      <c r="A194" s="89" t="s">
        <v>660</v>
      </c>
      <c r="B194" s="98" t="s">
        <v>661</v>
      </c>
      <c r="C194" s="101" t="s">
        <v>5348</v>
      </c>
      <c r="D194" s="101" t="s">
        <v>658</v>
      </c>
      <c r="E194" s="73" t="s">
        <v>662</v>
      </c>
      <c r="F194" s="100" t="s">
        <v>98</v>
      </c>
      <c r="G194" s="72" t="e">
        <f>_xlfn.TEXTJOIN(", ",TRUE,B194,#REF!,#REF!,#REF!,D194,E194)</f>
        <v>#REF!</v>
      </c>
      <c r="H194" s="99">
        <v>45875</v>
      </c>
      <c r="I194" s="99"/>
      <c r="J194" s="99"/>
      <c r="K194" s="99"/>
      <c r="L194" s="99"/>
      <c r="M194" s="77" t="s">
        <v>88</v>
      </c>
    </row>
    <row r="195" spans="1:13" s="103" customFormat="1" ht="10.9" hidden="1" customHeight="1" x14ac:dyDescent="0.25">
      <c r="A195" s="89" t="s">
        <v>663</v>
      </c>
      <c r="B195" s="98" t="s">
        <v>664</v>
      </c>
      <c r="C195" s="101" t="s">
        <v>5348</v>
      </c>
      <c r="D195" s="101" t="s">
        <v>658</v>
      </c>
      <c r="E195" s="73" t="s">
        <v>665</v>
      </c>
      <c r="F195" s="100" t="s">
        <v>130</v>
      </c>
      <c r="G195" s="72" t="e">
        <f>_xlfn.TEXTJOIN(", ",TRUE,B195,#REF!,#REF!,#REF!,D195,E195)</f>
        <v>#REF!</v>
      </c>
      <c r="H195" s="99">
        <v>44848</v>
      </c>
      <c r="I195" s="99"/>
      <c r="J195" s="99"/>
      <c r="K195" s="99"/>
      <c r="L195" s="99"/>
      <c r="M195" s="77">
        <v>0</v>
      </c>
    </row>
    <row r="196" spans="1:13" s="103" customFormat="1" ht="10.9" hidden="1" customHeight="1" x14ac:dyDescent="0.25">
      <c r="A196" s="89" t="s">
        <v>666</v>
      </c>
      <c r="B196" s="98" t="s">
        <v>667</v>
      </c>
      <c r="C196" s="101" t="s">
        <v>5348</v>
      </c>
      <c r="D196" s="101" t="s">
        <v>658</v>
      </c>
      <c r="E196" s="73" t="s">
        <v>668</v>
      </c>
      <c r="F196" s="100" t="s">
        <v>669</v>
      </c>
      <c r="G196" s="72" t="e">
        <f>_xlfn.TEXTJOIN(", ",TRUE,B196,#REF!,#REF!,#REF!,D196,E196)</f>
        <v>#REF!</v>
      </c>
      <c r="H196" s="99">
        <v>45109</v>
      </c>
      <c r="I196" s="99"/>
      <c r="J196" s="99"/>
      <c r="K196" s="99"/>
      <c r="L196" s="99"/>
      <c r="M196" s="77" t="s">
        <v>670</v>
      </c>
    </row>
    <row r="197" spans="1:13" s="103" customFormat="1" ht="10.9" hidden="1" customHeight="1" x14ac:dyDescent="0.25">
      <c r="A197" s="89" t="s">
        <v>671</v>
      </c>
      <c r="B197" s="98" t="s">
        <v>672</v>
      </c>
      <c r="C197" s="101" t="s">
        <v>5348</v>
      </c>
      <c r="D197" s="101" t="s">
        <v>658</v>
      </c>
      <c r="E197" s="73" t="s">
        <v>88</v>
      </c>
      <c r="F197" s="100" t="s">
        <v>98</v>
      </c>
      <c r="G197" s="72" t="e">
        <f>_xlfn.TEXTJOIN(", ",TRUE,B197,#REF!,#REF!,#REF!,D197,E197)</f>
        <v>#REF!</v>
      </c>
      <c r="H197" s="99"/>
      <c r="I197" s="99"/>
      <c r="J197" s="99"/>
      <c r="K197" s="99"/>
      <c r="L197" s="99"/>
      <c r="M197" s="77" t="s">
        <v>159</v>
      </c>
    </row>
    <row r="198" spans="1:13" s="103" customFormat="1" ht="10.9" hidden="1" customHeight="1" x14ac:dyDescent="0.25">
      <c r="A198" s="89" t="s">
        <v>673</v>
      </c>
      <c r="B198" s="98" t="s">
        <v>674</v>
      </c>
      <c r="C198" s="101" t="s">
        <v>5348</v>
      </c>
      <c r="D198" s="101" t="s">
        <v>658</v>
      </c>
      <c r="E198" s="74" t="s">
        <v>675</v>
      </c>
      <c r="F198" s="100" t="s">
        <v>98</v>
      </c>
      <c r="G198" s="72" t="e">
        <f>_xlfn.TEXTJOIN(", ",TRUE,B198,#REF!,#REF!,#REF!,D198,E198)</f>
        <v>#REF!</v>
      </c>
      <c r="H198" s="99"/>
      <c r="I198" s="99"/>
      <c r="J198" s="99"/>
      <c r="K198" s="99"/>
      <c r="L198" s="99"/>
      <c r="M198" s="77">
        <v>0</v>
      </c>
    </row>
    <row r="199" spans="1:13" s="103" customFormat="1" ht="10.9" hidden="1" customHeight="1" x14ac:dyDescent="0.25">
      <c r="A199" s="89" t="s">
        <v>676</v>
      </c>
      <c r="B199" s="98" t="s">
        <v>677</v>
      </c>
      <c r="C199" s="101" t="s">
        <v>5348</v>
      </c>
      <c r="D199" s="101" t="s">
        <v>658</v>
      </c>
      <c r="E199" s="73" t="s">
        <v>678</v>
      </c>
      <c r="F199" s="100" t="s">
        <v>81</v>
      </c>
      <c r="G199" s="72" t="e">
        <f>_xlfn.TEXTJOIN(", ",TRUE,B199,#REF!,#REF!,#REF!,D199,E199)</f>
        <v>#REF!</v>
      </c>
      <c r="H199" s="99">
        <v>45452</v>
      </c>
      <c r="I199" s="99"/>
      <c r="J199" s="99"/>
      <c r="K199" s="99"/>
      <c r="L199" s="99"/>
      <c r="M199" s="77" t="s">
        <v>679</v>
      </c>
    </row>
    <row r="200" spans="1:13" s="103" customFormat="1" ht="10.9" hidden="1" customHeight="1" x14ac:dyDescent="0.25">
      <c r="A200" s="89" t="s">
        <v>680</v>
      </c>
      <c r="B200" s="102" t="s">
        <v>681</v>
      </c>
      <c r="C200" s="101" t="s">
        <v>5348</v>
      </c>
      <c r="D200" s="101" t="s">
        <v>658</v>
      </c>
      <c r="E200" s="73" t="s">
        <v>88</v>
      </c>
      <c r="F200" s="100" t="s">
        <v>130</v>
      </c>
      <c r="G200" s="72" t="e">
        <f>_xlfn.TEXTJOIN(", ",TRUE,B200,#REF!,#REF!,#REF!,D200,E200)</f>
        <v>#REF!</v>
      </c>
      <c r="H200" s="99"/>
      <c r="I200" s="99"/>
      <c r="J200" s="99"/>
      <c r="K200" s="99"/>
      <c r="L200" s="99"/>
      <c r="M200" s="77">
        <v>0</v>
      </c>
    </row>
    <row r="201" spans="1:13" s="103" customFormat="1" ht="10.9" hidden="1" customHeight="1" x14ac:dyDescent="0.25">
      <c r="A201" s="89" t="s">
        <v>682</v>
      </c>
      <c r="B201" s="98" t="s">
        <v>683</v>
      </c>
      <c r="C201" s="101" t="s">
        <v>5348</v>
      </c>
      <c r="D201" s="101" t="s">
        <v>658</v>
      </c>
      <c r="E201" s="73" t="s">
        <v>684</v>
      </c>
      <c r="F201" s="100" t="s">
        <v>282</v>
      </c>
      <c r="G201" s="72" t="e">
        <f>_xlfn.TEXTJOIN(", ",TRUE,B201,#REF!,#REF!,#REF!,D201,E201)</f>
        <v>#REF!</v>
      </c>
      <c r="H201" s="99"/>
      <c r="I201" s="99"/>
      <c r="J201" s="99"/>
      <c r="K201" s="99"/>
      <c r="L201" s="99"/>
      <c r="M201" s="77">
        <v>0</v>
      </c>
    </row>
    <row r="202" spans="1:13" s="103" customFormat="1" ht="10.9" hidden="1" customHeight="1" x14ac:dyDescent="0.25">
      <c r="A202" s="89" t="s">
        <v>685</v>
      </c>
      <c r="B202" s="98" t="s">
        <v>686</v>
      </c>
      <c r="C202" s="101" t="s">
        <v>5348</v>
      </c>
      <c r="D202" s="101" t="s">
        <v>658</v>
      </c>
      <c r="E202" s="73" t="s">
        <v>88</v>
      </c>
      <c r="F202" s="100" t="s">
        <v>98</v>
      </c>
      <c r="G202" s="72" t="e">
        <f>_xlfn.TEXTJOIN(", ",TRUE,B202,#REF!,#REF!,#REF!,D202,E202)</f>
        <v>#REF!</v>
      </c>
      <c r="H202" s="99"/>
      <c r="I202" s="99"/>
      <c r="J202" s="99"/>
      <c r="K202" s="99"/>
      <c r="L202" s="99"/>
      <c r="M202" s="77" t="s">
        <v>687</v>
      </c>
    </row>
    <row r="203" spans="1:13" s="103" customFormat="1" ht="10.9" hidden="1" customHeight="1" x14ac:dyDescent="0.25">
      <c r="A203" s="89" t="s">
        <v>688</v>
      </c>
      <c r="B203" s="98" t="s">
        <v>689</v>
      </c>
      <c r="C203" s="101" t="s">
        <v>5348</v>
      </c>
      <c r="D203" s="101" t="s">
        <v>658</v>
      </c>
      <c r="E203" s="73" t="s">
        <v>690</v>
      </c>
      <c r="F203" s="100" t="s">
        <v>98</v>
      </c>
      <c r="G203" s="72" t="e">
        <f>_xlfn.TEXTJOIN(", ",TRUE,B203,#REF!,#REF!,#REF!,D203,E203)</f>
        <v>#REF!</v>
      </c>
      <c r="H203" s="99">
        <v>45174</v>
      </c>
      <c r="I203" s="99"/>
      <c r="J203" s="99"/>
      <c r="K203" s="99"/>
      <c r="L203" s="99"/>
      <c r="M203" s="77" t="s">
        <v>691</v>
      </c>
    </row>
    <row r="204" spans="1:13" s="103" customFormat="1" ht="10.9" hidden="1" customHeight="1" x14ac:dyDescent="0.25">
      <c r="A204" s="89" t="s">
        <v>692</v>
      </c>
      <c r="B204" s="104" t="s">
        <v>693</v>
      </c>
      <c r="C204" s="101" t="s">
        <v>5348</v>
      </c>
      <c r="D204" s="101" t="s">
        <v>658</v>
      </c>
      <c r="E204" s="73" t="s">
        <v>694</v>
      </c>
      <c r="F204" s="100" t="s">
        <v>98</v>
      </c>
      <c r="G204" s="72" t="e">
        <f>_xlfn.TEXTJOIN(", ",TRUE,B204,#REF!,#REF!,#REF!,D204,E204)</f>
        <v>#REF!</v>
      </c>
      <c r="H204" s="99"/>
      <c r="I204" s="99"/>
      <c r="J204" s="99"/>
      <c r="K204" s="99"/>
      <c r="L204" s="99"/>
      <c r="M204" s="77" t="s">
        <v>88</v>
      </c>
    </row>
    <row r="205" spans="1:13" s="103" customFormat="1" ht="10.9" hidden="1" customHeight="1" x14ac:dyDescent="0.25">
      <c r="A205" s="89" t="s">
        <v>695</v>
      </c>
      <c r="B205" s="104" t="s">
        <v>696</v>
      </c>
      <c r="C205" s="101" t="s">
        <v>5348</v>
      </c>
      <c r="D205" s="101" t="s">
        <v>658</v>
      </c>
      <c r="E205" s="73" t="s">
        <v>88</v>
      </c>
      <c r="F205" s="100" t="s">
        <v>130</v>
      </c>
      <c r="G205" s="72" t="e">
        <f>_xlfn.TEXTJOIN(", ",TRUE,B205,#REF!,#REF!,#REF!,D205,E205)</f>
        <v>#REF!</v>
      </c>
      <c r="H205" s="99"/>
      <c r="I205" s="99"/>
      <c r="J205" s="99"/>
      <c r="K205" s="99"/>
      <c r="L205" s="99"/>
      <c r="M205" s="77" t="s">
        <v>88</v>
      </c>
    </row>
    <row r="206" spans="1:13" s="103" customFormat="1" ht="10.9" hidden="1" customHeight="1" x14ac:dyDescent="0.25">
      <c r="A206" s="89" t="s">
        <v>697</v>
      </c>
      <c r="B206" s="98" t="s">
        <v>698</v>
      </c>
      <c r="C206" s="101" t="s">
        <v>5348</v>
      </c>
      <c r="D206" s="101" t="s">
        <v>658</v>
      </c>
      <c r="E206" s="73" t="s">
        <v>699</v>
      </c>
      <c r="F206" s="100" t="s">
        <v>130</v>
      </c>
      <c r="G206" s="72" t="e">
        <f>_xlfn.TEXTJOIN(", ",TRUE,B206,#REF!,#REF!,#REF!,D206,E206)</f>
        <v>#REF!</v>
      </c>
      <c r="H206" s="99">
        <v>45281</v>
      </c>
      <c r="I206" s="99"/>
      <c r="J206" s="99"/>
      <c r="K206" s="99"/>
      <c r="L206" s="99">
        <v>45242</v>
      </c>
      <c r="M206" s="77" t="s">
        <v>88</v>
      </c>
    </row>
    <row r="207" spans="1:13" s="103" customFormat="1" ht="10.9" hidden="1" customHeight="1" x14ac:dyDescent="0.25">
      <c r="A207" s="89" t="s">
        <v>700</v>
      </c>
      <c r="B207" s="104" t="s">
        <v>701</v>
      </c>
      <c r="C207" s="101" t="s">
        <v>5348</v>
      </c>
      <c r="D207" s="101" t="s">
        <v>658</v>
      </c>
      <c r="E207" s="74" t="s">
        <v>702</v>
      </c>
      <c r="F207" s="100" t="s">
        <v>98</v>
      </c>
      <c r="G207" s="72" t="e">
        <f>_xlfn.TEXTJOIN(", ",TRUE,B207,#REF!,#REF!,#REF!,D207,E207)</f>
        <v>#REF!</v>
      </c>
      <c r="H207" s="99"/>
      <c r="I207" s="99"/>
      <c r="J207" s="99"/>
      <c r="K207" s="99"/>
      <c r="L207" s="99"/>
      <c r="M207" s="77" t="s">
        <v>703</v>
      </c>
    </row>
    <row r="208" spans="1:13" s="103" customFormat="1" ht="10.9" hidden="1" customHeight="1" x14ac:dyDescent="0.25">
      <c r="A208" s="89" t="s">
        <v>704</v>
      </c>
      <c r="B208" s="98" t="s">
        <v>705</v>
      </c>
      <c r="C208" s="101" t="s">
        <v>5348</v>
      </c>
      <c r="D208" s="101" t="s">
        <v>658</v>
      </c>
      <c r="E208" s="73" t="s">
        <v>706</v>
      </c>
      <c r="F208" s="100" t="s">
        <v>81</v>
      </c>
      <c r="G208" s="72" t="e">
        <f>_xlfn.TEXTJOIN(", ",TRUE,B208,#REF!,#REF!,#REF!,D208,E208)</f>
        <v>#REF!</v>
      </c>
      <c r="H208" s="99"/>
      <c r="I208" s="99"/>
      <c r="J208" s="99"/>
      <c r="K208" s="99"/>
      <c r="L208" s="99"/>
      <c r="M208" s="77" t="s">
        <v>88</v>
      </c>
    </row>
    <row r="209" spans="1:13" s="103" customFormat="1" ht="10.9" hidden="1" customHeight="1" x14ac:dyDescent="0.25">
      <c r="A209" s="89" t="s">
        <v>707</v>
      </c>
      <c r="B209" s="98" t="s">
        <v>708</v>
      </c>
      <c r="C209" s="101" t="s">
        <v>5349</v>
      </c>
      <c r="D209" s="101" t="s">
        <v>658</v>
      </c>
      <c r="E209" s="74" t="s">
        <v>709</v>
      </c>
      <c r="F209" s="100" t="s">
        <v>98</v>
      </c>
      <c r="G209" s="72" t="e">
        <f>_xlfn.TEXTJOIN(", ",TRUE,B209,#REF!,#REF!,#REF!,D209,E209)</f>
        <v>#REF!</v>
      </c>
      <c r="H209" s="99"/>
      <c r="I209" s="99"/>
      <c r="J209" s="99"/>
      <c r="K209" s="99"/>
      <c r="L209" s="99"/>
      <c r="M209" s="77" t="s">
        <v>88</v>
      </c>
    </row>
    <row r="210" spans="1:13" s="103" customFormat="1" ht="10.9" hidden="1" customHeight="1" x14ac:dyDescent="0.25">
      <c r="A210" s="89" t="s">
        <v>710</v>
      </c>
      <c r="B210" s="98" t="s">
        <v>711</v>
      </c>
      <c r="C210" s="101" t="s">
        <v>5349</v>
      </c>
      <c r="D210" s="101" t="s">
        <v>658</v>
      </c>
      <c r="E210" s="73" t="s">
        <v>712</v>
      </c>
      <c r="F210" s="100" t="s">
        <v>282</v>
      </c>
      <c r="G210" s="72" t="e">
        <f>_xlfn.TEXTJOIN(", ",TRUE,B210,#REF!,#REF!,#REF!,D210,E210)</f>
        <v>#REF!</v>
      </c>
      <c r="H210" s="99"/>
      <c r="I210" s="99"/>
      <c r="J210" s="99"/>
      <c r="K210" s="99"/>
      <c r="L210" s="99">
        <v>44936</v>
      </c>
      <c r="M210" s="77" t="s">
        <v>88</v>
      </c>
    </row>
    <row r="211" spans="1:13" s="103" customFormat="1" ht="10.9" hidden="1" customHeight="1" x14ac:dyDescent="0.25">
      <c r="A211" s="89" t="s">
        <v>713</v>
      </c>
      <c r="B211" s="98" t="s">
        <v>714</v>
      </c>
      <c r="C211" s="101" t="s">
        <v>5348</v>
      </c>
      <c r="D211" s="101" t="s">
        <v>658</v>
      </c>
      <c r="E211" s="73" t="s">
        <v>715</v>
      </c>
      <c r="F211" s="100" t="s">
        <v>130</v>
      </c>
      <c r="G211" s="72" t="e">
        <f>_xlfn.TEXTJOIN(", ",TRUE,B211,#REF!,#REF!,#REF!,D211,E211)</f>
        <v>#REF!</v>
      </c>
      <c r="H211" s="99">
        <v>45369</v>
      </c>
      <c r="I211" s="99" t="s">
        <v>716</v>
      </c>
      <c r="J211" s="99" t="s">
        <v>716</v>
      </c>
      <c r="K211" s="99" t="s">
        <v>716</v>
      </c>
      <c r="L211" s="99">
        <v>45231</v>
      </c>
      <c r="M211" s="77" t="s">
        <v>88</v>
      </c>
    </row>
    <row r="212" spans="1:13" s="103" customFormat="1" ht="10.9" hidden="1" customHeight="1" x14ac:dyDescent="0.25">
      <c r="A212" s="89" t="s">
        <v>717</v>
      </c>
      <c r="B212" s="98" t="s">
        <v>718</v>
      </c>
      <c r="C212" s="101" t="s">
        <v>5348</v>
      </c>
      <c r="D212" s="101" t="s">
        <v>658</v>
      </c>
      <c r="E212" s="73" t="s">
        <v>719</v>
      </c>
      <c r="F212" s="100" t="s">
        <v>98</v>
      </c>
      <c r="G212" s="72" t="e">
        <f>_xlfn.TEXTJOIN(", ",TRUE,B212,#REF!,#REF!,#REF!,D212,E212)</f>
        <v>#REF!</v>
      </c>
      <c r="H212" s="99"/>
      <c r="I212" s="99"/>
      <c r="J212" s="99"/>
      <c r="K212" s="99"/>
      <c r="L212" s="99"/>
      <c r="M212" s="77" t="s">
        <v>720</v>
      </c>
    </row>
    <row r="213" spans="1:13" s="103" customFormat="1" ht="10.9" hidden="1" customHeight="1" x14ac:dyDescent="0.25">
      <c r="A213" s="89" t="s">
        <v>721</v>
      </c>
      <c r="B213" s="104" t="s">
        <v>722</v>
      </c>
      <c r="C213" s="101" t="s">
        <v>5348</v>
      </c>
      <c r="D213" s="101" t="s">
        <v>658</v>
      </c>
      <c r="E213" s="74" t="s">
        <v>723</v>
      </c>
      <c r="F213" s="100" t="s">
        <v>98</v>
      </c>
      <c r="G213" s="72" t="e">
        <f>_xlfn.TEXTJOIN(", ",TRUE,B213,#REF!,#REF!,#REF!,D213,E213)</f>
        <v>#REF!</v>
      </c>
      <c r="H213" s="99"/>
      <c r="I213" s="99"/>
      <c r="J213" s="99"/>
      <c r="K213" s="99"/>
      <c r="L213" s="99"/>
      <c r="M213" s="77">
        <v>0</v>
      </c>
    </row>
    <row r="214" spans="1:13" s="103" customFormat="1" ht="10.9" hidden="1" customHeight="1" x14ac:dyDescent="0.25">
      <c r="A214" s="89" t="s">
        <v>724</v>
      </c>
      <c r="B214" s="102" t="s">
        <v>725</v>
      </c>
      <c r="C214" s="101" t="s">
        <v>5348</v>
      </c>
      <c r="D214" s="101" t="s">
        <v>726</v>
      </c>
      <c r="E214" s="74" t="s">
        <v>727</v>
      </c>
      <c r="F214" s="100"/>
      <c r="G214" s="72" t="e">
        <f>_xlfn.TEXTJOIN(", ",TRUE,B214,#REF!,#REF!,#REF!,D214,E214)</f>
        <v>#REF!</v>
      </c>
      <c r="H214" s="99"/>
      <c r="I214" s="99"/>
      <c r="J214" s="99"/>
      <c r="K214" s="99"/>
      <c r="L214" s="99"/>
      <c r="M214" s="77" t="s">
        <v>88</v>
      </c>
    </row>
    <row r="215" spans="1:13" s="103" customFormat="1" ht="10.9" hidden="1" customHeight="1" x14ac:dyDescent="0.25">
      <c r="A215" s="89" t="s">
        <v>728</v>
      </c>
      <c r="B215" s="98" t="s">
        <v>729</v>
      </c>
      <c r="C215" s="101" t="s">
        <v>5348</v>
      </c>
      <c r="D215" s="101" t="s">
        <v>730</v>
      </c>
      <c r="E215" s="74" t="s">
        <v>731</v>
      </c>
      <c r="F215" s="100" t="s">
        <v>282</v>
      </c>
      <c r="G215" s="72" t="e">
        <f>_xlfn.TEXTJOIN(", ",TRUE,B215,#REF!,#REF!,#REF!,D215,E215)</f>
        <v>#REF!</v>
      </c>
      <c r="H215" s="99"/>
      <c r="I215" s="99"/>
      <c r="J215" s="99"/>
      <c r="K215" s="99"/>
      <c r="L215" s="99"/>
      <c r="M215" s="77" t="s">
        <v>88</v>
      </c>
    </row>
    <row r="216" spans="1:13" s="103" customFormat="1" ht="10.9" customHeight="1" x14ac:dyDescent="0.25">
      <c r="A216" s="89" t="s">
        <v>736</v>
      </c>
      <c r="B216" s="98" t="s">
        <v>737</v>
      </c>
      <c r="C216" s="101" t="s">
        <v>5347</v>
      </c>
      <c r="D216" s="101" t="s">
        <v>738</v>
      </c>
      <c r="E216" s="73" t="s">
        <v>739</v>
      </c>
      <c r="F216" s="100" t="s">
        <v>98</v>
      </c>
      <c r="G216" s="72" t="e">
        <f>_xlfn.TEXTJOIN(", ",TRUE,B216,#REF!,#REF!,#REF!,D216,E216)</f>
        <v>#REF!</v>
      </c>
      <c r="H216" s="99">
        <v>45813</v>
      </c>
      <c r="I216" s="99"/>
      <c r="J216" s="99"/>
      <c r="K216" s="99"/>
      <c r="L216" s="99"/>
      <c r="M216" s="77" t="s">
        <v>740</v>
      </c>
    </row>
    <row r="217" spans="1:13" s="103" customFormat="1" ht="10.9" customHeight="1" x14ac:dyDescent="0.25">
      <c r="A217" s="89" t="s">
        <v>741</v>
      </c>
      <c r="B217" s="98" t="s">
        <v>742</v>
      </c>
      <c r="C217" s="101" t="s">
        <v>5347</v>
      </c>
      <c r="D217" s="101" t="s">
        <v>738</v>
      </c>
      <c r="E217" s="73" t="s">
        <v>743</v>
      </c>
      <c r="F217" s="100" t="s">
        <v>81</v>
      </c>
      <c r="G217" s="72" t="e">
        <f>_xlfn.TEXTJOIN(", ",TRUE,B217,#REF!,#REF!,#REF!,D217,E217)</f>
        <v>#REF!</v>
      </c>
      <c r="H217" s="99">
        <v>45459</v>
      </c>
      <c r="I217" s="99">
        <v>45458</v>
      </c>
      <c r="J217" s="99"/>
      <c r="K217" s="99"/>
      <c r="L217" s="99"/>
      <c r="M217" s="77" t="s">
        <v>88</v>
      </c>
    </row>
    <row r="218" spans="1:13" s="103" customFormat="1" ht="10.9" customHeight="1" x14ac:dyDescent="0.25">
      <c r="A218" s="89" t="s">
        <v>744</v>
      </c>
      <c r="B218" s="98" t="s">
        <v>745</v>
      </c>
      <c r="C218" s="101" t="s">
        <v>5347</v>
      </c>
      <c r="D218" s="101" t="s">
        <v>738</v>
      </c>
      <c r="E218" s="74" t="s">
        <v>746</v>
      </c>
      <c r="F218" s="100" t="s">
        <v>98</v>
      </c>
      <c r="G218" s="72" t="e">
        <f>_xlfn.TEXTJOIN(", ",TRUE,B218,#REF!,#REF!,#REF!,D218,E218)</f>
        <v>#REF!</v>
      </c>
      <c r="H218" s="99"/>
      <c r="I218" s="99"/>
      <c r="J218" s="99"/>
      <c r="K218" s="99"/>
      <c r="L218" s="99"/>
      <c r="M218" s="77" t="s">
        <v>88</v>
      </c>
    </row>
    <row r="219" spans="1:13" s="103" customFormat="1" ht="10.9" customHeight="1" x14ac:dyDescent="0.25">
      <c r="A219" s="89" t="s">
        <v>747</v>
      </c>
      <c r="B219" s="98" t="s">
        <v>748</v>
      </c>
      <c r="C219" s="101" t="s">
        <v>5347</v>
      </c>
      <c r="D219" s="101" t="s">
        <v>738</v>
      </c>
      <c r="E219" s="74" t="s">
        <v>749</v>
      </c>
      <c r="F219" s="100" t="s">
        <v>98</v>
      </c>
      <c r="G219" s="72" t="e">
        <f>_xlfn.TEXTJOIN(", ",TRUE,B219,#REF!,#REF!,#REF!,D219,E219)</f>
        <v>#REF!</v>
      </c>
      <c r="H219" s="99"/>
      <c r="I219" s="99"/>
      <c r="J219" s="99"/>
      <c r="K219" s="99"/>
      <c r="L219" s="99"/>
      <c r="M219" s="77" t="s">
        <v>750</v>
      </c>
    </row>
    <row r="220" spans="1:13" s="103" customFormat="1" ht="10.9" customHeight="1" x14ac:dyDescent="0.25">
      <c r="A220" s="89" t="s">
        <v>751</v>
      </c>
      <c r="B220" s="98" t="s">
        <v>752</v>
      </c>
      <c r="C220" s="101" t="s">
        <v>5347</v>
      </c>
      <c r="D220" s="101" t="s">
        <v>738</v>
      </c>
      <c r="E220" s="74" t="s">
        <v>753</v>
      </c>
      <c r="F220" s="100" t="s">
        <v>81</v>
      </c>
      <c r="G220" s="72" t="e">
        <f>_xlfn.TEXTJOIN(", ",TRUE,B220,#REF!,#REF!,#REF!,D220,E220)</f>
        <v>#REF!</v>
      </c>
      <c r="H220" s="99">
        <v>45432</v>
      </c>
      <c r="I220" s="99">
        <v>45388</v>
      </c>
      <c r="J220" s="99"/>
      <c r="K220" s="99"/>
      <c r="L220" s="99"/>
      <c r="M220" s="77" t="s">
        <v>754</v>
      </c>
    </row>
    <row r="221" spans="1:13" s="103" customFormat="1" ht="10.9" customHeight="1" x14ac:dyDescent="0.25">
      <c r="A221" s="89" t="s">
        <v>755</v>
      </c>
      <c r="B221" s="98" t="s">
        <v>756</v>
      </c>
      <c r="C221" s="101" t="s">
        <v>5347</v>
      </c>
      <c r="D221" s="101" t="s">
        <v>738</v>
      </c>
      <c r="E221" s="74" t="s">
        <v>757</v>
      </c>
      <c r="F221" s="100" t="s">
        <v>81</v>
      </c>
      <c r="G221" s="72" t="e">
        <f>_xlfn.TEXTJOIN(", ",TRUE,B221,#REF!,#REF!,#REF!,D221,E221)</f>
        <v>#REF!</v>
      </c>
      <c r="H221" s="99">
        <v>45672</v>
      </c>
      <c r="I221" s="99">
        <v>45785</v>
      </c>
      <c r="J221" s="99"/>
      <c r="K221" s="99"/>
      <c r="L221" s="99">
        <v>44756</v>
      </c>
      <c r="M221" s="77">
        <v>0</v>
      </c>
    </row>
    <row r="222" spans="1:13" s="103" customFormat="1" ht="10.9" customHeight="1" x14ac:dyDescent="0.25">
      <c r="A222" s="89" t="s">
        <v>758</v>
      </c>
      <c r="B222" s="98" t="s">
        <v>759</v>
      </c>
      <c r="C222" s="101" t="s">
        <v>5347</v>
      </c>
      <c r="D222" s="101" t="s">
        <v>738</v>
      </c>
      <c r="E222" s="74" t="s">
        <v>760</v>
      </c>
      <c r="F222" s="100" t="s">
        <v>81</v>
      </c>
      <c r="G222" s="72" t="e">
        <f>_xlfn.TEXTJOIN(", ",TRUE,B222,#REF!,#REF!,#REF!,D222,E222)</f>
        <v>#REF!</v>
      </c>
      <c r="H222" s="99">
        <v>44989</v>
      </c>
      <c r="I222" s="99">
        <v>45396</v>
      </c>
      <c r="J222" s="99"/>
      <c r="K222" s="99">
        <v>45369</v>
      </c>
      <c r="L222" s="99"/>
      <c r="M222" s="77" t="s">
        <v>761</v>
      </c>
    </row>
    <row r="223" spans="1:13" s="103" customFormat="1" ht="10.9" customHeight="1" x14ac:dyDescent="0.25">
      <c r="A223" s="89" t="s">
        <v>762</v>
      </c>
      <c r="B223" s="98" t="s">
        <v>763</v>
      </c>
      <c r="C223" s="101" t="s">
        <v>5347</v>
      </c>
      <c r="D223" s="101" t="s">
        <v>738</v>
      </c>
      <c r="E223" s="74" t="s">
        <v>764</v>
      </c>
      <c r="F223" s="100" t="s">
        <v>187</v>
      </c>
      <c r="G223" s="72" t="e">
        <f>_xlfn.TEXTJOIN(", ",TRUE,B223,#REF!,#REF!,#REF!,D223,E223)</f>
        <v>#REF!</v>
      </c>
      <c r="H223" s="99">
        <v>45550</v>
      </c>
      <c r="I223" s="99">
        <v>44928</v>
      </c>
      <c r="J223" s="99"/>
      <c r="K223" s="99"/>
      <c r="L223" s="99"/>
      <c r="M223" s="77">
        <v>0</v>
      </c>
    </row>
    <row r="224" spans="1:13" s="103" customFormat="1" ht="10.9" customHeight="1" x14ac:dyDescent="0.25">
      <c r="A224" s="89" t="s">
        <v>765</v>
      </c>
      <c r="B224" s="110" t="s">
        <v>766</v>
      </c>
      <c r="C224" s="101" t="s">
        <v>5347</v>
      </c>
      <c r="D224" s="101" t="s">
        <v>738</v>
      </c>
      <c r="E224" s="74" t="s">
        <v>767</v>
      </c>
      <c r="F224" s="100" t="s">
        <v>81</v>
      </c>
      <c r="G224" s="72" t="e">
        <f>_xlfn.TEXTJOIN(", ",TRUE,B224,#REF!,#REF!,#REF!,D224,E224)</f>
        <v>#REF!</v>
      </c>
      <c r="H224" s="99">
        <v>45580</v>
      </c>
      <c r="I224" s="99"/>
      <c r="J224" s="99"/>
      <c r="K224" s="99"/>
      <c r="L224" s="99"/>
      <c r="M224" s="77" t="s">
        <v>88</v>
      </c>
    </row>
    <row r="225" spans="1:13" s="103" customFormat="1" ht="10.9" customHeight="1" x14ac:dyDescent="0.25">
      <c r="A225" s="89" t="s">
        <v>768</v>
      </c>
      <c r="B225" s="104" t="s">
        <v>769</v>
      </c>
      <c r="C225" s="101" t="s">
        <v>5347</v>
      </c>
      <c r="D225" s="101" t="s">
        <v>738</v>
      </c>
      <c r="E225" s="74" t="s">
        <v>770</v>
      </c>
      <c r="F225" s="100" t="s">
        <v>98</v>
      </c>
      <c r="G225" s="72" t="e">
        <f>_xlfn.TEXTJOIN(", ",TRUE,B225,#REF!,#REF!,#REF!,D225,E225)</f>
        <v>#REF!</v>
      </c>
      <c r="H225" s="99"/>
      <c r="I225" s="99"/>
      <c r="J225" s="99"/>
      <c r="K225" s="99"/>
      <c r="L225" s="99"/>
      <c r="M225" s="77" t="s">
        <v>88</v>
      </c>
    </row>
    <row r="226" spans="1:13" s="103" customFormat="1" ht="10.9" customHeight="1" x14ac:dyDescent="0.25">
      <c r="A226" s="89" t="s">
        <v>771</v>
      </c>
      <c r="B226" s="102" t="s">
        <v>772</v>
      </c>
      <c r="C226" s="101" t="s">
        <v>5347</v>
      </c>
      <c r="D226" s="101" t="s">
        <v>738</v>
      </c>
      <c r="E226" s="74" t="s">
        <v>757</v>
      </c>
      <c r="F226" s="100" t="s">
        <v>81</v>
      </c>
      <c r="G226" s="72" t="e">
        <f>_xlfn.TEXTJOIN(", ",TRUE,B226,#REF!,#REF!,#REF!,D226,E226)</f>
        <v>#REF!</v>
      </c>
      <c r="H226" s="99">
        <v>45700</v>
      </c>
      <c r="I226" s="99">
        <v>45700</v>
      </c>
      <c r="J226" s="99"/>
      <c r="K226" s="99"/>
      <c r="L226" s="99"/>
      <c r="M226" s="77" t="s">
        <v>773</v>
      </c>
    </row>
    <row r="227" spans="1:13" s="103" customFormat="1" ht="10.9" customHeight="1" x14ac:dyDescent="0.25">
      <c r="A227" s="89" t="s">
        <v>774</v>
      </c>
      <c r="B227" s="98" t="s">
        <v>775</v>
      </c>
      <c r="C227" s="101" t="s">
        <v>5347</v>
      </c>
      <c r="D227" s="101" t="s">
        <v>738</v>
      </c>
      <c r="E227" s="74" t="s">
        <v>776</v>
      </c>
      <c r="F227" s="100" t="s">
        <v>106</v>
      </c>
      <c r="G227" s="72" t="e">
        <f>_xlfn.TEXTJOIN(", ",TRUE,B227,#REF!,#REF!,#REF!,D227,E227)</f>
        <v>#REF!</v>
      </c>
      <c r="H227" s="99">
        <v>45381</v>
      </c>
      <c r="I227" s="99">
        <v>45738</v>
      </c>
      <c r="J227" s="99"/>
      <c r="K227" s="99">
        <v>45375</v>
      </c>
      <c r="L227" s="99"/>
      <c r="M227" s="77" t="s">
        <v>777</v>
      </c>
    </row>
    <row r="228" spans="1:13" s="103" customFormat="1" ht="10.9" customHeight="1" x14ac:dyDescent="0.25">
      <c r="A228" s="89" t="s">
        <v>778</v>
      </c>
      <c r="B228" s="104" t="s">
        <v>779</v>
      </c>
      <c r="C228" s="101" t="s">
        <v>5347</v>
      </c>
      <c r="D228" s="101" t="s">
        <v>738</v>
      </c>
      <c r="E228" s="74" t="s">
        <v>746</v>
      </c>
      <c r="F228" s="100" t="s">
        <v>98</v>
      </c>
      <c r="G228" s="72" t="e">
        <f>_xlfn.TEXTJOIN(", ",TRUE,B228,#REF!,#REF!,#REF!,D228,E228)</f>
        <v>#REF!</v>
      </c>
      <c r="H228" s="99"/>
      <c r="I228" s="99"/>
      <c r="J228" s="99"/>
      <c r="K228" s="99"/>
      <c r="L228" s="99"/>
      <c r="M228" s="77">
        <v>0</v>
      </c>
    </row>
    <row r="229" spans="1:13" s="103" customFormat="1" ht="10.9" customHeight="1" x14ac:dyDescent="0.25">
      <c r="A229" s="89" t="s">
        <v>780</v>
      </c>
      <c r="B229" s="104" t="s">
        <v>781</v>
      </c>
      <c r="C229" s="101" t="s">
        <v>5347</v>
      </c>
      <c r="D229" s="101" t="s">
        <v>738</v>
      </c>
      <c r="E229" s="74" t="s">
        <v>782</v>
      </c>
      <c r="F229" s="100" t="s">
        <v>282</v>
      </c>
      <c r="G229" s="72" t="e">
        <f>_xlfn.TEXTJOIN(", ",TRUE,B229,#REF!,#REF!,#REF!,D229,E229)</f>
        <v>#REF!</v>
      </c>
      <c r="H229" s="99"/>
      <c r="I229" s="99"/>
      <c r="J229" s="99"/>
      <c r="K229" s="99"/>
      <c r="L229" s="99"/>
      <c r="M229" s="77">
        <v>0</v>
      </c>
    </row>
    <row r="230" spans="1:13" s="103" customFormat="1" ht="10.9" customHeight="1" x14ac:dyDescent="0.25">
      <c r="A230" s="89" t="s">
        <v>783</v>
      </c>
      <c r="B230" s="104" t="s">
        <v>784</v>
      </c>
      <c r="C230" s="101" t="s">
        <v>5347</v>
      </c>
      <c r="D230" s="101" t="s">
        <v>738</v>
      </c>
      <c r="E230" s="74" t="s">
        <v>785</v>
      </c>
      <c r="F230" s="100" t="s">
        <v>251</v>
      </c>
      <c r="G230" s="72" t="e">
        <f>_xlfn.TEXTJOIN(", ",TRUE,B230,#REF!,#REF!,#REF!,D230,E230)</f>
        <v>#REF!</v>
      </c>
      <c r="H230" s="99">
        <v>44898</v>
      </c>
      <c r="I230" s="99">
        <v>45287</v>
      </c>
      <c r="J230" s="99"/>
      <c r="K230" s="99"/>
      <c r="L230" s="99"/>
      <c r="M230" s="77">
        <v>0</v>
      </c>
    </row>
    <row r="231" spans="1:13" s="103" customFormat="1" ht="10.9" customHeight="1" x14ac:dyDescent="0.25">
      <c r="A231" s="89" t="s">
        <v>786</v>
      </c>
      <c r="B231" s="98" t="s">
        <v>787</v>
      </c>
      <c r="C231" s="101" t="s">
        <v>5347</v>
      </c>
      <c r="D231" s="101" t="s">
        <v>738</v>
      </c>
      <c r="E231" s="74" t="s">
        <v>788</v>
      </c>
      <c r="F231" s="100" t="s">
        <v>562</v>
      </c>
      <c r="G231" s="72" t="e">
        <f>_xlfn.TEXTJOIN(", ",TRUE,B231,#REF!,#REF!,#REF!,D231,E231)</f>
        <v>#REF!</v>
      </c>
      <c r="H231" s="99">
        <v>45460</v>
      </c>
      <c r="I231" s="99">
        <v>45275</v>
      </c>
      <c r="J231" s="99"/>
      <c r="K231" s="99">
        <v>45445</v>
      </c>
      <c r="L231" s="99">
        <v>45460</v>
      </c>
      <c r="M231" s="77" t="s">
        <v>88</v>
      </c>
    </row>
    <row r="232" spans="1:13" s="103" customFormat="1" ht="10.9" customHeight="1" x14ac:dyDescent="0.25">
      <c r="A232" s="89" t="s">
        <v>789</v>
      </c>
      <c r="B232" s="98" t="s">
        <v>790</v>
      </c>
      <c r="C232" s="101" t="s">
        <v>5347</v>
      </c>
      <c r="D232" s="101" t="s">
        <v>738</v>
      </c>
      <c r="E232" s="74" t="s">
        <v>791</v>
      </c>
      <c r="F232" s="100" t="s">
        <v>98</v>
      </c>
      <c r="G232" s="72" t="e">
        <f>_xlfn.TEXTJOIN(", ",TRUE,B232,#REF!,#REF!,#REF!,D232,E232)</f>
        <v>#REF!</v>
      </c>
      <c r="H232" s="99">
        <v>45342</v>
      </c>
      <c r="I232" s="99"/>
      <c r="J232" s="99"/>
      <c r="K232" s="99"/>
      <c r="L232" s="99"/>
      <c r="M232" s="77" t="s">
        <v>792</v>
      </c>
    </row>
    <row r="233" spans="1:13" s="103" customFormat="1" ht="10.9" customHeight="1" x14ac:dyDescent="0.25">
      <c r="A233" s="89" t="s">
        <v>793</v>
      </c>
      <c r="B233" s="106" t="s">
        <v>794</v>
      </c>
      <c r="C233" s="101" t="s">
        <v>5347</v>
      </c>
      <c r="D233" s="101" t="s">
        <v>738</v>
      </c>
      <c r="E233" s="74" t="s">
        <v>782</v>
      </c>
      <c r="F233" s="100" t="s">
        <v>449</v>
      </c>
      <c r="G233" s="72" t="e">
        <f>_xlfn.TEXTJOIN(", ",TRUE,B233,#REF!,#REF!,#REF!,D233,E233)</f>
        <v>#REF!</v>
      </c>
      <c r="H233" s="99">
        <v>45253</v>
      </c>
      <c r="I233" s="99">
        <v>45253</v>
      </c>
      <c r="J233" s="99">
        <v>44858</v>
      </c>
      <c r="K233" s="99">
        <v>45210</v>
      </c>
      <c r="L233" s="99"/>
      <c r="M233" s="77" t="s">
        <v>88</v>
      </c>
    </row>
    <row r="234" spans="1:13" s="103" customFormat="1" ht="10.9" customHeight="1" x14ac:dyDescent="0.25">
      <c r="A234" s="89" t="s">
        <v>795</v>
      </c>
      <c r="B234" s="102" t="s">
        <v>796</v>
      </c>
      <c r="C234" s="101" t="s">
        <v>5347</v>
      </c>
      <c r="D234" s="101" t="s">
        <v>738</v>
      </c>
      <c r="E234" s="73" t="s">
        <v>797</v>
      </c>
      <c r="F234" s="100" t="s">
        <v>81</v>
      </c>
      <c r="G234" s="72" t="e">
        <f>_xlfn.TEXTJOIN(", ",TRUE,B234,#REF!,#REF!,#REF!,D234,E234)</f>
        <v>#REF!</v>
      </c>
      <c r="H234" s="99"/>
      <c r="I234" s="99"/>
      <c r="J234" s="99"/>
      <c r="K234" s="99"/>
      <c r="L234" s="99"/>
      <c r="M234" s="77" t="s">
        <v>798</v>
      </c>
    </row>
    <row r="235" spans="1:13" s="103" customFormat="1" ht="10.9" customHeight="1" x14ac:dyDescent="0.25">
      <c r="A235" s="89" t="s">
        <v>765</v>
      </c>
      <c r="B235" s="102" t="s">
        <v>799</v>
      </c>
      <c r="C235" s="101" t="s">
        <v>5347</v>
      </c>
      <c r="D235" s="101" t="s">
        <v>738</v>
      </c>
      <c r="E235" s="74" t="s">
        <v>800</v>
      </c>
      <c r="F235" s="100" t="s">
        <v>98</v>
      </c>
      <c r="G235" s="72" t="e">
        <f>_xlfn.TEXTJOIN(", ",TRUE,B235,#REF!,#REF!,#REF!,D235,E235)</f>
        <v>#REF!</v>
      </c>
      <c r="H235" s="99"/>
      <c r="I235" s="99"/>
      <c r="J235" s="99"/>
      <c r="K235" s="99"/>
      <c r="L235" s="99"/>
      <c r="M235" s="77">
        <v>0</v>
      </c>
    </row>
    <row r="236" spans="1:13" s="103" customFormat="1" ht="10.9" customHeight="1" x14ac:dyDescent="0.25">
      <c r="A236" s="89" t="s">
        <v>801</v>
      </c>
      <c r="B236" s="102" t="s">
        <v>802</v>
      </c>
      <c r="C236" s="101" t="s">
        <v>5347</v>
      </c>
      <c r="D236" s="101" t="s">
        <v>738</v>
      </c>
      <c r="E236" s="74" t="s">
        <v>803</v>
      </c>
      <c r="F236" s="100" t="s">
        <v>98</v>
      </c>
      <c r="G236" s="72" t="e">
        <f>_xlfn.TEXTJOIN(", ",TRUE,B236,#REF!,#REF!,#REF!,D236,E236)</f>
        <v>#REF!</v>
      </c>
      <c r="H236" s="99">
        <v>45551</v>
      </c>
      <c r="I236" s="99"/>
      <c r="J236" s="99"/>
      <c r="K236" s="99"/>
      <c r="L236" s="99"/>
      <c r="M236" s="77" t="s">
        <v>88</v>
      </c>
    </row>
    <row r="237" spans="1:13" s="103" customFormat="1" ht="10.9" customHeight="1" x14ac:dyDescent="0.25">
      <c r="A237" s="89" t="s">
        <v>804</v>
      </c>
      <c r="B237" s="102" t="s">
        <v>805</v>
      </c>
      <c r="C237" s="101" t="s">
        <v>5347</v>
      </c>
      <c r="D237" s="101" t="s">
        <v>738</v>
      </c>
      <c r="E237" s="74" t="s">
        <v>806</v>
      </c>
      <c r="F237" s="100" t="s">
        <v>449</v>
      </c>
      <c r="G237" s="72" t="e">
        <f>_xlfn.TEXTJOIN(", ",TRUE,B237,#REF!,#REF!,#REF!,D237,E237)</f>
        <v>#REF!</v>
      </c>
      <c r="H237" s="99">
        <v>45756</v>
      </c>
      <c r="I237" s="99"/>
      <c r="J237" s="99"/>
      <c r="K237" s="99"/>
      <c r="L237" s="99"/>
      <c r="M237" s="77">
        <v>0</v>
      </c>
    </row>
    <row r="238" spans="1:13" s="103" customFormat="1" ht="10.9" customHeight="1" x14ac:dyDescent="0.25">
      <c r="A238" s="89" t="s">
        <v>807</v>
      </c>
      <c r="B238" s="104" t="s">
        <v>808</v>
      </c>
      <c r="C238" s="101" t="s">
        <v>5347</v>
      </c>
      <c r="D238" s="101" t="s">
        <v>738</v>
      </c>
      <c r="E238" s="74" t="s">
        <v>809</v>
      </c>
      <c r="F238" s="100" t="s">
        <v>98</v>
      </c>
      <c r="G238" s="72" t="e">
        <f>_xlfn.TEXTJOIN(", ",TRUE,B238,#REF!,#REF!,#REF!,D238,E238)</f>
        <v>#REF!</v>
      </c>
      <c r="H238" s="99"/>
      <c r="I238" s="99"/>
      <c r="J238" s="99"/>
      <c r="K238" s="99"/>
      <c r="L238" s="99"/>
      <c r="M238" s="77" t="s">
        <v>810</v>
      </c>
    </row>
    <row r="239" spans="1:13" s="103" customFormat="1" ht="10.9" hidden="1" customHeight="1" x14ac:dyDescent="0.25">
      <c r="A239" s="89" t="s">
        <v>811</v>
      </c>
      <c r="B239" s="104" t="s">
        <v>812</v>
      </c>
      <c r="C239" s="101" t="s">
        <v>5348</v>
      </c>
      <c r="D239" s="101" t="s">
        <v>813</v>
      </c>
      <c r="E239" s="73" t="s">
        <v>88</v>
      </c>
      <c r="F239" s="100" t="s">
        <v>98</v>
      </c>
      <c r="G239" s="72" t="e">
        <f>_xlfn.TEXTJOIN(", ",TRUE,B239,#REF!,#REF!,#REF!,D239,E239)</f>
        <v>#REF!</v>
      </c>
      <c r="H239" s="99"/>
      <c r="I239" s="99"/>
      <c r="J239" s="99"/>
      <c r="K239" s="99"/>
      <c r="L239" s="99"/>
      <c r="M239" s="77">
        <v>0</v>
      </c>
    </row>
    <row r="240" spans="1:13" s="103" customFormat="1" ht="10.9" hidden="1" customHeight="1" x14ac:dyDescent="0.25">
      <c r="A240" s="89" t="s">
        <v>811</v>
      </c>
      <c r="B240" s="102" t="s">
        <v>814</v>
      </c>
      <c r="C240" s="101" t="s">
        <v>5348</v>
      </c>
      <c r="D240" s="101" t="s">
        <v>813</v>
      </c>
      <c r="E240" s="73" t="s">
        <v>813</v>
      </c>
      <c r="F240" s="100" t="s">
        <v>98</v>
      </c>
      <c r="G240" s="72" t="e">
        <f>_xlfn.TEXTJOIN(", ",TRUE,B240,#REF!,#REF!,#REF!,D240,E240)</f>
        <v>#REF!</v>
      </c>
      <c r="H240" s="99">
        <v>44854</v>
      </c>
      <c r="I240" s="99"/>
      <c r="J240" s="99"/>
      <c r="K240" s="99"/>
      <c r="L240" s="99"/>
      <c r="M240" s="77" t="s">
        <v>88</v>
      </c>
    </row>
    <row r="241" spans="1:13" s="103" customFormat="1" ht="10.9" hidden="1" customHeight="1" x14ac:dyDescent="0.25">
      <c r="A241" s="89" t="s">
        <v>815</v>
      </c>
      <c r="B241" s="98" t="s">
        <v>816</v>
      </c>
      <c r="C241" s="101" t="s">
        <v>5349</v>
      </c>
      <c r="D241" s="101" t="s">
        <v>817</v>
      </c>
      <c r="E241" s="73" t="s">
        <v>88</v>
      </c>
      <c r="F241" s="100" t="s">
        <v>98</v>
      </c>
      <c r="G241" s="72" t="e">
        <f>_xlfn.TEXTJOIN(", ",TRUE,B241,#REF!,#REF!,#REF!,D241,E241)</f>
        <v>#REF!</v>
      </c>
      <c r="H241" s="99"/>
      <c r="I241" s="99"/>
      <c r="J241" s="99"/>
      <c r="K241" s="99"/>
      <c r="L241" s="99"/>
      <c r="M241" s="77" t="s">
        <v>88</v>
      </c>
    </row>
    <row r="242" spans="1:13" s="103" customFormat="1" ht="10.9" hidden="1" customHeight="1" x14ac:dyDescent="0.25">
      <c r="A242" s="89" t="s">
        <v>818</v>
      </c>
      <c r="B242" s="102" t="s">
        <v>819</v>
      </c>
      <c r="C242" s="101" t="s">
        <v>5349</v>
      </c>
      <c r="D242" s="101" t="s">
        <v>817</v>
      </c>
      <c r="E242" s="73" t="s">
        <v>817</v>
      </c>
      <c r="F242" s="100" t="s">
        <v>81</v>
      </c>
      <c r="G242" s="72" t="e">
        <f>_xlfn.TEXTJOIN(", ",TRUE,B242,#REF!,#REF!,#REF!,D242,E242)</f>
        <v>#REF!</v>
      </c>
      <c r="H242" s="99"/>
      <c r="I242" s="99"/>
      <c r="J242" s="99"/>
      <c r="K242" s="99"/>
      <c r="L242" s="99"/>
      <c r="M242" s="77" t="s">
        <v>88</v>
      </c>
    </row>
    <row r="243" spans="1:13" s="103" customFormat="1" ht="10.9" hidden="1" customHeight="1" x14ac:dyDescent="0.25">
      <c r="A243" s="89" t="s">
        <v>820</v>
      </c>
      <c r="B243" s="102" t="s">
        <v>821</v>
      </c>
      <c r="C243" s="101" t="s">
        <v>5349</v>
      </c>
      <c r="D243" s="101" t="s">
        <v>817</v>
      </c>
      <c r="E243" s="73" t="s">
        <v>817</v>
      </c>
      <c r="F243" s="100" t="s">
        <v>81</v>
      </c>
      <c r="G243" s="72" t="e">
        <f>_xlfn.TEXTJOIN(", ",TRUE,B243,#REF!,#REF!,#REF!,D243,E243)</f>
        <v>#REF!</v>
      </c>
      <c r="H243" s="99">
        <v>44327</v>
      </c>
      <c r="I243" s="99"/>
      <c r="J243" s="99"/>
      <c r="K243" s="99"/>
      <c r="L243" s="99"/>
      <c r="M243" s="77">
        <v>0</v>
      </c>
    </row>
    <row r="244" spans="1:13" s="103" customFormat="1" ht="10.9" hidden="1" customHeight="1" x14ac:dyDescent="0.25">
      <c r="A244" s="89" t="s">
        <v>822</v>
      </c>
      <c r="B244" s="102" t="s">
        <v>823</v>
      </c>
      <c r="C244" s="101" t="s">
        <v>5349</v>
      </c>
      <c r="D244" s="101" t="s">
        <v>817</v>
      </c>
      <c r="E244" s="73" t="s">
        <v>824</v>
      </c>
      <c r="F244" s="100" t="s">
        <v>130</v>
      </c>
      <c r="G244" s="72" t="e">
        <f>_xlfn.TEXTJOIN(", ",TRUE,B244,#REF!,#REF!,#REF!,D244,E244)</f>
        <v>#REF!</v>
      </c>
      <c r="H244" s="99"/>
      <c r="I244" s="99"/>
      <c r="J244" s="99"/>
      <c r="K244" s="99"/>
      <c r="L244" s="99"/>
      <c r="M244" s="77" t="s">
        <v>88</v>
      </c>
    </row>
    <row r="245" spans="1:13" s="103" customFormat="1" ht="10.9" hidden="1" customHeight="1" x14ac:dyDescent="0.25">
      <c r="A245" s="89" t="s">
        <v>826</v>
      </c>
      <c r="B245" s="104" t="s">
        <v>827</v>
      </c>
      <c r="C245" s="101" t="s">
        <v>5349</v>
      </c>
      <c r="D245" s="101" t="s">
        <v>825</v>
      </c>
      <c r="E245" s="73" t="s">
        <v>88</v>
      </c>
      <c r="F245" s="100" t="s">
        <v>98</v>
      </c>
      <c r="G245" s="72" t="e">
        <f>_xlfn.TEXTJOIN(", ",TRUE,B245,#REF!,#REF!,#REF!,D245,E245)</f>
        <v>#REF!</v>
      </c>
      <c r="H245" s="99"/>
      <c r="I245" s="99"/>
      <c r="J245" s="99"/>
      <c r="K245" s="99"/>
      <c r="L245" s="99"/>
      <c r="M245" s="77" t="s">
        <v>828</v>
      </c>
    </row>
    <row r="246" spans="1:13" s="103" customFormat="1" ht="10.9" hidden="1" customHeight="1" x14ac:dyDescent="0.25">
      <c r="A246" s="89" t="s">
        <v>829</v>
      </c>
      <c r="B246" s="104" t="s">
        <v>830</v>
      </c>
      <c r="C246" s="101" t="s">
        <v>5349</v>
      </c>
      <c r="D246" s="101" t="s">
        <v>831</v>
      </c>
      <c r="E246" s="73" t="s">
        <v>88</v>
      </c>
      <c r="F246" s="100" t="s">
        <v>98</v>
      </c>
      <c r="G246" s="72" t="e">
        <f>_xlfn.TEXTJOIN(", ",TRUE,B246,#REF!,#REF!,#REF!,D246,E246)</f>
        <v>#REF!</v>
      </c>
      <c r="H246" s="99"/>
      <c r="I246" s="99"/>
      <c r="J246" s="99"/>
      <c r="K246" s="99"/>
      <c r="L246" s="99"/>
      <c r="M246" s="77" t="s">
        <v>832</v>
      </c>
    </row>
    <row r="247" spans="1:13" s="103" customFormat="1" ht="10.9" hidden="1" customHeight="1" x14ac:dyDescent="0.25">
      <c r="A247" s="89" t="s">
        <v>833</v>
      </c>
      <c r="B247" s="98" t="s">
        <v>834</v>
      </c>
      <c r="C247" s="101" t="s">
        <v>5348</v>
      </c>
      <c r="D247" s="101" t="s">
        <v>835</v>
      </c>
      <c r="E247" s="73" t="s">
        <v>88</v>
      </c>
      <c r="F247" s="100" t="s">
        <v>98</v>
      </c>
      <c r="G247" s="72" t="e">
        <f>_xlfn.TEXTJOIN(", ",TRUE,B247,#REF!,#REF!,#REF!,D247,E247)</f>
        <v>#REF!</v>
      </c>
      <c r="H247" s="99"/>
      <c r="I247" s="99"/>
      <c r="J247" s="99"/>
      <c r="K247" s="99"/>
      <c r="L247" s="99"/>
      <c r="M247" s="77" t="s">
        <v>836</v>
      </c>
    </row>
    <row r="248" spans="1:13" s="103" customFormat="1" ht="10.9" hidden="1" customHeight="1" x14ac:dyDescent="0.25">
      <c r="A248" s="89" t="s">
        <v>837</v>
      </c>
      <c r="B248" s="98" t="s">
        <v>838</v>
      </c>
      <c r="C248" s="101" t="s">
        <v>5348</v>
      </c>
      <c r="D248" s="101" t="s">
        <v>835</v>
      </c>
      <c r="E248" s="73" t="s">
        <v>88</v>
      </c>
      <c r="F248" s="100" t="s">
        <v>98</v>
      </c>
      <c r="G248" s="72" t="e">
        <f>_xlfn.TEXTJOIN(", ",TRUE,B248,#REF!,#REF!,#REF!,D248,E248)</f>
        <v>#REF!</v>
      </c>
      <c r="H248" s="99"/>
      <c r="I248" s="99"/>
      <c r="J248" s="99"/>
      <c r="K248" s="99"/>
      <c r="L248" s="99"/>
      <c r="M248" s="77" t="s">
        <v>88</v>
      </c>
    </row>
    <row r="249" spans="1:13" s="103" customFormat="1" ht="10.9" hidden="1" customHeight="1" x14ac:dyDescent="0.25">
      <c r="A249" s="89" t="s">
        <v>839</v>
      </c>
      <c r="B249" s="98" t="s">
        <v>840</v>
      </c>
      <c r="C249" s="101" t="s">
        <v>5348</v>
      </c>
      <c r="D249" s="101" t="s">
        <v>835</v>
      </c>
      <c r="E249" s="73" t="s">
        <v>841</v>
      </c>
      <c r="F249" s="100" t="s">
        <v>81</v>
      </c>
      <c r="G249" s="72" t="e">
        <f>_xlfn.TEXTJOIN(", ",TRUE,B249,#REF!,#REF!,#REF!,D249,E249)</f>
        <v>#REF!</v>
      </c>
      <c r="H249" s="99"/>
      <c r="I249" s="99"/>
      <c r="J249" s="99"/>
      <c r="K249" s="99"/>
      <c r="L249" s="99"/>
      <c r="M249" s="77" t="s">
        <v>842</v>
      </c>
    </row>
    <row r="250" spans="1:13" s="103" customFormat="1" ht="10.9" hidden="1" customHeight="1" x14ac:dyDescent="0.25">
      <c r="A250" s="89" t="s">
        <v>843</v>
      </c>
      <c r="B250" s="98" t="s">
        <v>844</v>
      </c>
      <c r="C250" s="101" t="s">
        <v>5348</v>
      </c>
      <c r="D250" s="101" t="s">
        <v>835</v>
      </c>
      <c r="E250" s="73" t="s">
        <v>845</v>
      </c>
      <c r="F250" s="100" t="s">
        <v>81</v>
      </c>
      <c r="G250" s="72" t="e">
        <f>_xlfn.TEXTJOIN(", ",TRUE,B250,#REF!,#REF!,#REF!,D250,E250)</f>
        <v>#REF!</v>
      </c>
      <c r="H250" s="99">
        <v>45166</v>
      </c>
      <c r="I250" s="99"/>
      <c r="J250" s="99"/>
      <c r="K250" s="99"/>
      <c r="L250" s="99"/>
      <c r="M250" s="77" t="s">
        <v>88</v>
      </c>
    </row>
    <row r="251" spans="1:13" s="103" customFormat="1" ht="10.9" hidden="1" customHeight="1" x14ac:dyDescent="0.25">
      <c r="A251" s="89" t="s">
        <v>846</v>
      </c>
      <c r="B251" s="98" t="s">
        <v>847</v>
      </c>
      <c r="C251" s="101" t="s">
        <v>5348</v>
      </c>
      <c r="D251" s="101" t="s">
        <v>835</v>
      </c>
      <c r="E251" s="73" t="s">
        <v>848</v>
      </c>
      <c r="F251" s="100" t="s">
        <v>187</v>
      </c>
      <c r="G251" s="72" t="e">
        <f>_xlfn.TEXTJOIN(", ",TRUE,B251,#REF!,#REF!,#REF!,D251,E251)</f>
        <v>#REF!</v>
      </c>
      <c r="H251" s="99">
        <v>45541</v>
      </c>
      <c r="I251" s="99"/>
      <c r="J251" s="99"/>
      <c r="K251" s="99">
        <v>45306</v>
      </c>
      <c r="L251" s="99"/>
      <c r="M251" s="77" t="s">
        <v>88</v>
      </c>
    </row>
    <row r="252" spans="1:13" s="103" customFormat="1" ht="10.9" hidden="1" customHeight="1" x14ac:dyDescent="0.25">
      <c r="A252" s="89" t="s">
        <v>846</v>
      </c>
      <c r="B252" s="98" t="s">
        <v>847</v>
      </c>
      <c r="C252" s="101" t="s">
        <v>5348</v>
      </c>
      <c r="D252" s="101" t="s">
        <v>835</v>
      </c>
      <c r="E252" s="73" t="s">
        <v>848</v>
      </c>
      <c r="F252" s="100" t="s">
        <v>81</v>
      </c>
      <c r="G252" s="72" t="e">
        <f>_xlfn.TEXTJOIN(", ",TRUE,B252,#REF!,#REF!,#REF!,D252,E252)</f>
        <v>#REF!</v>
      </c>
      <c r="H252" s="99">
        <v>45541</v>
      </c>
      <c r="I252" s="99"/>
      <c r="J252" s="99"/>
      <c r="K252" s="99">
        <v>45306</v>
      </c>
      <c r="L252" s="99"/>
      <c r="M252" s="77" t="s">
        <v>88</v>
      </c>
    </row>
    <row r="253" spans="1:13" s="103" customFormat="1" ht="10.9" hidden="1" customHeight="1" x14ac:dyDescent="0.25">
      <c r="A253" s="89" t="s">
        <v>849</v>
      </c>
      <c r="B253" s="98" t="s">
        <v>850</v>
      </c>
      <c r="C253" s="101" t="s">
        <v>5348</v>
      </c>
      <c r="D253" s="101" t="s">
        <v>835</v>
      </c>
      <c r="E253" s="73" t="s">
        <v>841</v>
      </c>
      <c r="F253" s="100" t="s">
        <v>81</v>
      </c>
      <c r="G253" s="72" t="e">
        <f>_xlfn.TEXTJOIN(", ",TRUE,B253,#REF!,#REF!,#REF!,D253,E253)</f>
        <v>#REF!</v>
      </c>
      <c r="H253" s="99"/>
      <c r="I253" s="99"/>
      <c r="J253" s="99"/>
      <c r="K253" s="99"/>
      <c r="L253" s="99"/>
      <c r="M253" s="77" t="s">
        <v>851</v>
      </c>
    </row>
    <row r="254" spans="1:13" s="103" customFormat="1" ht="10.9" hidden="1" customHeight="1" x14ac:dyDescent="0.25">
      <c r="A254" s="89" t="s">
        <v>852</v>
      </c>
      <c r="B254" s="98" t="s">
        <v>853</v>
      </c>
      <c r="C254" s="101" t="s">
        <v>5348</v>
      </c>
      <c r="D254" s="101" t="s">
        <v>835</v>
      </c>
      <c r="E254" s="73" t="s">
        <v>854</v>
      </c>
      <c r="F254" s="100" t="s">
        <v>277</v>
      </c>
      <c r="G254" s="72" t="e">
        <f>_xlfn.TEXTJOIN(", ",TRUE,B254,#REF!,#REF!,#REF!,D254,E254)</f>
        <v>#REF!</v>
      </c>
      <c r="H254" s="99">
        <v>45383</v>
      </c>
      <c r="I254" s="99"/>
      <c r="J254" s="99"/>
      <c r="K254" s="99"/>
      <c r="L254" s="99"/>
      <c r="M254" s="77" t="s">
        <v>88</v>
      </c>
    </row>
    <row r="255" spans="1:13" s="103" customFormat="1" ht="10.9" hidden="1" customHeight="1" x14ac:dyDescent="0.25">
      <c r="A255" s="89" t="s">
        <v>855</v>
      </c>
      <c r="B255" s="98" t="s">
        <v>856</v>
      </c>
      <c r="C255" s="101" t="s">
        <v>5348</v>
      </c>
      <c r="D255" s="101" t="s">
        <v>835</v>
      </c>
      <c r="E255" s="73" t="s">
        <v>835</v>
      </c>
      <c r="F255" s="100" t="s">
        <v>81</v>
      </c>
      <c r="G255" s="72" t="e">
        <f>_xlfn.TEXTJOIN(", ",TRUE,B255,#REF!,#REF!,#REF!,D255,E255)</f>
        <v>#REF!</v>
      </c>
      <c r="H255" s="99"/>
      <c r="I255" s="99"/>
      <c r="J255" s="99"/>
      <c r="K255" s="99"/>
      <c r="L255" s="99"/>
      <c r="M255" s="77" t="s">
        <v>88</v>
      </c>
    </row>
    <row r="256" spans="1:13" s="103" customFormat="1" ht="10.9" hidden="1" customHeight="1" x14ac:dyDescent="0.25">
      <c r="A256" s="89" t="s">
        <v>857</v>
      </c>
      <c r="B256" s="98" t="s">
        <v>858</v>
      </c>
      <c r="C256" s="101" t="s">
        <v>5348</v>
      </c>
      <c r="D256" s="101" t="s">
        <v>835</v>
      </c>
      <c r="E256" s="73" t="s">
        <v>835</v>
      </c>
      <c r="F256" s="100" t="s">
        <v>81</v>
      </c>
      <c r="G256" s="72" t="e">
        <f>_xlfn.TEXTJOIN(", ",TRUE,B256,#REF!,#REF!,#REF!,D256,E256)</f>
        <v>#REF!</v>
      </c>
      <c r="H256" s="99">
        <v>45148</v>
      </c>
      <c r="I256" s="99"/>
      <c r="J256" s="99"/>
      <c r="K256" s="99"/>
      <c r="L256" s="99"/>
      <c r="M256" s="77" t="s">
        <v>88</v>
      </c>
    </row>
    <row r="257" spans="1:13" s="103" customFormat="1" ht="10.9" hidden="1" customHeight="1" x14ac:dyDescent="0.25">
      <c r="A257" s="89" t="s">
        <v>859</v>
      </c>
      <c r="B257" s="98" t="s">
        <v>860</v>
      </c>
      <c r="C257" s="101" t="s">
        <v>5348</v>
      </c>
      <c r="D257" s="101" t="s">
        <v>835</v>
      </c>
      <c r="E257" s="73" t="s">
        <v>835</v>
      </c>
      <c r="F257" s="100" t="s">
        <v>81</v>
      </c>
      <c r="G257" s="72" t="e">
        <f>_xlfn.TEXTJOIN(", ",TRUE,B257,#REF!,#REF!,#REF!,D257,E257)</f>
        <v>#REF!</v>
      </c>
      <c r="H257" s="99"/>
      <c r="I257" s="99"/>
      <c r="J257" s="99"/>
      <c r="K257" s="99"/>
      <c r="L257" s="99"/>
      <c r="M257" s="77" t="s">
        <v>861</v>
      </c>
    </row>
    <row r="258" spans="1:13" s="103" customFormat="1" ht="10.9" hidden="1" customHeight="1" x14ac:dyDescent="0.25">
      <c r="A258" s="89" t="s">
        <v>862</v>
      </c>
      <c r="B258" s="98" t="s">
        <v>863</v>
      </c>
      <c r="C258" s="101" t="s">
        <v>5348</v>
      </c>
      <c r="D258" s="101" t="s">
        <v>835</v>
      </c>
      <c r="E258" s="73" t="s">
        <v>88</v>
      </c>
      <c r="F258" s="100" t="s">
        <v>98</v>
      </c>
      <c r="G258" s="72" t="e">
        <f>_xlfn.TEXTJOIN(", ",TRUE,B258,#REF!,#REF!,#REF!,D258,E258)</f>
        <v>#REF!</v>
      </c>
      <c r="H258" s="99"/>
      <c r="I258" s="99"/>
      <c r="J258" s="99"/>
      <c r="K258" s="99"/>
      <c r="L258" s="99"/>
      <c r="M258" s="77" t="s">
        <v>864</v>
      </c>
    </row>
    <row r="259" spans="1:13" s="103" customFormat="1" ht="10.9" hidden="1" customHeight="1" x14ac:dyDescent="0.25">
      <c r="A259" s="89" t="s">
        <v>865</v>
      </c>
      <c r="B259" s="98" t="s">
        <v>866</v>
      </c>
      <c r="C259" s="101" t="s">
        <v>5348</v>
      </c>
      <c r="D259" s="101" t="s">
        <v>867</v>
      </c>
      <c r="E259" s="73" t="s">
        <v>868</v>
      </c>
      <c r="F259" s="100" t="s">
        <v>81</v>
      </c>
      <c r="G259" s="72" t="e">
        <f>_xlfn.TEXTJOIN(", ",TRUE,B259,#REF!,#REF!,#REF!,D259,E259)</f>
        <v>#REF!</v>
      </c>
      <c r="H259" s="99"/>
      <c r="I259" s="99"/>
      <c r="J259" s="99"/>
      <c r="K259" s="99"/>
      <c r="L259" s="99"/>
      <c r="M259" s="77" t="s">
        <v>869</v>
      </c>
    </row>
    <row r="260" spans="1:13" s="103" customFormat="1" ht="10.9" hidden="1" customHeight="1" x14ac:dyDescent="0.25">
      <c r="A260" s="89" t="s">
        <v>870</v>
      </c>
      <c r="B260" s="98" t="s">
        <v>871</v>
      </c>
      <c r="C260" s="101" t="s">
        <v>5348</v>
      </c>
      <c r="D260" s="101" t="s">
        <v>872</v>
      </c>
      <c r="E260" s="73" t="s">
        <v>88</v>
      </c>
      <c r="F260" s="100" t="s">
        <v>98</v>
      </c>
      <c r="G260" s="72" t="e">
        <f>_xlfn.TEXTJOIN(", ",TRUE,B260,#REF!,#REF!,#REF!,D260,E260)</f>
        <v>#REF!</v>
      </c>
      <c r="H260" s="99"/>
      <c r="I260" s="99"/>
      <c r="J260" s="99"/>
      <c r="K260" s="99"/>
      <c r="L260" s="99"/>
      <c r="M260" s="77" t="s">
        <v>869</v>
      </c>
    </row>
    <row r="261" spans="1:13" s="103" customFormat="1" ht="10.9" hidden="1" customHeight="1" x14ac:dyDescent="0.25">
      <c r="A261" s="89" t="s">
        <v>873</v>
      </c>
      <c r="B261" s="104" t="s">
        <v>874</v>
      </c>
      <c r="C261" s="101" t="s">
        <v>5348</v>
      </c>
      <c r="D261" s="101" t="s">
        <v>872</v>
      </c>
      <c r="E261" s="73" t="s">
        <v>88</v>
      </c>
      <c r="F261" s="100" t="s">
        <v>98</v>
      </c>
      <c r="G261" s="72" t="e">
        <f>_xlfn.TEXTJOIN(", ",TRUE,B261,#REF!,#REF!,#REF!,D261,E261)</f>
        <v>#REF!</v>
      </c>
      <c r="H261" s="99"/>
      <c r="I261" s="99"/>
      <c r="J261" s="99"/>
      <c r="K261" s="99"/>
      <c r="L261" s="99"/>
      <c r="M261" s="77" t="s">
        <v>875</v>
      </c>
    </row>
    <row r="262" spans="1:13" s="103" customFormat="1" ht="10.9" hidden="1" customHeight="1" x14ac:dyDescent="0.25">
      <c r="A262" s="89" t="s">
        <v>876</v>
      </c>
      <c r="B262" s="102" t="s">
        <v>877</v>
      </c>
      <c r="C262" s="101" t="s">
        <v>5349</v>
      </c>
      <c r="D262" s="101" t="s">
        <v>878</v>
      </c>
      <c r="E262" s="73" t="s">
        <v>878</v>
      </c>
      <c r="F262" s="100" t="s">
        <v>81</v>
      </c>
      <c r="G262" s="72" t="e">
        <f>_xlfn.TEXTJOIN(", ",TRUE,B262,#REF!,#REF!,#REF!,D262,E262)</f>
        <v>#REF!</v>
      </c>
      <c r="H262" s="99">
        <v>45221</v>
      </c>
      <c r="I262" s="99">
        <v>45678</v>
      </c>
      <c r="J262" s="99"/>
      <c r="K262" s="99"/>
      <c r="L262" s="99"/>
      <c r="M262" s="77" t="s">
        <v>88</v>
      </c>
    </row>
    <row r="263" spans="1:13" s="103" customFormat="1" ht="10.9" hidden="1" customHeight="1" x14ac:dyDescent="0.25">
      <c r="A263" s="89" t="s">
        <v>879</v>
      </c>
      <c r="B263" s="98" t="s">
        <v>880</v>
      </c>
      <c r="C263" s="101" t="s">
        <v>5348</v>
      </c>
      <c r="D263" s="101" t="s">
        <v>881</v>
      </c>
      <c r="E263" s="73" t="s">
        <v>88</v>
      </c>
      <c r="F263" s="100" t="s">
        <v>98</v>
      </c>
      <c r="G263" s="72" t="e">
        <f>_xlfn.TEXTJOIN(", ",TRUE,B263,#REF!,#REF!,#REF!,D263,E263)</f>
        <v>#REF!</v>
      </c>
      <c r="H263" s="99"/>
      <c r="I263" s="99"/>
      <c r="J263" s="99"/>
      <c r="K263" s="99"/>
      <c r="L263" s="99"/>
      <c r="M263" s="77" t="s">
        <v>882</v>
      </c>
    </row>
    <row r="264" spans="1:13" s="103" customFormat="1" ht="10.9" hidden="1" customHeight="1" x14ac:dyDescent="0.25">
      <c r="A264" s="89" t="s">
        <v>883</v>
      </c>
      <c r="B264" s="102" t="s">
        <v>884</v>
      </c>
      <c r="C264" s="101" t="s">
        <v>5349</v>
      </c>
      <c r="D264" s="101" t="s">
        <v>885</v>
      </c>
      <c r="E264" s="73" t="s">
        <v>885</v>
      </c>
      <c r="F264" s="100" t="s">
        <v>98</v>
      </c>
      <c r="G264" s="72" t="e">
        <f>_xlfn.TEXTJOIN(", ",TRUE,B264,#REF!,#REF!,#REF!,D264,E264)</f>
        <v>#REF!</v>
      </c>
      <c r="H264" s="99"/>
      <c r="I264" s="99"/>
      <c r="J264" s="99"/>
      <c r="K264" s="99"/>
      <c r="L264" s="99"/>
      <c r="M264" s="77" t="s">
        <v>886</v>
      </c>
    </row>
    <row r="265" spans="1:13" s="103" customFormat="1" ht="10.9" hidden="1" customHeight="1" x14ac:dyDescent="0.25">
      <c r="A265" s="89" t="s">
        <v>887</v>
      </c>
      <c r="B265" s="102" t="s">
        <v>888</v>
      </c>
      <c r="C265" s="101" t="s">
        <v>5349</v>
      </c>
      <c r="D265" s="101" t="s">
        <v>885</v>
      </c>
      <c r="E265" s="73" t="s">
        <v>885</v>
      </c>
      <c r="F265" s="100" t="s">
        <v>98</v>
      </c>
      <c r="G265" s="72" t="e">
        <f>_xlfn.TEXTJOIN(", ",TRUE,B265,#REF!,#REF!,#REF!,D265,E265)</f>
        <v>#REF!</v>
      </c>
      <c r="H265" s="99"/>
      <c r="I265" s="99"/>
      <c r="J265" s="99"/>
      <c r="K265" s="99"/>
      <c r="L265" s="99"/>
      <c r="M265" s="77" t="s">
        <v>889</v>
      </c>
    </row>
    <row r="266" spans="1:13" s="103" customFormat="1" ht="10.9" hidden="1" customHeight="1" x14ac:dyDescent="0.25">
      <c r="A266" s="89" t="s">
        <v>890</v>
      </c>
      <c r="B266" s="104" t="s">
        <v>891</v>
      </c>
      <c r="C266" s="101" t="s">
        <v>5348</v>
      </c>
      <c r="D266" s="101" t="s">
        <v>892</v>
      </c>
      <c r="E266" s="74" t="s">
        <v>893</v>
      </c>
      <c r="F266" s="100" t="s">
        <v>98</v>
      </c>
      <c r="G266" s="72" t="e">
        <f>_xlfn.TEXTJOIN(", ",TRUE,B266,#REF!,#REF!,#REF!,D266,E266)</f>
        <v>#REF!</v>
      </c>
      <c r="H266" s="99"/>
      <c r="I266" s="99"/>
      <c r="J266" s="99"/>
      <c r="K266" s="99"/>
      <c r="L266" s="99"/>
      <c r="M266" s="77">
        <v>0</v>
      </c>
    </row>
    <row r="267" spans="1:13" s="103" customFormat="1" ht="10.9" hidden="1" customHeight="1" x14ac:dyDescent="0.25">
      <c r="A267" s="89" t="s">
        <v>894</v>
      </c>
      <c r="B267" s="98" t="s">
        <v>895</v>
      </c>
      <c r="C267" s="101" t="s">
        <v>5348</v>
      </c>
      <c r="D267" s="101" t="s">
        <v>896</v>
      </c>
      <c r="E267" s="73" t="s">
        <v>897</v>
      </c>
      <c r="F267" s="100" t="s">
        <v>98</v>
      </c>
      <c r="G267" s="72" t="e">
        <f>_xlfn.TEXTJOIN(", ",TRUE,B267,#REF!,#REF!,#REF!,D267,E267)</f>
        <v>#REF!</v>
      </c>
      <c r="H267" s="99">
        <v>45017</v>
      </c>
      <c r="I267" s="99"/>
      <c r="J267" s="99"/>
      <c r="K267" s="99"/>
      <c r="L267" s="99"/>
      <c r="M267" s="77" t="s">
        <v>898</v>
      </c>
    </row>
    <row r="268" spans="1:13" s="103" customFormat="1" ht="10.9" hidden="1" customHeight="1" x14ac:dyDescent="0.25">
      <c r="A268" s="89" t="s">
        <v>899</v>
      </c>
      <c r="B268" s="98" t="s">
        <v>900</v>
      </c>
      <c r="C268" s="101" t="s">
        <v>5349</v>
      </c>
      <c r="D268" s="101" t="s">
        <v>901</v>
      </c>
      <c r="E268" s="73" t="s">
        <v>88</v>
      </c>
      <c r="F268" s="100" t="s">
        <v>98</v>
      </c>
      <c r="G268" s="72" t="e">
        <f>_xlfn.TEXTJOIN(", ",TRUE,B268,#REF!,#REF!,#REF!,D268,E268)</f>
        <v>#REF!</v>
      </c>
      <c r="H268" s="99"/>
      <c r="I268" s="99"/>
      <c r="J268" s="99"/>
      <c r="K268" s="99"/>
      <c r="L268" s="99"/>
      <c r="M268" s="77" t="s">
        <v>88</v>
      </c>
    </row>
    <row r="269" spans="1:13" s="103" customFormat="1" ht="10.9" hidden="1" customHeight="1" x14ac:dyDescent="0.25">
      <c r="A269" s="89" t="s">
        <v>902</v>
      </c>
      <c r="B269" s="98" t="s">
        <v>903</v>
      </c>
      <c r="C269" s="101" t="s">
        <v>5349</v>
      </c>
      <c r="D269" s="101" t="s">
        <v>901</v>
      </c>
      <c r="E269" s="73" t="s">
        <v>88</v>
      </c>
      <c r="F269" s="100" t="s">
        <v>98</v>
      </c>
      <c r="G269" s="72" t="e">
        <f>_xlfn.TEXTJOIN(", ",TRUE,B269,#REF!,#REF!,#REF!,D269,E269)</f>
        <v>#REF!</v>
      </c>
      <c r="H269" s="99"/>
      <c r="I269" s="99"/>
      <c r="J269" s="99"/>
      <c r="K269" s="99"/>
      <c r="L269" s="99"/>
      <c r="M269" s="77" t="s">
        <v>88</v>
      </c>
    </row>
    <row r="270" spans="1:13" s="103" customFormat="1" ht="10.9" hidden="1" customHeight="1" x14ac:dyDescent="0.25">
      <c r="A270" s="89" t="s">
        <v>904</v>
      </c>
      <c r="B270" s="98" t="s">
        <v>905</v>
      </c>
      <c r="C270" s="101" t="s">
        <v>5348</v>
      </c>
      <c r="D270" s="101" t="s">
        <v>906</v>
      </c>
      <c r="E270" s="73" t="s">
        <v>907</v>
      </c>
      <c r="F270" s="100" t="s">
        <v>81</v>
      </c>
      <c r="G270" s="72" t="e">
        <f>_xlfn.TEXTJOIN(", ",TRUE,B270,#REF!,#REF!,#REF!,D270,E270)</f>
        <v>#REF!</v>
      </c>
      <c r="H270" s="99">
        <v>45143</v>
      </c>
      <c r="I270" s="99"/>
      <c r="J270" s="99"/>
      <c r="K270" s="99"/>
      <c r="L270" s="99"/>
      <c r="M270" s="77">
        <v>0</v>
      </c>
    </row>
    <row r="271" spans="1:13" s="103" customFormat="1" ht="10.9" hidden="1" customHeight="1" x14ac:dyDescent="0.25">
      <c r="A271" s="89" t="s">
        <v>908</v>
      </c>
      <c r="B271" s="102" t="s">
        <v>909</v>
      </c>
      <c r="C271" s="101" t="s">
        <v>5348</v>
      </c>
      <c r="D271" s="101" t="s">
        <v>906</v>
      </c>
      <c r="E271" s="74" t="s">
        <v>910</v>
      </c>
      <c r="F271" s="100" t="s">
        <v>348</v>
      </c>
      <c r="G271" s="72" t="e">
        <f>_xlfn.TEXTJOIN(", ",TRUE,B271,#REF!,#REF!,#REF!,D271,E271)</f>
        <v>#REF!</v>
      </c>
      <c r="H271" s="99"/>
      <c r="I271" s="99"/>
      <c r="J271" s="99"/>
      <c r="K271" s="99"/>
      <c r="L271" s="99"/>
      <c r="M271" s="77" t="s">
        <v>88</v>
      </c>
    </row>
    <row r="272" spans="1:13" s="103" customFormat="1" ht="10.9" hidden="1" customHeight="1" x14ac:dyDescent="0.25">
      <c r="A272" s="89" t="s">
        <v>911</v>
      </c>
      <c r="B272" s="104" t="s">
        <v>912</v>
      </c>
      <c r="C272" s="101" t="s">
        <v>5348</v>
      </c>
      <c r="D272" s="101" t="s">
        <v>906</v>
      </c>
      <c r="E272" s="73" t="s">
        <v>88</v>
      </c>
      <c r="F272" s="100" t="s">
        <v>98</v>
      </c>
      <c r="G272" s="72" t="e">
        <f>_xlfn.TEXTJOIN(", ",TRUE,B272,#REF!,#REF!,#REF!,D272,E272)</f>
        <v>#REF!</v>
      </c>
      <c r="H272" s="99"/>
      <c r="I272" s="99"/>
      <c r="J272" s="99"/>
      <c r="K272" s="99"/>
      <c r="L272" s="99"/>
      <c r="M272" s="77">
        <v>0</v>
      </c>
    </row>
    <row r="273" spans="1:13" s="103" customFormat="1" ht="10.9" hidden="1" customHeight="1" x14ac:dyDescent="0.25">
      <c r="A273" s="89" t="s">
        <v>913</v>
      </c>
      <c r="B273" s="98" t="s">
        <v>914</v>
      </c>
      <c r="C273" s="101" t="s">
        <v>5348</v>
      </c>
      <c r="D273" s="101" t="s">
        <v>906</v>
      </c>
      <c r="E273" s="73" t="s">
        <v>915</v>
      </c>
      <c r="F273" s="100" t="s">
        <v>98</v>
      </c>
      <c r="G273" s="72" t="e">
        <f>_xlfn.TEXTJOIN(", ",TRUE,B273,#REF!,#REF!,#REF!,D273,E273)</f>
        <v>#REF!</v>
      </c>
      <c r="H273" s="99"/>
      <c r="I273" s="99">
        <v>45399</v>
      </c>
      <c r="J273" s="99"/>
      <c r="K273" s="99"/>
      <c r="L273" s="99"/>
      <c r="M273" s="77" t="s">
        <v>916</v>
      </c>
    </row>
    <row r="274" spans="1:13" s="103" customFormat="1" ht="10.9" hidden="1" customHeight="1" x14ac:dyDescent="0.25">
      <c r="A274" s="89" t="s">
        <v>913</v>
      </c>
      <c r="B274" s="104" t="s">
        <v>917</v>
      </c>
      <c r="C274" s="101" t="s">
        <v>5348</v>
      </c>
      <c r="D274" s="101" t="s">
        <v>906</v>
      </c>
      <c r="E274" s="74" t="s">
        <v>918</v>
      </c>
      <c r="F274" s="100" t="s">
        <v>98</v>
      </c>
      <c r="G274" s="72" t="e">
        <f>_xlfn.TEXTJOIN(", ",TRUE,B274,#REF!,#REF!,#REF!,D274,E274)</f>
        <v>#REF!</v>
      </c>
      <c r="H274" s="99"/>
      <c r="I274" s="99"/>
      <c r="J274" s="99"/>
      <c r="K274" s="99"/>
      <c r="L274" s="99"/>
      <c r="M274" s="77" t="s">
        <v>88</v>
      </c>
    </row>
    <row r="275" spans="1:13" s="103" customFormat="1" ht="10.9" hidden="1" customHeight="1" x14ac:dyDescent="0.25">
      <c r="A275" s="89" t="s">
        <v>919</v>
      </c>
      <c r="B275" s="98" t="s">
        <v>920</v>
      </c>
      <c r="C275" s="101" t="s">
        <v>5348</v>
      </c>
      <c r="D275" s="101" t="s">
        <v>906</v>
      </c>
      <c r="E275" s="73" t="s">
        <v>906</v>
      </c>
      <c r="F275" s="100" t="s">
        <v>81</v>
      </c>
      <c r="G275" s="72" t="e">
        <f>_xlfn.TEXTJOIN(", ",TRUE,B275,#REF!,#REF!,#REF!,D275,E275)</f>
        <v>#REF!</v>
      </c>
      <c r="H275" s="99">
        <v>45739</v>
      </c>
      <c r="I275" s="99"/>
      <c r="J275" s="99"/>
      <c r="K275" s="99"/>
      <c r="L275" s="99"/>
      <c r="M275" s="77" t="s">
        <v>921</v>
      </c>
    </row>
    <row r="276" spans="1:13" s="103" customFormat="1" ht="10.9" hidden="1" customHeight="1" x14ac:dyDescent="0.25">
      <c r="A276" s="89" t="s">
        <v>922</v>
      </c>
      <c r="B276" s="98" t="s">
        <v>923</v>
      </c>
      <c r="C276" s="101" t="s">
        <v>5348</v>
      </c>
      <c r="D276" s="101" t="s">
        <v>906</v>
      </c>
      <c r="E276" s="73" t="s">
        <v>924</v>
      </c>
      <c r="F276" s="100" t="s">
        <v>98</v>
      </c>
      <c r="G276" s="72" t="e">
        <f>_xlfn.TEXTJOIN(", ",TRUE,B276,#REF!,#REF!,#REF!,D276,E276)</f>
        <v>#REF!</v>
      </c>
      <c r="H276" s="99"/>
      <c r="I276" s="99"/>
      <c r="J276" s="99"/>
      <c r="K276" s="99"/>
      <c r="L276" s="99"/>
      <c r="M276" s="77" t="s">
        <v>88</v>
      </c>
    </row>
    <row r="277" spans="1:13" s="103" customFormat="1" ht="10.9" hidden="1" customHeight="1" x14ac:dyDescent="0.25">
      <c r="A277" s="89" t="s">
        <v>925</v>
      </c>
      <c r="B277" s="98" t="s">
        <v>926</v>
      </c>
      <c r="C277" s="101" t="s">
        <v>5348</v>
      </c>
      <c r="D277" s="101" t="s">
        <v>906</v>
      </c>
      <c r="E277" s="73" t="s">
        <v>927</v>
      </c>
      <c r="F277" s="100" t="s">
        <v>81</v>
      </c>
      <c r="G277" s="72" t="e">
        <f>_xlfn.TEXTJOIN(", ",TRUE,B277,#REF!,#REF!,#REF!,D277,E277)</f>
        <v>#REF!</v>
      </c>
      <c r="H277" s="99"/>
      <c r="I277" s="99"/>
      <c r="J277" s="99"/>
      <c r="K277" s="99"/>
      <c r="L277" s="99"/>
      <c r="M277" s="77" t="s">
        <v>88</v>
      </c>
    </row>
    <row r="278" spans="1:13" s="103" customFormat="1" ht="10.9" hidden="1" customHeight="1" x14ac:dyDescent="0.25">
      <c r="A278" s="89" t="s">
        <v>928</v>
      </c>
      <c r="B278" s="104" t="s">
        <v>929</v>
      </c>
      <c r="C278" s="101" t="s">
        <v>5348</v>
      </c>
      <c r="D278" s="101" t="s">
        <v>906</v>
      </c>
      <c r="E278" s="73" t="s">
        <v>88</v>
      </c>
      <c r="F278" s="100" t="s">
        <v>98</v>
      </c>
      <c r="G278" s="72" t="e">
        <f>_xlfn.TEXTJOIN(", ",TRUE,B278,#REF!,#REF!,#REF!,D278,E278)</f>
        <v>#REF!</v>
      </c>
      <c r="H278" s="99"/>
      <c r="I278" s="99"/>
      <c r="J278" s="99"/>
      <c r="K278" s="99"/>
      <c r="L278" s="99"/>
      <c r="M278" s="77">
        <v>0</v>
      </c>
    </row>
    <row r="279" spans="1:13" s="103" customFormat="1" ht="10.9" hidden="1" customHeight="1" x14ac:dyDescent="0.25">
      <c r="A279" s="89" t="s">
        <v>930</v>
      </c>
      <c r="B279" s="104" t="s">
        <v>931</v>
      </c>
      <c r="C279" s="101" t="s">
        <v>5348</v>
      </c>
      <c r="D279" s="101" t="s">
        <v>932</v>
      </c>
      <c r="E279" s="73" t="s">
        <v>88</v>
      </c>
      <c r="F279" s="100" t="s">
        <v>98</v>
      </c>
      <c r="G279" s="72" t="e">
        <f>_xlfn.TEXTJOIN(", ",TRUE,B279,#REF!,#REF!,#REF!,D279,E279)</f>
        <v>#REF!</v>
      </c>
      <c r="H279" s="99"/>
      <c r="I279" s="99"/>
      <c r="J279" s="99"/>
      <c r="K279" s="99"/>
      <c r="L279" s="99"/>
      <c r="M279" s="77">
        <v>0</v>
      </c>
    </row>
    <row r="280" spans="1:13" s="103" customFormat="1" ht="10.9" hidden="1" customHeight="1" x14ac:dyDescent="0.25">
      <c r="A280" s="89" t="s">
        <v>933</v>
      </c>
      <c r="B280" s="98" t="s">
        <v>934</v>
      </c>
      <c r="C280" s="101" t="s">
        <v>5348</v>
      </c>
      <c r="D280" s="101" t="s">
        <v>935</v>
      </c>
      <c r="E280" s="73" t="s">
        <v>88</v>
      </c>
      <c r="F280" s="100" t="s">
        <v>98</v>
      </c>
      <c r="G280" s="72" t="e">
        <f>_xlfn.TEXTJOIN(", ",TRUE,B280,#REF!,#REF!,#REF!,D280,E280)</f>
        <v>#REF!</v>
      </c>
      <c r="H280" s="99"/>
      <c r="I280" s="99"/>
      <c r="J280" s="99"/>
      <c r="K280" s="99"/>
      <c r="L280" s="99"/>
      <c r="M280" s="77" t="s">
        <v>936</v>
      </c>
    </row>
    <row r="281" spans="1:13" s="103" customFormat="1" ht="10.9" hidden="1" customHeight="1" x14ac:dyDescent="0.25">
      <c r="A281" s="89" t="s">
        <v>933</v>
      </c>
      <c r="B281" s="98" t="s">
        <v>937</v>
      </c>
      <c r="C281" s="101" t="s">
        <v>5348</v>
      </c>
      <c r="D281" s="101" t="s">
        <v>935</v>
      </c>
      <c r="E281" s="73" t="s">
        <v>938</v>
      </c>
      <c r="F281" s="100" t="s">
        <v>282</v>
      </c>
      <c r="G281" s="72" t="e">
        <f>_xlfn.TEXTJOIN(", ",TRUE,B281,#REF!,#REF!,#REF!,D281,E281)</f>
        <v>#REF!</v>
      </c>
      <c r="H281" s="99">
        <v>45262</v>
      </c>
      <c r="I281" s="99"/>
      <c r="J281" s="99"/>
      <c r="K281" s="99"/>
      <c r="L281" s="99"/>
      <c r="M281" s="77" t="s">
        <v>88</v>
      </c>
    </row>
    <row r="282" spans="1:13" s="103" customFormat="1" ht="10.9" hidden="1" customHeight="1" x14ac:dyDescent="0.25">
      <c r="A282" s="89" t="s">
        <v>933</v>
      </c>
      <c r="B282" s="98" t="s">
        <v>939</v>
      </c>
      <c r="C282" s="101" t="s">
        <v>5348</v>
      </c>
      <c r="D282" s="101" t="s">
        <v>935</v>
      </c>
      <c r="E282" s="73" t="s">
        <v>938</v>
      </c>
      <c r="F282" s="100" t="s">
        <v>98</v>
      </c>
      <c r="G282" s="72" t="e">
        <f>_xlfn.TEXTJOIN(", ",TRUE,B282,#REF!,#REF!,#REF!,D282,E282)</f>
        <v>#REF!</v>
      </c>
      <c r="H282" s="99">
        <v>45262</v>
      </c>
      <c r="I282" s="99"/>
      <c r="J282" s="99"/>
      <c r="K282" s="99"/>
      <c r="L282" s="99">
        <v>45262</v>
      </c>
      <c r="M282" s="77" t="s">
        <v>88</v>
      </c>
    </row>
    <row r="283" spans="1:13" s="103" customFormat="1" ht="10.9" hidden="1" customHeight="1" x14ac:dyDescent="0.25">
      <c r="A283" s="89" t="s">
        <v>940</v>
      </c>
      <c r="B283" s="98" t="s">
        <v>941</v>
      </c>
      <c r="C283" s="101" t="s">
        <v>5348</v>
      </c>
      <c r="D283" s="101" t="s">
        <v>935</v>
      </c>
      <c r="E283" s="73" t="s">
        <v>942</v>
      </c>
      <c r="F283" s="100" t="s">
        <v>98</v>
      </c>
      <c r="G283" s="72" t="e">
        <f>_xlfn.TEXTJOIN(", ",TRUE,B283,#REF!,#REF!,#REF!,D283,E283)</f>
        <v>#REF!</v>
      </c>
      <c r="H283" s="99">
        <v>45604</v>
      </c>
      <c r="I283" s="99"/>
      <c r="J283" s="99"/>
      <c r="K283" s="99"/>
      <c r="L283" s="99"/>
      <c r="M283" s="77" t="s">
        <v>88</v>
      </c>
    </row>
    <row r="284" spans="1:13" s="103" customFormat="1" ht="10.9" hidden="1" customHeight="1" x14ac:dyDescent="0.25">
      <c r="A284" s="89" t="s">
        <v>943</v>
      </c>
      <c r="B284" s="104" t="s">
        <v>944</v>
      </c>
      <c r="C284" s="101" t="s">
        <v>5348</v>
      </c>
      <c r="D284" s="101" t="s">
        <v>935</v>
      </c>
      <c r="E284" s="73" t="s">
        <v>88</v>
      </c>
      <c r="F284" s="100" t="s">
        <v>98</v>
      </c>
      <c r="G284" s="72" t="e">
        <f>_xlfn.TEXTJOIN(", ",TRUE,B284,#REF!,#REF!,#REF!,D284,E284)</f>
        <v>#REF!</v>
      </c>
      <c r="H284" s="99"/>
      <c r="I284" s="99"/>
      <c r="J284" s="99"/>
      <c r="K284" s="99"/>
      <c r="L284" s="99"/>
      <c r="M284" s="77" t="s">
        <v>945</v>
      </c>
    </row>
    <row r="285" spans="1:13" s="103" customFormat="1" ht="10.9" hidden="1" customHeight="1" x14ac:dyDescent="0.25">
      <c r="A285" s="90" t="s">
        <v>946</v>
      </c>
      <c r="B285" s="104" t="s">
        <v>947</v>
      </c>
      <c r="C285" s="101" t="s">
        <v>5348</v>
      </c>
      <c r="D285" s="101" t="s">
        <v>935</v>
      </c>
      <c r="E285" s="74" t="s">
        <v>948</v>
      </c>
      <c r="F285" s="100" t="s">
        <v>562</v>
      </c>
      <c r="G285" s="72" t="e">
        <f>_xlfn.TEXTJOIN(", ",TRUE,B285,#REF!,#REF!,#REF!,D285,E285)</f>
        <v>#REF!</v>
      </c>
      <c r="H285" s="99"/>
      <c r="I285" s="99"/>
      <c r="J285" s="99"/>
      <c r="K285" s="99"/>
      <c r="L285" s="99"/>
      <c r="M285" s="77" t="s">
        <v>88</v>
      </c>
    </row>
    <row r="286" spans="1:13" s="103" customFormat="1" ht="10.9" hidden="1" customHeight="1" x14ac:dyDescent="0.25">
      <c r="A286" s="89" t="s">
        <v>949</v>
      </c>
      <c r="B286" s="98" t="s">
        <v>950</v>
      </c>
      <c r="C286" s="101" t="s">
        <v>5349</v>
      </c>
      <c r="D286" s="101" t="s">
        <v>951</v>
      </c>
      <c r="E286" s="73" t="s">
        <v>88</v>
      </c>
      <c r="F286" s="100" t="s">
        <v>952</v>
      </c>
      <c r="G286" s="72" t="e">
        <f>_xlfn.TEXTJOIN(", ",TRUE,B286,#REF!,#REF!,#REF!,D286,E286)</f>
        <v>#REF!</v>
      </c>
      <c r="H286" s="99"/>
      <c r="I286" s="99"/>
      <c r="J286" s="99"/>
      <c r="K286" s="99"/>
      <c r="L286" s="99"/>
      <c r="M286" s="77" t="s">
        <v>953</v>
      </c>
    </row>
    <row r="287" spans="1:13" s="103" customFormat="1" ht="10.9" hidden="1" customHeight="1" x14ac:dyDescent="0.25">
      <c r="A287" s="89" t="s">
        <v>954</v>
      </c>
      <c r="B287" s="104" t="s">
        <v>955</v>
      </c>
      <c r="C287" s="101" t="s">
        <v>5349</v>
      </c>
      <c r="D287" s="101" t="s">
        <v>951</v>
      </c>
      <c r="E287" s="73" t="s">
        <v>88</v>
      </c>
      <c r="F287" s="100" t="s">
        <v>98</v>
      </c>
      <c r="G287" s="72" t="e">
        <f>_xlfn.TEXTJOIN(", ",TRUE,B287,#REF!,#REF!,#REF!,D287,E287)</f>
        <v>#REF!</v>
      </c>
      <c r="H287" s="99"/>
      <c r="I287" s="99"/>
      <c r="J287" s="99"/>
      <c r="K287" s="99"/>
      <c r="L287" s="99"/>
      <c r="M287" s="77" t="s">
        <v>88</v>
      </c>
    </row>
    <row r="288" spans="1:13" s="103" customFormat="1" ht="10.9" hidden="1" customHeight="1" x14ac:dyDescent="0.25">
      <c r="A288" s="89" t="s">
        <v>956</v>
      </c>
      <c r="B288" s="102" t="s">
        <v>957</v>
      </c>
      <c r="C288" s="101" t="s">
        <v>5348</v>
      </c>
      <c r="D288" s="101" t="s">
        <v>958</v>
      </c>
      <c r="E288" s="73" t="s">
        <v>958</v>
      </c>
      <c r="F288" s="100" t="s">
        <v>81</v>
      </c>
      <c r="G288" s="72" t="e">
        <f>_xlfn.TEXTJOIN(", ",TRUE,B288,#REF!,#REF!,#REF!,D288,E288)</f>
        <v>#REF!</v>
      </c>
      <c r="H288" s="99"/>
      <c r="I288" s="99"/>
      <c r="J288" s="99"/>
      <c r="K288" s="99"/>
      <c r="L288" s="99"/>
      <c r="M288" s="77" t="s">
        <v>88</v>
      </c>
    </row>
    <row r="289" spans="1:13" s="103" customFormat="1" ht="10.9" hidden="1" customHeight="1" x14ac:dyDescent="0.25">
      <c r="A289" s="89" t="s">
        <v>959</v>
      </c>
      <c r="B289" s="104" t="s">
        <v>960</v>
      </c>
      <c r="C289" s="101" t="s">
        <v>5349</v>
      </c>
      <c r="D289" s="101" t="s">
        <v>961</v>
      </c>
      <c r="E289" s="73" t="s">
        <v>88</v>
      </c>
      <c r="F289" s="100" t="s">
        <v>98</v>
      </c>
      <c r="G289" s="72" t="e">
        <f>_xlfn.TEXTJOIN(", ",TRUE,B289,#REF!,#REF!,#REF!,D289,E289)</f>
        <v>#REF!</v>
      </c>
      <c r="H289" s="99"/>
      <c r="I289" s="99"/>
      <c r="J289" s="99"/>
      <c r="K289" s="99"/>
      <c r="L289" s="99"/>
      <c r="M289" s="77">
        <v>0</v>
      </c>
    </row>
    <row r="290" spans="1:13" s="103" customFormat="1" ht="10.9" hidden="1" customHeight="1" x14ac:dyDescent="0.25">
      <c r="A290" s="89" t="s">
        <v>962</v>
      </c>
      <c r="B290" s="98" t="s">
        <v>963</v>
      </c>
      <c r="C290" s="101" t="s">
        <v>5348</v>
      </c>
      <c r="D290" s="101" t="s">
        <v>964</v>
      </c>
      <c r="E290" s="73" t="s">
        <v>88</v>
      </c>
      <c r="F290" s="100" t="s">
        <v>98</v>
      </c>
      <c r="G290" s="72" t="e">
        <f>_xlfn.TEXTJOIN(", ",TRUE,B290,#REF!,#REF!,#REF!,D290,E290)</f>
        <v>#REF!</v>
      </c>
      <c r="H290" s="99"/>
      <c r="I290" s="99"/>
      <c r="J290" s="99"/>
      <c r="K290" s="99"/>
      <c r="L290" s="99"/>
      <c r="M290" s="77">
        <v>0</v>
      </c>
    </row>
    <row r="291" spans="1:13" s="103" customFormat="1" ht="10.9" hidden="1" customHeight="1" x14ac:dyDescent="0.25">
      <c r="A291" s="89" t="s">
        <v>965</v>
      </c>
      <c r="B291" s="98" t="s">
        <v>966</v>
      </c>
      <c r="C291" s="101" t="s">
        <v>5348</v>
      </c>
      <c r="D291" s="101" t="s">
        <v>964</v>
      </c>
      <c r="E291" s="73" t="s">
        <v>88</v>
      </c>
      <c r="F291" s="100" t="s">
        <v>98</v>
      </c>
      <c r="G291" s="72" t="e">
        <f>_xlfn.TEXTJOIN(", ",TRUE,B291,#REF!,#REF!,#REF!,D291,E291)</f>
        <v>#REF!</v>
      </c>
      <c r="H291" s="99"/>
      <c r="I291" s="99"/>
      <c r="J291" s="99"/>
      <c r="K291" s="99"/>
      <c r="L291" s="99"/>
      <c r="M291" s="77" t="s">
        <v>967</v>
      </c>
    </row>
    <row r="292" spans="1:13" s="103" customFormat="1" ht="10.9" hidden="1" customHeight="1" x14ac:dyDescent="0.25">
      <c r="A292" s="89" t="s">
        <v>968</v>
      </c>
      <c r="B292" s="98" t="s">
        <v>969</v>
      </c>
      <c r="C292" s="101" t="s">
        <v>5348</v>
      </c>
      <c r="D292" s="101" t="s">
        <v>970</v>
      </c>
      <c r="E292" s="73" t="s">
        <v>88</v>
      </c>
      <c r="F292" s="100" t="s">
        <v>98</v>
      </c>
      <c r="G292" s="72" t="e">
        <f>_xlfn.TEXTJOIN(", ",TRUE,B292,#REF!,#REF!,#REF!,D292,E292)</f>
        <v>#REF!</v>
      </c>
      <c r="H292" s="99"/>
      <c r="I292" s="99"/>
      <c r="J292" s="99"/>
      <c r="K292" s="99"/>
      <c r="L292" s="99"/>
      <c r="M292" s="77" t="s">
        <v>88</v>
      </c>
    </row>
    <row r="293" spans="1:13" s="103" customFormat="1" ht="10.9" hidden="1" customHeight="1" x14ac:dyDescent="0.25">
      <c r="A293" s="89" t="s">
        <v>971</v>
      </c>
      <c r="B293" s="104" t="s">
        <v>972</v>
      </c>
      <c r="C293" s="101" t="s">
        <v>5349</v>
      </c>
      <c r="D293" s="101" t="s">
        <v>973</v>
      </c>
      <c r="E293" s="73" t="s">
        <v>88</v>
      </c>
      <c r="F293" s="100" t="s">
        <v>98</v>
      </c>
      <c r="G293" s="72" t="e">
        <f>_xlfn.TEXTJOIN(", ",TRUE,B293,#REF!,#REF!,#REF!,D293,E293)</f>
        <v>#REF!</v>
      </c>
      <c r="H293" s="99"/>
      <c r="I293" s="99"/>
      <c r="J293" s="99"/>
      <c r="K293" s="99"/>
      <c r="L293" s="99"/>
      <c r="M293" s="77" t="s">
        <v>88</v>
      </c>
    </row>
    <row r="294" spans="1:13" s="103" customFormat="1" ht="10.9" hidden="1" customHeight="1" x14ac:dyDescent="0.25">
      <c r="A294" s="89" t="s">
        <v>975</v>
      </c>
      <c r="B294" s="98" t="s">
        <v>976</v>
      </c>
      <c r="C294" s="101" t="s">
        <v>5349</v>
      </c>
      <c r="D294" s="101" t="s">
        <v>977</v>
      </c>
      <c r="E294" s="73" t="s">
        <v>978</v>
      </c>
      <c r="F294" s="100" t="s">
        <v>81</v>
      </c>
      <c r="G294" s="72" t="e">
        <f>_xlfn.TEXTJOIN(", ",TRUE,B294,#REF!,#REF!,#REF!,D294,E294)</f>
        <v>#REF!</v>
      </c>
      <c r="H294" s="99"/>
      <c r="I294" s="99"/>
      <c r="J294" s="99"/>
      <c r="K294" s="99"/>
      <c r="L294" s="99"/>
      <c r="M294" s="77" t="s">
        <v>88</v>
      </c>
    </row>
    <row r="295" spans="1:13" s="103" customFormat="1" ht="10.9" hidden="1" customHeight="1" x14ac:dyDescent="0.25">
      <c r="A295" s="89" t="s">
        <v>979</v>
      </c>
      <c r="B295" s="98" t="s">
        <v>980</v>
      </c>
      <c r="C295" s="101" t="s">
        <v>5349</v>
      </c>
      <c r="D295" s="101" t="s">
        <v>977</v>
      </c>
      <c r="E295" s="73" t="s">
        <v>978</v>
      </c>
      <c r="F295" s="100" t="s">
        <v>81</v>
      </c>
      <c r="G295" s="72" t="e">
        <f>_xlfn.TEXTJOIN(", ",TRUE,B295,#REF!,#REF!,#REF!,D295,E295)</f>
        <v>#REF!</v>
      </c>
      <c r="H295" s="99"/>
      <c r="I295" s="99"/>
      <c r="J295" s="99"/>
      <c r="K295" s="99"/>
      <c r="L295" s="99">
        <v>45872</v>
      </c>
      <c r="M295" s="77" t="s">
        <v>981</v>
      </c>
    </row>
    <row r="296" spans="1:13" s="103" customFormat="1" ht="10.9" hidden="1" customHeight="1" x14ac:dyDescent="0.25">
      <c r="A296" s="89" t="s">
        <v>982</v>
      </c>
      <c r="B296" s="104" t="s">
        <v>983</v>
      </c>
      <c r="C296" s="101" t="s">
        <v>5348</v>
      </c>
      <c r="D296" s="101" t="s">
        <v>977</v>
      </c>
      <c r="E296" s="73" t="s">
        <v>88</v>
      </c>
      <c r="F296" s="100" t="s">
        <v>98</v>
      </c>
      <c r="G296" s="72" t="e">
        <f>_xlfn.TEXTJOIN(", ",TRUE,B296,#REF!,#REF!,#REF!,D296,E296)</f>
        <v>#REF!</v>
      </c>
      <c r="H296" s="99"/>
      <c r="I296" s="99"/>
      <c r="J296" s="99"/>
      <c r="K296" s="99"/>
      <c r="L296" s="99"/>
      <c r="M296" s="77" t="s">
        <v>88</v>
      </c>
    </row>
    <row r="297" spans="1:13" s="103" customFormat="1" ht="10.9" hidden="1" customHeight="1" x14ac:dyDescent="0.25">
      <c r="A297" s="89" t="s">
        <v>984</v>
      </c>
      <c r="B297" s="98" t="s">
        <v>985</v>
      </c>
      <c r="C297" s="101" t="s">
        <v>5348</v>
      </c>
      <c r="D297" s="101" t="s">
        <v>986</v>
      </c>
      <c r="E297" s="73" t="s">
        <v>987</v>
      </c>
      <c r="F297" s="100" t="s">
        <v>130</v>
      </c>
      <c r="G297" s="72" t="e">
        <f>_xlfn.TEXTJOIN(", ",TRUE,B297,#REF!,#REF!,#REF!,D297,E297)</f>
        <v>#REF!</v>
      </c>
      <c r="H297" s="99">
        <v>44905</v>
      </c>
      <c r="I297" s="99"/>
      <c r="J297" s="99"/>
      <c r="K297" s="99"/>
      <c r="L297" s="99"/>
      <c r="M297" s="77" t="s">
        <v>88</v>
      </c>
    </row>
    <row r="298" spans="1:13" s="103" customFormat="1" ht="10.9" hidden="1" customHeight="1" x14ac:dyDescent="0.25">
      <c r="A298" s="89" t="s">
        <v>988</v>
      </c>
      <c r="B298" s="98" t="s">
        <v>989</v>
      </c>
      <c r="C298" s="101" t="s">
        <v>5348</v>
      </c>
      <c r="D298" s="101" t="s">
        <v>990</v>
      </c>
      <c r="E298" s="73" t="s">
        <v>991</v>
      </c>
      <c r="F298" s="100" t="s">
        <v>81</v>
      </c>
      <c r="G298" s="72" t="e">
        <f>_xlfn.TEXTJOIN(", ",TRUE,B298,#REF!,#REF!,#REF!,D298,E298)</f>
        <v>#REF!</v>
      </c>
      <c r="H298" s="99">
        <v>45051</v>
      </c>
      <c r="I298" s="99"/>
      <c r="J298" s="99"/>
      <c r="K298" s="99"/>
      <c r="L298" s="99"/>
      <c r="M298" s="77" t="s">
        <v>88</v>
      </c>
    </row>
    <row r="299" spans="1:13" s="103" customFormat="1" ht="10.9" hidden="1" customHeight="1" x14ac:dyDescent="0.25">
      <c r="A299" s="89" t="s">
        <v>992</v>
      </c>
      <c r="B299" s="98" t="s">
        <v>993</v>
      </c>
      <c r="C299" s="101" t="s">
        <v>5349</v>
      </c>
      <c r="D299" s="101" t="s">
        <v>990</v>
      </c>
      <c r="E299" s="74" t="s">
        <v>994</v>
      </c>
      <c r="F299" s="100" t="s">
        <v>98</v>
      </c>
      <c r="G299" s="72" t="e">
        <f>_xlfn.TEXTJOIN(", ",TRUE,B299,#REF!,#REF!,#REF!,D299,E299)</f>
        <v>#REF!</v>
      </c>
      <c r="H299" s="99"/>
      <c r="I299" s="99"/>
      <c r="J299" s="99"/>
      <c r="K299" s="99"/>
      <c r="L299" s="99"/>
      <c r="M299" s="77" t="s">
        <v>995</v>
      </c>
    </row>
    <row r="300" spans="1:13" s="103" customFormat="1" ht="10.9" hidden="1" customHeight="1" x14ac:dyDescent="0.25">
      <c r="A300" s="89" t="s">
        <v>996</v>
      </c>
      <c r="B300" s="98" t="s">
        <v>997</v>
      </c>
      <c r="C300" s="101" t="s">
        <v>5349</v>
      </c>
      <c r="D300" s="101" t="s">
        <v>990</v>
      </c>
      <c r="E300" s="73" t="s">
        <v>998</v>
      </c>
      <c r="F300" s="100" t="s">
        <v>81</v>
      </c>
      <c r="G300" s="72" t="e">
        <f>_xlfn.TEXTJOIN(", ",TRUE,B300,#REF!,#REF!,#REF!,D300,E300)</f>
        <v>#REF!</v>
      </c>
      <c r="H300" s="99"/>
      <c r="I300" s="99"/>
      <c r="J300" s="99"/>
      <c r="K300" s="99"/>
      <c r="L300" s="99"/>
      <c r="M300" s="77" t="s">
        <v>88</v>
      </c>
    </row>
    <row r="301" spans="1:13" s="103" customFormat="1" ht="10.9" hidden="1" customHeight="1" x14ac:dyDescent="0.25">
      <c r="A301" s="89" t="s">
        <v>999</v>
      </c>
      <c r="B301" s="98" t="s">
        <v>1000</v>
      </c>
      <c r="C301" s="101" t="s">
        <v>5349</v>
      </c>
      <c r="D301" s="101" t="s">
        <v>990</v>
      </c>
      <c r="E301" s="74" t="s">
        <v>1001</v>
      </c>
      <c r="F301" s="100" t="s">
        <v>98</v>
      </c>
      <c r="G301" s="72" t="e">
        <f>_xlfn.TEXTJOIN(", ",TRUE,B301,#REF!,#REF!,#REF!,D301,E301)</f>
        <v>#REF!</v>
      </c>
      <c r="H301" s="99"/>
      <c r="I301" s="99"/>
      <c r="J301" s="99"/>
      <c r="K301" s="99"/>
      <c r="L301" s="99"/>
      <c r="M301" s="77" t="s">
        <v>88</v>
      </c>
    </row>
    <row r="302" spans="1:13" s="103" customFormat="1" ht="10.9" hidden="1" customHeight="1" x14ac:dyDescent="0.25">
      <c r="A302" s="89" t="s">
        <v>1002</v>
      </c>
      <c r="B302" s="98" t="s">
        <v>1003</v>
      </c>
      <c r="C302" s="101" t="s">
        <v>5349</v>
      </c>
      <c r="D302" s="101" t="s">
        <v>1004</v>
      </c>
      <c r="E302" s="74" t="s">
        <v>1005</v>
      </c>
      <c r="F302" s="100" t="s">
        <v>81</v>
      </c>
      <c r="G302" s="72" t="e">
        <f>_xlfn.TEXTJOIN(", ",TRUE,B302,#REF!,#REF!,#REF!,D302,E302)</f>
        <v>#REF!</v>
      </c>
      <c r="H302" s="99"/>
      <c r="I302" s="99"/>
      <c r="J302" s="99"/>
      <c r="K302" s="99"/>
      <c r="L302" s="99"/>
      <c r="M302" s="77" t="s">
        <v>1006</v>
      </c>
    </row>
    <row r="303" spans="1:13" s="103" customFormat="1" ht="10.9" hidden="1" customHeight="1" x14ac:dyDescent="0.25">
      <c r="A303" s="89" t="s">
        <v>1007</v>
      </c>
      <c r="B303" s="102" t="s">
        <v>1008</v>
      </c>
      <c r="C303" s="101" t="s">
        <v>5349</v>
      </c>
      <c r="D303" s="101" t="s">
        <v>1009</v>
      </c>
      <c r="E303" s="73" t="s">
        <v>1009</v>
      </c>
      <c r="F303" s="100" t="s">
        <v>187</v>
      </c>
      <c r="G303" s="72" t="e">
        <f>_xlfn.TEXTJOIN(", ",TRUE,B303,#REF!,#REF!,#REF!,D303,E303)</f>
        <v>#REF!</v>
      </c>
      <c r="H303" s="99"/>
      <c r="I303" s="99"/>
      <c r="J303" s="99"/>
      <c r="K303" s="99"/>
      <c r="L303" s="99"/>
      <c r="M303" s="77">
        <v>0</v>
      </c>
    </row>
    <row r="304" spans="1:13" s="103" customFormat="1" ht="10.9" hidden="1" customHeight="1" x14ac:dyDescent="0.25">
      <c r="A304" s="89" t="s">
        <v>1010</v>
      </c>
      <c r="B304" s="98" t="s">
        <v>1011</v>
      </c>
      <c r="C304" s="107"/>
      <c r="D304" s="107" t="s">
        <v>1012</v>
      </c>
      <c r="E304" s="76"/>
      <c r="F304" s="108"/>
      <c r="G304" s="78"/>
      <c r="H304" s="107"/>
      <c r="I304" s="107"/>
      <c r="J304" s="107"/>
      <c r="K304" s="107"/>
      <c r="L304" s="107"/>
      <c r="M304" s="77" t="s">
        <v>1013</v>
      </c>
    </row>
    <row r="305" spans="1:13" s="103" customFormat="1" ht="10.9" hidden="1" customHeight="1" x14ac:dyDescent="0.25">
      <c r="A305" s="89" t="s">
        <v>1014</v>
      </c>
      <c r="B305" s="98" t="s">
        <v>1015</v>
      </c>
      <c r="C305" s="101" t="s">
        <v>5348</v>
      </c>
      <c r="D305" s="101" t="s">
        <v>1016</v>
      </c>
      <c r="E305" s="74" t="s">
        <v>1017</v>
      </c>
      <c r="F305" s="100" t="s">
        <v>98</v>
      </c>
      <c r="G305" s="72" t="e">
        <f>_xlfn.TEXTJOIN(", ",TRUE,B305,#REF!,#REF!,#REF!,D305,E305)</f>
        <v>#REF!</v>
      </c>
      <c r="H305" s="99"/>
      <c r="I305" s="99"/>
      <c r="J305" s="99"/>
      <c r="K305" s="99"/>
      <c r="L305" s="99"/>
      <c r="M305" s="77" t="s">
        <v>88</v>
      </c>
    </row>
    <row r="306" spans="1:13" s="103" customFormat="1" ht="10.9" hidden="1" customHeight="1" x14ac:dyDescent="0.25">
      <c r="A306" s="89" t="s">
        <v>1018</v>
      </c>
      <c r="B306" s="104" t="s">
        <v>1019</v>
      </c>
      <c r="C306" s="101" t="s">
        <v>5348</v>
      </c>
      <c r="D306" s="101" t="s">
        <v>1016</v>
      </c>
      <c r="E306" s="73" t="s">
        <v>88</v>
      </c>
      <c r="F306" s="100" t="s">
        <v>98</v>
      </c>
      <c r="G306" s="72" t="e">
        <f>_xlfn.TEXTJOIN(", ",TRUE,B306,#REF!,#REF!,#REF!,D306,E306)</f>
        <v>#REF!</v>
      </c>
      <c r="H306" s="99"/>
      <c r="I306" s="99"/>
      <c r="J306" s="99"/>
      <c r="K306" s="99"/>
      <c r="L306" s="99"/>
      <c r="M306" s="77" t="s">
        <v>1020</v>
      </c>
    </row>
    <row r="307" spans="1:13" s="103" customFormat="1" ht="10.9" hidden="1" customHeight="1" x14ac:dyDescent="0.25">
      <c r="A307" s="89" t="s">
        <v>1021</v>
      </c>
      <c r="B307" s="98" t="s">
        <v>1022</v>
      </c>
      <c r="C307" s="101" t="s">
        <v>5348</v>
      </c>
      <c r="D307" s="101" t="s">
        <v>1016</v>
      </c>
      <c r="E307" s="73" t="s">
        <v>1023</v>
      </c>
      <c r="F307" s="100" t="s">
        <v>130</v>
      </c>
      <c r="G307" s="72" t="e">
        <f>_xlfn.TEXTJOIN(", ",TRUE,B307,#REF!,#REF!,#REF!,D307,E307)</f>
        <v>#REF!</v>
      </c>
      <c r="H307" s="99">
        <v>45883</v>
      </c>
      <c r="I307" s="99"/>
      <c r="J307" s="99"/>
      <c r="K307" s="99"/>
      <c r="L307" s="99"/>
      <c r="M307" s="77" t="s">
        <v>1024</v>
      </c>
    </row>
    <row r="308" spans="1:13" s="103" customFormat="1" ht="10.9" hidden="1" customHeight="1" x14ac:dyDescent="0.25">
      <c r="A308" s="89" t="s">
        <v>1025</v>
      </c>
      <c r="B308" s="98" t="s">
        <v>1026</v>
      </c>
      <c r="C308" s="101" t="s">
        <v>5348</v>
      </c>
      <c r="D308" s="101" t="s">
        <v>1016</v>
      </c>
      <c r="E308" s="73" t="s">
        <v>1016</v>
      </c>
      <c r="F308" s="100" t="s">
        <v>98</v>
      </c>
      <c r="G308" s="72" t="e">
        <f>_xlfn.TEXTJOIN(", ",TRUE,B308,#REF!,#REF!,#REF!,D308,E308)</f>
        <v>#REF!</v>
      </c>
      <c r="H308" s="99">
        <v>45447</v>
      </c>
      <c r="I308" s="99"/>
      <c r="J308" s="99"/>
      <c r="K308" s="99"/>
      <c r="L308" s="99"/>
      <c r="M308" s="77">
        <v>0</v>
      </c>
    </row>
    <row r="309" spans="1:13" s="103" customFormat="1" ht="10.9" hidden="1" customHeight="1" x14ac:dyDescent="0.25">
      <c r="A309" s="89" t="s">
        <v>1027</v>
      </c>
      <c r="B309" s="104" t="s">
        <v>1028</v>
      </c>
      <c r="C309" s="101" t="s">
        <v>5348</v>
      </c>
      <c r="D309" s="101" t="s">
        <v>1016</v>
      </c>
      <c r="E309" s="73" t="s">
        <v>88</v>
      </c>
      <c r="F309" s="100" t="s">
        <v>98</v>
      </c>
      <c r="G309" s="72" t="e">
        <f>_xlfn.TEXTJOIN(", ",TRUE,B309,#REF!,#REF!,#REF!,D309,E309)</f>
        <v>#REF!</v>
      </c>
      <c r="H309" s="99"/>
      <c r="I309" s="99"/>
      <c r="J309" s="99"/>
      <c r="K309" s="99"/>
      <c r="L309" s="99"/>
      <c r="M309" s="77" t="s">
        <v>1029</v>
      </c>
    </row>
    <row r="310" spans="1:13" s="103" customFormat="1" ht="10.9" hidden="1" customHeight="1" x14ac:dyDescent="0.25">
      <c r="A310" s="89" t="s">
        <v>1014</v>
      </c>
      <c r="B310" s="98" t="s">
        <v>1030</v>
      </c>
      <c r="C310" s="101" t="s">
        <v>5348</v>
      </c>
      <c r="D310" s="101" t="s">
        <v>1016</v>
      </c>
      <c r="E310" s="73" t="s">
        <v>1031</v>
      </c>
      <c r="F310" s="100" t="s">
        <v>1032</v>
      </c>
      <c r="G310" s="72" t="e">
        <f>_xlfn.TEXTJOIN(", ",TRUE,B310,#REF!,#REF!,#REF!,D310,E310)</f>
        <v>#REF!</v>
      </c>
      <c r="H310" s="99"/>
      <c r="I310" s="99"/>
      <c r="J310" s="99"/>
      <c r="K310" s="99"/>
      <c r="L310" s="99"/>
      <c r="M310" s="77" t="s">
        <v>1033</v>
      </c>
    </row>
    <row r="311" spans="1:13" s="103" customFormat="1" ht="10.9" hidden="1" customHeight="1" x14ac:dyDescent="0.25">
      <c r="A311" s="89" t="s">
        <v>1034</v>
      </c>
      <c r="B311" s="98" t="s">
        <v>1035</v>
      </c>
      <c r="C311" s="101" t="s">
        <v>5348</v>
      </c>
      <c r="D311" s="101" t="s">
        <v>1016</v>
      </c>
      <c r="E311" s="73" t="s">
        <v>88</v>
      </c>
      <c r="F311" s="100" t="s">
        <v>98</v>
      </c>
      <c r="G311" s="72" t="e">
        <f>_xlfn.TEXTJOIN(", ",TRUE,B311,#REF!,#REF!,#REF!,D311,E311)</f>
        <v>#REF!</v>
      </c>
      <c r="H311" s="99"/>
      <c r="I311" s="99"/>
      <c r="J311" s="99"/>
      <c r="K311" s="99"/>
      <c r="L311" s="99"/>
      <c r="M311" s="77" t="s">
        <v>88</v>
      </c>
    </row>
    <row r="312" spans="1:13" s="103" customFormat="1" ht="10.9" hidden="1" customHeight="1" x14ac:dyDescent="0.25">
      <c r="A312" s="89" t="s">
        <v>1036</v>
      </c>
      <c r="B312" s="102" t="s">
        <v>1037</v>
      </c>
      <c r="C312" s="101" t="s">
        <v>5348</v>
      </c>
      <c r="D312" s="101" t="s">
        <v>1016</v>
      </c>
      <c r="E312" s="73" t="s">
        <v>1038</v>
      </c>
      <c r="F312" s="100" t="s">
        <v>130</v>
      </c>
      <c r="G312" s="72" t="e">
        <f>_xlfn.TEXTJOIN(", ",TRUE,B312,#REF!,#REF!,#REF!,D312,E312)</f>
        <v>#REF!</v>
      </c>
      <c r="H312" s="99"/>
      <c r="I312" s="99"/>
      <c r="J312" s="99"/>
      <c r="K312" s="99"/>
      <c r="L312" s="99"/>
      <c r="M312" s="77" t="s">
        <v>88</v>
      </c>
    </row>
    <row r="313" spans="1:13" s="103" customFormat="1" ht="10.9" hidden="1" customHeight="1" x14ac:dyDescent="0.25">
      <c r="A313" s="89" t="s">
        <v>1039</v>
      </c>
      <c r="B313" s="104" t="s">
        <v>1040</v>
      </c>
      <c r="C313" s="101" t="s">
        <v>5348</v>
      </c>
      <c r="D313" s="101" t="s">
        <v>1016</v>
      </c>
      <c r="E313" s="73" t="s">
        <v>88</v>
      </c>
      <c r="F313" s="100" t="s">
        <v>118</v>
      </c>
      <c r="G313" s="72" t="e">
        <f>_xlfn.TEXTJOIN(", ",TRUE,B313,#REF!,#REF!,#REF!,D313,E313)</f>
        <v>#REF!</v>
      </c>
      <c r="H313" s="99"/>
      <c r="I313" s="99"/>
      <c r="J313" s="99"/>
      <c r="K313" s="99"/>
      <c r="L313" s="99"/>
      <c r="M313" s="77" t="s">
        <v>88</v>
      </c>
    </row>
    <row r="314" spans="1:13" s="103" customFormat="1" ht="10.9" hidden="1" customHeight="1" x14ac:dyDescent="0.25">
      <c r="A314" s="89" t="s">
        <v>1041</v>
      </c>
      <c r="B314" s="102" t="s">
        <v>1042</v>
      </c>
      <c r="C314" s="101" t="s">
        <v>5349</v>
      </c>
      <c r="D314" s="101" t="s">
        <v>1016</v>
      </c>
      <c r="E314" s="73" t="s">
        <v>1016</v>
      </c>
      <c r="F314" s="100" t="s">
        <v>98</v>
      </c>
      <c r="G314" s="72" t="e">
        <f>_xlfn.TEXTJOIN(", ",TRUE,B314,#REF!,#REF!,#REF!,D314,E314)</f>
        <v>#REF!</v>
      </c>
      <c r="H314" s="99"/>
      <c r="I314" s="99"/>
      <c r="J314" s="99"/>
      <c r="K314" s="99"/>
      <c r="L314" s="99"/>
      <c r="M314" s="77" t="s">
        <v>1043</v>
      </c>
    </row>
    <row r="315" spans="1:13" s="103" customFormat="1" ht="10.9" hidden="1" customHeight="1" x14ac:dyDescent="0.25">
      <c r="A315" s="89" t="s">
        <v>1044</v>
      </c>
      <c r="B315" s="104" t="s">
        <v>1045</v>
      </c>
      <c r="C315" s="101" t="s">
        <v>5348</v>
      </c>
      <c r="D315" s="101" t="s">
        <v>1046</v>
      </c>
      <c r="E315" s="74" t="s">
        <v>1047</v>
      </c>
      <c r="F315" s="100" t="s">
        <v>98</v>
      </c>
      <c r="G315" s="72" t="e">
        <f>_xlfn.TEXTJOIN(", ",TRUE,B315,#REF!,#REF!,#REF!,D315,E315)</f>
        <v>#REF!</v>
      </c>
      <c r="H315" s="99"/>
      <c r="I315" s="99"/>
      <c r="J315" s="99"/>
      <c r="K315" s="99"/>
      <c r="L315" s="99"/>
      <c r="M315" s="77" t="s">
        <v>945</v>
      </c>
    </row>
    <row r="316" spans="1:13" s="103" customFormat="1" ht="10.9" customHeight="1" x14ac:dyDescent="0.25">
      <c r="A316" s="89" t="s">
        <v>1048</v>
      </c>
      <c r="B316" s="98" t="s">
        <v>1049</v>
      </c>
      <c r="C316" s="101" t="s">
        <v>5347</v>
      </c>
      <c r="D316" s="101" t="s">
        <v>1050</v>
      </c>
      <c r="E316" s="73" t="s">
        <v>1051</v>
      </c>
      <c r="F316" s="100" t="s">
        <v>81</v>
      </c>
      <c r="G316" s="72" t="e">
        <f>_xlfn.TEXTJOIN(", ",TRUE,B316,#REF!,#REF!,#REF!,D316,E316)</f>
        <v>#REF!</v>
      </c>
      <c r="H316" s="99">
        <v>45189</v>
      </c>
      <c r="I316" s="99"/>
      <c r="J316" s="99"/>
      <c r="K316" s="99"/>
      <c r="L316" s="99"/>
      <c r="M316" s="77" t="s">
        <v>88</v>
      </c>
    </row>
    <row r="317" spans="1:13" s="103" customFormat="1" ht="10.9" customHeight="1" x14ac:dyDescent="0.25">
      <c r="A317" s="89" t="s">
        <v>1052</v>
      </c>
      <c r="B317" s="98" t="s">
        <v>1053</v>
      </c>
      <c r="C317" s="101" t="s">
        <v>5347</v>
      </c>
      <c r="D317" s="101" t="s">
        <v>1050</v>
      </c>
      <c r="E317" s="74" t="s">
        <v>1054</v>
      </c>
      <c r="F317" s="100" t="s">
        <v>130</v>
      </c>
      <c r="G317" s="72" t="e">
        <f>_xlfn.TEXTJOIN(", ",TRUE,B317,#REF!,#REF!,#REF!,D317,E317)</f>
        <v>#REF!</v>
      </c>
      <c r="H317" s="99">
        <v>45165</v>
      </c>
      <c r="I317" s="99">
        <v>45208</v>
      </c>
      <c r="J317" s="99"/>
      <c r="K317" s="99"/>
      <c r="L317" s="99">
        <v>45023</v>
      </c>
      <c r="M317" s="77" t="s">
        <v>1055</v>
      </c>
    </row>
    <row r="318" spans="1:13" s="103" customFormat="1" ht="10.9" customHeight="1" x14ac:dyDescent="0.25">
      <c r="A318" s="89" t="s">
        <v>1056</v>
      </c>
      <c r="B318" s="98" t="s">
        <v>1057</v>
      </c>
      <c r="C318" s="101" t="s">
        <v>5347</v>
      </c>
      <c r="D318" s="101" t="s">
        <v>1050</v>
      </c>
      <c r="E318" s="73" t="s">
        <v>1058</v>
      </c>
      <c r="F318" s="100" t="s">
        <v>98</v>
      </c>
      <c r="G318" s="72" t="e">
        <f>_xlfn.TEXTJOIN(", ",TRUE,B318,#REF!,#REF!,#REF!,D318,E318)</f>
        <v>#REF!</v>
      </c>
      <c r="H318" s="99"/>
      <c r="I318" s="99"/>
      <c r="J318" s="99"/>
      <c r="K318" s="99"/>
      <c r="L318" s="99"/>
      <c r="M318" s="77" t="s">
        <v>88</v>
      </c>
    </row>
    <row r="319" spans="1:13" s="103" customFormat="1" ht="10.9" customHeight="1" x14ac:dyDescent="0.25">
      <c r="A319" s="89" t="s">
        <v>1059</v>
      </c>
      <c r="B319" s="98" t="s">
        <v>1060</v>
      </c>
      <c r="C319" s="101" t="s">
        <v>5347</v>
      </c>
      <c r="D319" s="101" t="s">
        <v>1050</v>
      </c>
      <c r="E319" s="73" t="s">
        <v>1061</v>
      </c>
      <c r="F319" s="100" t="s">
        <v>98</v>
      </c>
      <c r="G319" s="72" t="e">
        <f>_xlfn.TEXTJOIN(", ",TRUE,B319,#REF!,#REF!,#REF!,D319,E319)</f>
        <v>#REF!</v>
      </c>
      <c r="H319" s="99">
        <v>45296</v>
      </c>
      <c r="I319" s="99"/>
      <c r="J319" s="99"/>
      <c r="K319" s="99"/>
      <c r="L319" s="99"/>
      <c r="M319" s="77" t="s">
        <v>88</v>
      </c>
    </row>
    <row r="320" spans="1:13" s="103" customFormat="1" ht="10.9" customHeight="1" x14ac:dyDescent="0.25">
      <c r="A320" s="89" t="s">
        <v>1062</v>
      </c>
      <c r="B320" s="104" t="s">
        <v>1063</v>
      </c>
      <c r="C320" s="101" t="s">
        <v>5347</v>
      </c>
      <c r="D320" s="101" t="s">
        <v>1050</v>
      </c>
      <c r="E320" s="73" t="s">
        <v>88</v>
      </c>
      <c r="F320" s="100" t="s">
        <v>98</v>
      </c>
      <c r="G320" s="72" t="e">
        <f>_xlfn.TEXTJOIN(", ",TRUE,B320,#REF!,#REF!,#REF!,D320,E320)</f>
        <v>#REF!</v>
      </c>
      <c r="H320" s="99"/>
      <c r="I320" s="99"/>
      <c r="J320" s="99"/>
      <c r="K320" s="99"/>
      <c r="L320" s="99"/>
      <c r="M320" s="77" t="s">
        <v>88</v>
      </c>
    </row>
    <row r="321" spans="1:13" s="103" customFormat="1" ht="10.9" customHeight="1" x14ac:dyDescent="0.25">
      <c r="A321" s="89" t="s">
        <v>1064</v>
      </c>
      <c r="B321" s="102" t="s">
        <v>1065</v>
      </c>
      <c r="C321" s="101" t="s">
        <v>5347</v>
      </c>
      <c r="D321" s="101" t="s">
        <v>1050</v>
      </c>
      <c r="E321" s="74" t="s">
        <v>1066</v>
      </c>
      <c r="F321" s="100" t="s">
        <v>81</v>
      </c>
      <c r="G321" s="72" t="e">
        <f>_xlfn.TEXTJOIN(", ",TRUE,B321,#REF!,#REF!,#REF!,D321,E321)</f>
        <v>#REF!</v>
      </c>
      <c r="H321" s="99">
        <v>44899</v>
      </c>
      <c r="I321" s="99"/>
      <c r="J321" s="99"/>
      <c r="K321" s="99"/>
      <c r="L321" s="99"/>
      <c r="M321" s="77" t="s">
        <v>88</v>
      </c>
    </row>
    <row r="322" spans="1:13" s="103" customFormat="1" ht="10.9" customHeight="1" x14ac:dyDescent="0.25">
      <c r="A322" s="89" t="s">
        <v>1067</v>
      </c>
      <c r="B322" s="98" t="s">
        <v>1068</v>
      </c>
      <c r="C322" s="101" t="s">
        <v>5347</v>
      </c>
      <c r="D322" s="101" t="s">
        <v>1050</v>
      </c>
      <c r="E322" s="73" t="s">
        <v>1061</v>
      </c>
      <c r="F322" s="100" t="s">
        <v>98</v>
      </c>
      <c r="G322" s="72" t="e">
        <f>_xlfn.TEXTJOIN(", ",TRUE,B322,#REF!,#REF!,#REF!,D322,E322)</f>
        <v>#REF!</v>
      </c>
      <c r="H322" s="99"/>
      <c r="I322" s="99"/>
      <c r="J322" s="99"/>
      <c r="K322" s="99"/>
      <c r="L322" s="99"/>
      <c r="M322" s="77" t="s">
        <v>1069</v>
      </c>
    </row>
    <row r="323" spans="1:13" s="103" customFormat="1" ht="10.9" customHeight="1" x14ac:dyDescent="0.25">
      <c r="A323" s="89" t="s">
        <v>1070</v>
      </c>
      <c r="B323" s="98" t="s">
        <v>1071</v>
      </c>
      <c r="C323" s="101" t="s">
        <v>5347</v>
      </c>
      <c r="D323" s="101" t="s">
        <v>1050</v>
      </c>
      <c r="E323" s="74" t="s">
        <v>1072</v>
      </c>
      <c r="F323" s="100" t="s">
        <v>81</v>
      </c>
      <c r="G323" s="72" t="e">
        <f>_xlfn.TEXTJOIN(", ",TRUE,B323,#REF!,#REF!,#REF!,D323,E323)</f>
        <v>#REF!</v>
      </c>
      <c r="H323" s="99">
        <v>44859</v>
      </c>
      <c r="I323" s="99"/>
      <c r="J323" s="99"/>
      <c r="K323" s="99"/>
      <c r="L323" s="99"/>
      <c r="M323" s="77" t="s">
        <v>1073</v>
      </c>
    </row>
    <row r="324" spans="1:13" s="103" customFormat="1" ht="10.9" customHeight="1" x14ac:dyDescent="0.25">
      <c r="A324" s="89" t="s">
        <v>1074</v>
      </c>
      <c r="B324" s="102" t="s">
        <v>1075</v>
      </c>
      <c r="C324" s="101" t="s">
        <v>5347</v>
      </c>
      <c r="D324" s="101" t="s">
        <v>1050</v>
      </c>
      <c r="E324" s="74" t="s">
        <v>1076</v>
      </c>
      <c r="F324" s="100" t="s">
        <v>449</v>
      </c>
      <c r="G324" s="72" t="e">
        <f>_xlfn.TEXTJOIN(", ",TRUE,B324,#REF!,#REF!,#REF!,D324,E324)</f>
        <v>#REF!</v>
      </c>
      <c r="H324" s="99"/>
      <c r="I324" s="99"/>
      <c r="J324" s="99"/>
      <c r="K324" s="99"/>
      <c r="L324" s="99"/>
      <c r="M324" s="77" t="s">
        <v>88</v>
      </c>
    </row>
    <row r="325" spans="1:13" s="103" customFormat="1" ht="10.9" customHeight="1" x14ac:dyDescent="0.25">
      <c r="A325" s="89" t="s">
        <v>1077</v>
      </c>
      <c r="B325" s="104" t="s">
        <v>1078</v>
      </c>
      <c r="C325" s="101" t="s">
        <v>5347</v>
      </c>
      <c r="D325" s="101" t="s">
        <v>1050</v>
      </c>
      <c r="E325" s="73" t="s">
        <v>88</v>
      </c>
      <c r="F325" s="100" t="s">
        <v>98</v>
      </c>
      <c r="G325" s="72" t="e">
        <f>_xlfn.TEXTJOIN(", ",TRUE,B325,#REF!,#REF!,#REF!,D325,E325)</f>
        <v>#REF!</v>
      </c>
      <c r="H325" s="99"/>
      <c r="I325" s="99"/>
      <c r="J325" s="99"/>
      <c r="K325" s="99"/>
      <c r="L325" s="99"/>
      <c r="M325" s="77" t="s">
        <v>1079</v>
      </c>
    </row>
    <row r="326" spans="1:13" s="103" customFormat="1" ht="10.9" customHeight="1" x14ac:dyDescent="0.25">
      <c r="A326" s="89" t="s">
        <v>1080</v>
      </c>
      <c r="B326" s="104" t="s">
        <v>1081</v>
      </c>
      <c r="C326" s="101" t="s">
        <v>5347</v>
      </c>
      <c r="D326" s="101" t="s">
        <v>1050</v>
      </c>
      <c r="E326" s="74" t="s">
        <v>1066</v>
      </c>
      <c r="F326" s="100" t="s">
        <v>282</v>
      </c>
      <c r="G326" s="72" t="e">
        <f>_xlfn.TEXTJOIN(", ",TRUE,B326,#REF!,#REF!,#REF!,D326,E326)</f>
        <v>#REF!</v>
      </c>
      <c r="H326" s="99"/>
      <c r="I326" s="99"/>
      <c r="J326" s="99"/>
      <c r="K326" s="99"/>
      <c r="L326" s="99"/>
      <c r="M326" s="77" t="s">
        <v>1082</v>
      </c>
    </row>
    <row r="327" spans="1:13" s="103" customFormat="1" ht="10.9" customHeight="1" x14ac:dyDescent="0.25">
      <c r="A327" s="89" t="s">
        <v>1083</v>
      </c>
      <c r="B327" s="98" t="s">
        <v>1084</v>
      </c>
      <c r="C327" s="101" t="s">
        <v>5347</v>
      </c>
      <c r="D327" s="101" t="s">
        <v>1050</v>
      </c>
      <c r="E327" s="73" t="s">
        <v>1085</v>
      </c>
      <c r="F327" s="100" t="s">
        <v>98</v>
      </c>
      <c r="G327" s="72" t="e">
        <f>_xlfn.TEXTJOIN(", ",TRUE,B327,#REF!,#REF!,#REF!,D327,E327)</f>
        <v>#REF!</v>
      </c>
      <c r="H327" s="99"/>
      <c r="I327" s="99"/>
      <c r="J327" s="99"/>
      <c r="K327" s="99"/>
      <c r="L327" s="99"/>
      <c r="M327" s="77">
        <v>0</v>
      </c>
    </row>
    <row r="328" spans="1:13" s="103" customFormat="1" ht="10.9" customHeight="1" x14ac:dyDescent="0.25">
      <c r="A328" s="89" t="s">
        <v>1086</v>
      </c>
      <c r="B328" s="98" t="s">
        <v>1087</v>
      </c>
      <c r="C328" s="101" t="s">
        <v>5347</v>
      </c>
      <c r="D328" s="101" t="s">
        <v>1050</v>
      </c>
      <c r="E328" s="74" t="s">
        <v>1088</v>
      </c>
      <c r="F328" s="100" t="s">
        <v>98</v>
      </c>
      <c r="G328" s="72" t="e">
        <f>_xlfn.TEXTJOIN(", ",TRUE,B328,#REF!,#REF!,#REF!,D328,E328)</f>
        <v>#REF!</v>
      </c>
      <c r="H328" s="99"/>
      <c r="I328" s="99"/>
      <c r="J328" s="99"/>
      <c r="K328" s="99"/>
      <c r="L328" s="99"/>
      <c r="M328" s="77" t="s">
        <v>88</v>
      </c>
    </row>
    <row r="329" spans="1:13" s="103" customFormat="1" ht="10.9" customHeight="1" x14ac:dyDescent="0.25">
      <c r="A329" s="89" t="s">
        <v>1089</v>
      </c>
      <c r="B329" s="98" t="s">
        <v>1090</v>
      </c>
      <c r="C329" s="101" t="s">
        <v>5347</v>
      </c>
      <c r="D329" s="101" t="s">
        <v>1050</v>
      </c>
      <c r="E329" s="73" t="s">
        <v>1091</v>
      </c>
      <c r="F329" s="100" t="s">
        <v>98</v>
      </c>
      <c r="G329" s="72" t="e">
        <f>_xlfn.TEXTJOIN(", ",TRUE,B329,#REF!,#REF!,#REF!,D329,E329)</f>
        <v>#REF!</v>
      </c>
      <c r="H329" s="99">
        <v>44484</v>
      </c>
      <c r="I329" s="99" t="s">
        <v>88</v>
      </c>
      <c r="J329" s="99"/>
      <c r="K329" s="99" t="s">
        <v>88</v>
      </c>
      <c r="L329" s="99" t="s">
        <v>88</v>
      </c>
      <c r="M329" s="77" t="s">
        <v>88</v>
      </c>
    </row>
    <row r="330" spans="1:13" s="103" customFormat="1" ht="10.9" customHeight="1" x14ac:dyDescent="0.25">
      <c r="A330" s="89" t="s">
        <v>1089</v>
      </c>
      <c r="B330" s="98" t="s">
        <v>1092</v>
      </c>
      <c r="C330" s="101" t="s">
        <v>5347</v>
      </c>
      <c r="D330" s="101" t="s">
        <v>1050</v>
      </c>
      <c r="E330" s="74" t="s">
        <v>1093</v>
      </c>
      <c r="F330" s="100" t="s">
        <v>98</v>
      </c>
      <c r="G330" s="72" t="e">
        <f>_xlfn.TEXTJOIN(", ",TRUE,B330,#REF!,#REF!,#REF!,D330,E330)</f>
        <v>#REF!</v>
      </c>
      <c r="H330" s="99"/>
      <c r="I330" s="99"/>
      <c r="J330" s="99"/>
      <c r="K330" s="99"/>
      <c r="L330" s="99"/>
      <c r="M330" s="77" t="s">
        <v>1094</v>
      </c>
    </row>
    <row r="331" spans="1:13" s="103" customFormat="1" ht="10.9" hidden="1" customHeight="1" x14ac:dyDescent="0.25">
      <c r="A331" s="89" t="s">
        <v>1095</v>
      </c>
      <c r="B331" s="102" t="s">
        <v>1096</v>
      </c>
      <c r="C331" s="101" t="s">
        <v>5349</v>
      </c>
      <c r="D331" s="101" t="s">
        <v>1097</v>
      </c>
      <c r="E331" s="73" t="s">
        <v>1097</v>
      </c>
      <c r="F331" s="100" t="s">
        <v>81</v>
      </c>
      <c r="G331" s="72" t="e">
        <f>_xlfn.TEXTJOIN(", ",TRUE,B331,#REF!,#REF!,#REF!,D331,E331)</f>
        <v>#REF!</v>
      </c>
      <c r="H331" s="99"/>
      <c r="I331" s="99"/>
      <c r="J331" s="99"/>
      <c r="K331" s="99"/>
      <c r="L331" s="99"/>
      <c r="M331" s="77" t="s">
        <v>88</v>
      </c>
    </row>
    <row r="332" spans="1:13" s="103" customFormat="1" ht="10.9" hidden="1" customHeight="1" x14ac:dyDescent="0.25">
      <c r="A332" s="89" t="s">
        <v>1098</v>
      </c>
      <c r="B332" s="98" t="s">
        <v>1099</v>
      </c>
      <c r="C332" s="101" t="s">
        <v>5348</v>
      </c>
      <c r="D332" s="101" t="s">
        <v>1100</v>
      </c>
      <c r="E332" s="73" t="s">
        <v>88</v>
      </c>
      <c r="F332" s="100"/>
      <c r="G332" s="72" t="e">
        <f>_xlfn.TEXTJOIN(", ",TRUE,B332,#REF!,#REF!,#REF!,D332,E332)</f>
        <v>#REF!</v>
      </c>
      <c r="H332" s="99"/>
      <c r="I332" s="99"/>
      <c r="J332" s="99"/>
      <c r="K332" s="99"/>
      <c r="L332" s="99"/>
      <c r="M332" s="77">
        <v>0</v>
      </c>
    </row>
    <row r="333" spans="1:13" s="103" customFormat="1" ht="10.9" hidden="1" customHeight="1" x14ac:dyDescent="0.25">
      <c r="A333" s="89" t="s">
        <v>1101</v>
      </c>
      <c r="B333" s="98" t="s">
        <v>1102</v>
      </c>
      <c r="C333" s="101" t="s">
        <v>5348</v>
      </c>
      <c r="D333" s="101" t="s">
        <v>1100</v>
      </c>
      <c r="E333" s="73" t="s">
        <v>1100</v>
      </c>
      <c r="F333" s="100" t="s">
        <v>1032</v>
      </c>
      <c r="G333" s="72" t="e">
        <f>_xlfn.TEXTJOIN(", ",TRUE,B333,#REF!,#REF!,#REF!,D333,E333)</f>
        <v>#REF!</v>
      </c>
      <c r="H333" s="99">
        <v>45472</v>
      </c>
      <c r="I333" s="99">
        <v>45489</v>
      </c>
      <c r="J333" s="99"/>
      <c r="K333" s="99"/>
      <c r="L333" s="99"/>
      <c r="M333" s="77" t="s">
        <v>88</v>
      </c>
    </row>
    <row r="334" spans="1:13" s="103" customFormat="1" ht="10.9" hidden="1" customHeight="1" x14ac:dyDescent="0.25">
      <c r="A334" s="89" t="s">
        <v>1103</v>
      </c>
      <c r="B334" s="102" t="s">
        <v>1104</v>
      </c>
      <c r="C334" s="101" t="s">
        <v>5348</v>
      </c>
      <c r="D334" s="101" t="s">
        <v>1100</v>
      </c>
      <c r="E334" s="73" t="s">
        <v>1105</v>
      </c>
      <c r="F334" s="100" t="s">
        <v>187</v>
      </c>
      <c r="G334" s="72" t="e">
        <f>_xlfn.TEXTJOIN(", ",TRUE,B334,#REF!,#REF!,#REF!,D334,E334)</f>
        <v>#REF!</v>
      </c>
      <c r="H334" s="99"/>
      <c r="I334" s="99"/>
      <c r="J334" s="99"/>
      <c r="K334" s="99"/>
      <c r="L334" s="99"/>
      <c r="M334" s="77" t="s">
        <v>88</v>
      </c>
    </row>
    <row r="335" spans="1:13" s="103" customFormat="1" ht="10.9" hidden="1" customHeight="1" x14ac:dyDescent="0.25">
      <c r="A335" s="89" t="s">
        <v>1106</v>
      </c>
      <c r="B335" s="98" t="s">
        <v>1107</v>
      </c>
      <c r="C335" s="101" t="s">
        <v>5349</v>
      </c>
      <c r="D335" s="101" t="s">
        <v>1108</v>
      </c>
      <c r="E335" s="73" t="s">
        <v>1108</v>
      </c>
      <c r="F335" s="100" t="s">
        <v>81</v>
      </c>
      <c r="G335" s="72" t="e">
        <f>_xlfn.TEXTJOIN(", ",TRUE,B335,#REF!,#REF!,#REF!,D335,E335)</f>
        <v>#REF!</v>
      </c>
      <c r="H335" s="99"/>
      <c r="I335" s="99"/>
      <c r="J335" s="99"/>
      <c r="K335" s="99"/>
      <c r="L335" s="99"/>
      <c r="M335" s="77" t="s">
        <v>232</v>
      </c>
    </row>
    <row r="336" spans="1:13" s="103" customFormat="1" ht="10.9" hidden="1" customHeight="1" x14ac:dyDescent="0.25">
      <c r="A336" s="89" t="s">
        <v>1109</v>
      </c>
      <c r="B336" s="98" t="s">
        <v>1110</v>
      </c>
      <c r="C336" s="101" t="s">
        <v>5349</v>
      </c>
      <c r="D336" s="101" t="s">
        <v>1108</v>
      </c>
      <c r="E336" s="73" t="s">
        <v>88</v>
      </c>
      <c r="F336" s="100" t="s">
        <v>98</v>
      </c>
      <c r="G336" s="72" t="e">
        <f>_xlfn.TEXTJOIN(", ",TRUE,B336,#REF!,#REF!,#REF!,D336,E336)</f>
        <v>#REF!</v>
      </c>
      <c r="H336" s="99"/>
      <c r="I336" s="99"/>
      <c r="J336" s="99"/>
      <c r="K336" s="99"/>
      <c r="L336" s="99"/>
      <c r="M336" s="77" t="s">
        <v>1111</v>
      </c>
    </row>
    <row r="337" spans="1:13" s="103" customFormat="1" ht="10.9" hidden="1" customHeight="1" x14ac:dyDescent="0.25">
      <c r="A337" s="89" t="s">
        <v>1112</v>
      </c>
      <c r="B337" s="98" t="s">
        <v>1113</v>
      </c>
      <c r="C337" s="101" t="s">
        <v>5349</v>
      </c>
      <c r="D337" s="101" t="s">
        <v>1108</v>
      </c>
      <c r="E337" s="73" t="s">
        <v>88</v>
      </c>
      <c r="F337" s="100" t="s">
        <v>98</v>
      </c>
      <c r="G337" s="72" t="e">
        <f>_xlfn.TEXTJOIN(", ",TRUE,B337,#REF!,#REF!,#REF!,D337,E337)</f>
        <v>#REF!</v>
      </c>
      <c r="H337" s="99"/>
      <c r="I337" s="99"/>
      <c r="J337" s="99"/>
      <c r="K337" s="99"/>
      <c r="L337" s="99"/>
      <c r="M337" s="77" t="s">
        <v>1114</v>
      </c>
    </row>
    <row r="338" spans="1:13" s="103" customFormat="1" ht="10.9" hidden="1" customHeight="1" x14ac:dyDescent="0.25">
      <c r="A338" s="89" t="s">
        <v>1115</v>
      </c>
      <c r="B338" s="98" t="s">
        <v>1116</v>
      </c>
      <c r="C338" s="101" t="s">
        <v>5349</v>
      </c>
      <c r="D338" s="101" t="s">
        <v>1108</v>
      </c>
      <c r="E338" s="73" t="s">
        <v>88</v>
      </c>
      <c r="F338" s="100" t="s">
        <v>98</v>
      </c>
      <c r="G338" s="72" t="e">
        <f>_xlfn.TEXTJOIN(", ",TRUE,B338,#REF!,#REF!,#REF!,D338,E338)</f>
        <v>#REF!</v>
      </c>
      <c r="H338" s="99"/>
      <c r="I338" s="99"/>
      <c r="J338" s="99"/>
      <c r="K338" s="99"/>
      <c r="L338" s="99"/>
      <c r="M338" s="77">
        <v>0</v>
      </c>
    </row>
    <row r="339" spans="1:13" s="103" customFormat="1" ht="10.9" hidden="1" customHeight="1" x14ac:dyDescent="0.25">
      <c r="A339" s="89" t="s">
        <v>1117</v>
      </c>
      <c r="B339" s="98" t="s">
        <v>1118</v>
      </c>
      <c r="C339" s="101" t="s">
        <v>5348</v>
      </c>
      <c r="D339" s="101" t="s">
        <v>1108</v>
      </c>
      <c r="E339" s="73" t="s">
        <v>1119</v>
      </c>
      <c r="F339" s="100" t="s">
        <v>81</v>
      </c>
      <c r="G339" s="72" t="e">
        <f>_xlfn.TEXTJOIN(", ",TRUE,B339,#REF!,#REF!,#REF!,D339,E339)</f>
        <v>#REF!</v>
      </c>
      <c r="H339" s="99"/>
      <c r="I339" s="99"/>
      <c r="J339" s="99"/>
      <c r="K339" s="99"/>
      <c r="L339" s="99"/>
      <c r="M339" s="77" t="s">
        <v>88</v>
      </c>
    </row>
    <row r="340" spans="1:13" s="103" customFormat="1" ht="10.9" hidden="1" customHeight="1" x14ac:dyDescent="0.25">
      <c r="A340" s="89" t="s">
        <v>1120</v>
      </c>
      <c r="B340" s="98" t="s">
        <v>1121</v>
      </c>
      <c r="C340" s="101" t="s">
        <v>5348</v>
      </c>
      <c r="D340" s="101" t="s">
        <v>1108</v>
      </c>
      <c r="E340" s="73" t="s">
        <v>1122</v>
      </c>
      <c r="F340" s="100" t="s">
        <v>81</v>
      </c>
      <c r="G340" s="72" t="e">
        <f>_xlfn.TEXTJOIN(", ",TRUE,B340,#REF!,#REF!,#REF!,D340,E340)</f>
        <v>#REF!</v>
      </c>
      <c r="H340" s="99">
        <v>45774</v>
      </c>
      <c r="I340" s="99"/>
      <c r="J340" s="99"/>
      <c r="K340" s="99"/>
      <c r="L340" s="99"/>
      <c r="M340" s="77" t="s">
        <v>88</v>
      </c>
    </row>
    <row r="341" spans="1:13" s="103" customFormat="1" ht="10.9" hidden="1" customHeight="1" x14ac:dyDescent="0.25">
      <c r="A341" s="89" t="s">
        <v>1123</v>
      </c>
      <c r="B341" s="98" t="s">
        <v>1124</v>
      </c>
      <c r="C341" s="101" t="s">
        <v>5348</v>
      </c>
      <c r="D341" s="101" t="s">
        <v>1108</v>
      </c>
      <c r="E341" s="73" t="s">
        <v>1125</v>
      </c>
      <c r="F341" s="100" t="s">
        <v>98</v>
      </c>
      <c r="G341" s="72" t="e">
        <f>_xlfn.TEXTJOIN(", ",TRUE,B341,#REF!,#REF!,#REF!,D341,E341)</f>
        <v>#REF!</v>
      </c>
      <c r="H341" s="99"/>
      <c r="I341" s="99">
        <v>45832</v>
      </c>
      <c r="J341" s="99"/>
      <c r="K341" s="99"/>
      <c r="L341" s="99"/>
      <c r="M341" s="77" t="s">
        <v>1126</v>
      </c>
    </row>
    <row r="342" spans="1:13" s="103" customFormat="1" ht="10.9" hidden="1" customHeight="1" x14ac:dyDescent="0.25">
      <c r="A342" s="89" t="s">
        <v>1127</v>
      </c>
      <c r="B342" s="98" t="s">
        <v>1128</v>
      </c>
      <c r="C342" s="101" t="s">
        <v>5348</v>
      </c>
      <c r="D342" s="101" t="s">
        <v>1108</v>
      </c>
      <c r="E342" s="73" t="s">
        <v>1108</v>
      </c>
      <c r="F342" s="100" t="s">
        <v>81</v>
      </c>
      <c r="G342" s="72" t="e">
        <f>_xlfn.TEXTJOIN(", ",TRUE,B342,#REF!,#REF!,#REF!,D342,E342)</f>
        <v>#REF!</v>
      </c>
      <c r="H342" s="99"/>
      <c r="I342" s="99"/>
      <c r="J342" s="99"/>
      <c r="K342" s="99"/>
      <c r="L342" s="99"/>
      <c r="M342" s="77" t="s">
        <v>88</v>
      </c>
    </row>
    <row r="343" spans="1:13" s="103" customFormat="1" ht="10.9" hidden="1" customHeight="1" x14ac:dyDescent="0.25">
      <c r="A343" s="89" t="s">
        <v>1129</v>
      </c>
      <c r="B343" s="102" t="s">
        <v>1130</v>
      </c>
      <c r="C343" s="101" t="s">
        <v>5348</v>
      </c>
      <c r="D343" s="101" t="s">
        <v>1108</v>
      </c>
      <c r="E343" s="73" t="s">
        <v>1108</v>
      </c>
      <c r="F343" s="100" t="s">
        <v>81</v>
      </c>
      <c r="G343" s="72" t="e">
        <f>_xlfn.TEXTJOIN(", ",TRUE,B343,#REF!,#REF!,#REF!,D343,E343)</f>
        <v>#REF!</v>
      </c>
      <c r="H343" s="99">
        <v>45168</v>
      </c>
      <c r="I343" s="99"/>
      <c r="J343" s="99"/>
      <c r="K343" s="99"/>
      <c r="L343" s="99"/>
      <c r="M343" s="77" t="s">
        <v>1131</v>
      </c>
    </row>
    <row r="344" spans="1:13" s="103" customFormat="1" ht="10.9" hidden="1" customHeight="1" x14ac:dyDescent="0.25">
      <c r="A344" s="89" t="s">
        <v>1132</v>
      </c>
      <c r="B344" s="102" t="s">
        <v>1133</v>
      </c>
      <c r="C344" s="101" t="s">
        <v>5349</v>
      </c>
      <c r="D344" s="101" t="s">
        <v>1108</v>
      </c>
      <c r="E344" s="73" t="s">
        <v>1108</v>
      </c>
      <c r="F344" s="100" t="s">
        <v>81</v>
      </c>
      <c r="G344" s="72" t="e">
        <f>_xlfn.TEXTJOIN(", ",TRUE,B344,#REF!,#REF!,#REF!,D344,E344)</f>
        <v>#REF!</v>
      </c>
      <c r="H344" s="99"/>
      <c r="I344" s="99"/>
      <c r="J344" s="99"/>
      <c r="K344" s="99"/>
      <c r="L344" s="99"/>
      <c r="M344" s="77" t="s">
        <v>88</v>
      </c>
    </row>
    <row r="345" spans="1:13" s="103" customFormat="1" ht="10.9" hidden="1" customHeight="1" x14ac:dyDescent="0.25">
      <c r="A345" s="89" t="s">
        <v>1132</v>
      </c>
      <c r="B345" s="102" t="s">
        <v>1134</v>
      </c>
      <c r="C345" s="101" t="s">
        <v>5349</v>
      </c>
      <c r="D345" s="101" t="s">
        <v>1108</v>
      </c>
      <c r="E345" s="73" t="s">
        <v>88</v>
      </c>
      <c r="F345" s="100" t="s">
        <v>81</v>
      </c>
      <c r="G345" s="72" t="e">
        <f>_xlfn.TEXTJOIN(", ",TRUE,B345,#REF!,#REF!,#REF!,D345,E345)</f>
        <v>#REF!</v>
      </c>
      <c r="H345" s="99"/>
      <c r="I345" s="99"/>
      <c r="J345" s="99"/>
      <c r="K345" s="99"/>
      <c r="L345" s="99"/>
      <c r="M345" s="77" t="s">
        <v>1135</v>
      </c>
    </row>
    <row r="346" spans="1:13" s="103" customFormat="1" ht="10.9" hidden="1" customHeight="1" x14ac:dyDescent="0.25">
      <c r="A346" s="89" t="s">
        <v>1136</v>
      </c>
      <c r="B346" s="98" t="s">
        <v>1137</v>
      </c>
      <c r="C346" s="101" t="s">
        <v>5349</v>
      </c>
      <c r="D346" s="101" t="s">
        <v>1108</v>
      </c>
      <c r="E346" s="73" t="s">
        <v>88</v>
      </c>
      <c r="F346" s="100" t="s">
        <v>98</v>
      </c>
      <c r="G346" s="72" t="e">
        <f>_xlfn.TEXTJOIN(", ",TRUE,B346,#REF!,#REF!,#REF!,D346,E346)</f>
        <v>#REF!</v>
      </c>
      <c r="H346" s="99"/>
      <c r="I346" s="99"/>
      <c r="J346" s="99"/>
      <c r="K346" s="99"/>
      <c r="L346" s="99"/>
      <c r="M346" s="77">
        <v>0</v>
      </c>
    </row>
    <row r="347" spans="1:13" s="103" customFormat="1" ht="10.9" hidden="1" customHeight="1" x14ac:dyDescent="0.25">
      <c r="A347" s="89" t="s">
        <v>1138</v>
      </c>
      <c r="B347" s="98" t="s">
        <v>1139</v>
      </c>
      <c r="C347" s="101" t="s">
        <v>5348</v>
      </c>
      <c r="D347" s="101" t="s">
        <v>1108</v>
      </c>
      <c r="E347" s="73" t="s">
        <v>1140</v>
      </c>
      <c r="F347" s="100" t="s">
        <v>98</v>
      </c>
      <c r="G347" s="72" t="e">
        <f>_xlfn.TEXTJOIN(", ",TRUE,B347,#REF!,#REF!,#REF!,D347,E347)</f>
        <v>#REF!</v>
      </c>
      <c r="H347" s="99">
        <v>45123</v>
      </c>
      <c r="I347" s="99">
        <v>45127</v>
      </c>
      <c r="J347" s="99"/>
      <c r="K347" s="99"/>
      <c r="L347" s="99"/>
      <c r="M347" s="77" t="s">
        <v>88</v>
      </c>
    </row>
    <row r="348" spans="1:13" s="103" customFormat="1" ht="10.9" hidden="1" customHeight="1" x14ac:dyDescent="0.25">
      <c r="A348" s="89" t="s">
        <v>1141</v>
      </c>
      <c r="B348" s="104" t="s">
        <v>1142</v>
      </c>
      <c r="C348" s="101" t="s">
        <v>5348</v>
      </c>
      <c r="D348" s="101" t="s">
        <v>1108</v>
      </c>
      <c r="E348" s="74" t="s">
        <v>1143</v>
      </c>
      <c r="F348" s="100" t="s">
        <v>282</v>
      </c>
      <c r="G348" s="72" t="e">
        <f>_xlfn.TEXTJOIN(", ",TRUE,B348,#REF!,#REF!,#REF!,D348,E348)</f>
        <v>#REF!</v>
      </c>
      <c r="H348" s="99"/>
      <c r="I348" s="99"/>
      <c r="J348" s="99"/>
      <c r="K348" s="99"/>
      <c r="L348" s="99"/>
      <c r="M348" s="77" t="s">
        <v>88</v>
      </c>
    </row>
    <row r="349" spans="1:13" s="103" customFormat="1" ht="10.9" hidden="1" customHeight="1" x14ac:dyDescent="0.25">
      <c r="A349" s="89" t="s">
        <v>1144</v>
      </c>
      <c r="B349" s="98" t="s">
        <v>1145</v>
      </c>
      <c r="C349" s="101" t="s">
        <v>5348</v>
      </c>
      <c r="D349" s="101" t="s">
        <v>1146</v>
      </c>
      <c r="E349" s="74" t="s">
        <v>1147</v>
      </c>
      <c r="F349" s="100"/>
      <c r="G349" s="72" t="e">
        <f>_xlfn.TEXTJOIN(", ",TRUE,B349,#REF!,#REF!,#REF!,D349,E349)</f>
        <v>#REF!</v>
      </c>
      <c r="H349" s="99"/>
      <c r="I349" s="99"/>
      <c r="J349" s="99"/>
      <c r="K349" s="99"/>
      <c r="L349" s="99"/>
      <c r="M349" s="77" t="s">
        <v>88</v>
      </c>
    </row>
    <row r="350" spans="1:13" s="103" customFormat="1" ht="10.9" hidden="1" customHeight="1" x14ac:dyDescent="0.25">
      <c r="A350" s="89" t="s">
        <v>1148</v>
      </c>
      <c r="B350" s="98" t="s">
        <v>1149</v>
      </c>
      <c r="C350" s="101" t="s">
        <v>5348</v>
      </c>
      <c r="D350" s="101" t="s">
        <v>1146</v>
      </c>
      <c r="E350" s="73" t="s">
        <v>1150</v>
      </c>
      <c r="F350" s="100" t="s">
        <v>98</v>
      </c>
      <c r="G350" s="72" t="e">
        <f>_xlfn.TEXTJOIN(", ",TRUE,B350,#REF!,#REF!,#REF!,D350,E350)</f>
        <v>#REF!</v>
      </c>
      <c r="H350" s="99"/>
      <c r="I350" s="99"/>
      <c r="J350" s="99"/>
      <c r="K350" s="99"/>
      <c r="L350" s="99"/>
      <c r="M350" s="77" t="s">
        <v>88</v>
      </c>
    </row>
    <row r="351" spans="1:13" s="103" customFormat="1" ht="10.9" hidden="1" customHeight="1" x14ac:dyDescent="0.25">
      <c r="A351" s="89" t="s">
        <v>1151</v>
      </c>
      <c r="B351" s="102" t="s">
        <v>1152</v>
      </c>
      <c r="C351" s="101" t="s">
        <v>5348</v>
      </c>
      <c r="D351" s="101" t="s">
        <v>1146</v>
      </c>
      <c r="E351" s="73" t="s">
        <v>88</v>
      </c>
      <c r="F351" s="100" t="s">
        <v>239</v>
      </c>
      <c r="G351" s="72" t="e">
        <f>_xlfn.TEXTJOIN(", ",TRUE,B351,#REF!,#REF!,#REF!,D351,E351)</f>
        <v>#REF!</v>
      </c>
      <c r="H351" s="99"/>
      <c r="I351" s="99"/>
      <c r="J351" s="99"/>
      <c r="K351" s="99"/>
      <c r="L351" s="99"/>
      <c r="M351" s="77" t="s">
        <v>88</v>
      </c>
    </row>
    <row r="352" spans="1:13" s="103" customFormat="1" ht="10.9" hidden="1" customHeight="1" x14ac:dyDescent="0.25">
      <c r="A352" s="89" t="s">
        <v>1153</v>
      </c>
      <c r="B352" s="98" t="s">
        <v>1154</v>
      </c>
      <c r="C352" s="101" t="s">
        <v>5348</v>
      </c>
      <c r="D352" s="101" t="s">
        <v>1146</v>
      </c>
      <c r="E352" s="74" t="s">
        <v>1155</v>
      </c>
      <c r="F352" s="100" t="s">
        <v>98</v>
      </c>
      <c r="G352" s="72" t="e">
        <f>_xlfn.TEXTJOIN(", ",TRUE,B352,#REF!,#REF!,#REF!,D352,E352)</f>
        <v>#REF!</v>
      </c>
      <c r="H352" s="99"/>
      <c r="I352" s="99"/>
      <c r="J352" s="99"/>
      <c r="K352" s="99"/>
      <c r="L352" s="99"/>
      <c r="M352" s="77" t="s">
        <v>88</v>
      </c>
    </row>
    <row r="353" spans="1:13" s="103" customFormat="1" ht="10.9" hidden="1" customHeight="1" x14ac:dyDescent="0.25">
      <c r="A353" s="89" t="s">
        <v>1156</v>
      </c>
      <c r="B353" s="98" t="s">
        <v>1157</v>
      </c>
      <c r="C353" s="101" t="s">
        <v>5348</v>
      </c>
      <c r="D353" s="101" t="s">
        <v>1146</v>
      </c>
      <c r="E353" s="74" t="s">
        <v>1158</v>
      </c>
      <c r="F353" s="100" t="s">
        <v>98</v>
      </c>
      <c r="G353" s="72" t="e">
        <f>_xlfn.TEXTJOIN(", ",TRUE,B353,#REF!,#REF!,#REF!,D353,E353)</f>
        <v>#REF!</v>
      </c>
      <c r="H353" s="99"/>
      <c r="I353" s="99"/>
      <c r="J353" s="99"/>
      <c r="K353" s="99"/>
      <c r="L353" s="99"/>
      <c r="M353" s="77" t="s">
        <v>88</v>
      </c>
    </row>
    <row r="354" spans="1:13" s="103" customFormat="1" ht="10.9" hidden="1" customHeight="1" x14ac:dyDescent="0.25">
      <c r="A354" s="89" t="s">
        <v>1159</v>
      </c>
      <c r="B354" s="104" t="s">
        <v>1160</v>
      </c>
      <c r="C354" s="101" t="s">
        <v>5348</v>
      </c>
      <c r="D354" s="101" t="s">
        <v>1146</v>
      </c>
      <c r="E354" s="73" t="s">
        <v>88</v>
      </c>
      <c r="F354" s="100" t="s">
        <v>562</v>
      </c>
      <c r="G354" s="72" t="e">
        <f>_xlfn.TEXTJOIN(", ",TRUE,B354,#REF!,#REF!,#REF!,D354,E354)</f>
        <v>#REF!</v>
      </c>
      <c r="H354" s="99"/>
      <c r="I354" s="99"/>
      <c r="J354" s="99"/>
      <c r="K354" s="99"/>
      <c r="L354" s="99"/>
      <c r="M354" s="77" t="s">
        <v>88</v>
      </c>
    </row>
    <row r="355" spans="1:13" s="103" customFormat="1" ht="10.9" hidden="1" customHeight="1" x14ac:dyDescent="0.25">
      <c r="A355" s="89" t="s">
        <v>1161</v>
      </c>
      <c r="B355" s="104" t="s">
        <v>1162</v>
      </c>
      <c r="C355" s="101" t="s">
        <v>5348</v>
      </c>
      <c r="D355" s="101" t="s">
        <v>1146</v>
      </c>
      <c r="E355" s="73" t="s">
        <v>88</v>
      </c>
      <c r="F355" s="100" t="s">
        <v>98</v>
      </c>
      <c r="G355" s="72" t="e">
        <f>_xlfn.TEXTJOIN(", ",TRUE,B355,#REF!,#REF!,#REF!,D355,E355)</f>
        <v>#REF!</v>
      </c>
      <c r="H355" s="99"/>
      <c r="I355" s="99"/>
      <c r="J355" s="99"/>
      <c r="K355" s="99"/>
      <c r="L355" s="99"/>
      <c r="M355" s="77" t="s">
        <v>88</v>
      </c>
    </row>
    <row r="356" spans="1:13" s="103" customFormat="1" ht="10.9" hidden="1" customHeight="1" x14ac:dyDescent="0.25">
      <c r="A356" s="89" t="s">
        <v>543</v>
      </c>
      <c r="B356" s="104" t="s">
        <v>1163</v>
      </c>
      <c r="C356" s="101" t="s">
        <v>5348</v>
      </c>
      <c r="D356" s="101" t="s">
        <v>1146</v>
      </c>
      <c r="E356" s="73" t="s">
        <v>1146</v>
      </c>
      <c r="F356" s="100" t="s">
        <v>98</v>
      </c>
      <c r="G356" s="72" t="e">
        <f>_xlfn.TEXTJOIN(", ",TRUE,B356,#REF!,#REF!,#REF!,D356,E356)</f>
        <v>#REF!</v>
      </c>
      <c r="H356" s="99"/>
      <c r="I356" s="99"/>
      <c r="J356" s="99"/>
      <c r="K356" s="99"/>
      <c r="L356" s="99"/>
      <c r="M356" s="77" t="s">
        <v>88</v>
      </c>
    </row>
    <row r="357" spans="1:13" s="103" customFormat="1" ht="10.9" hidden="1" customHeight="1" x14ac:dyDescent="0.25">
      <c r="A357" s="89" t="s">
        <v>1164</v>
      </c>
      <c r="B357" s="102" t="s">
        <v>1165</v>
      </c>
      <c r="C357" s="101" t="s">
        <v>5348</v>
      </c>
      <c r="D357" s="101" t="s">
        <v>1146</v>
      </c>
      <c r="E357" s="73" t="s">
        <v>1146</v>
      </c>
      <c r="F357" s="100" t="s">
        <v>81</v>
      </c>
      <c r="G357" s="72" t="e">
        <f>_xlfn.TEXTJOIN(", ",TRUE,B357,#REF!,#REF!,#REF!,D357,E357)</f>
        <v>#REF!</v>
      </c>
      <c r="H357" s="99">
        <v>45443</v>
      </c>
      <c r="I357" s="99"/>
      <c r="J357" s="99"/>
      <c r="K357" s="99"/>
      <c r="L357" s="99"/>
      <c r="M357" s="77" t="s">
        <v>88</v>
      </c>
    </row>
    <row r="358" spans="1:13" s="103" customFormat="1" ht="10.9" hidden="1" customHeight="1" x14ac:dyDescent="0.25">
      <c r="A358" s="89" t="s">
        <v>1166</v>
      </c>
      <c r="B358" s="104" t="s">
        <v>1167</v>
      </c>
      <c r="C358" s="101" t="s">
        <v>5348</v>
      </c>
      <c r="D358" s="101" t="s">
        <v>1146</v>
      </c>
      <c r="E358" s="74" t="s">
        <v>1168</v>
      </c>
      <c r="F358" s="100" t="s">
        <v>98</v>
      </c>
      <c r="G358" s="72" t="e">
        <f>_xlfn.TEXTJOIN(", ",TRUE,B358,#REF!,#REF!,#REF!,D358,E358)</f>
        <v>#REF!</v>
      </c>
      <c r="H358" s="99"/>
      <c r="I358" s="99"/>
      <c r="J358" s="99"/>
      <c r="K358" s="99"/>
      <c r="L358" s="99"/>
      <c r="M358" s="77" t="s">
        <v>88</v>
      </c>
    </row>
    <row r="359" spans="1:13" s="103" customFormat="1" ht="10.9" hidden="1" customHeight="1" x14ac:dyDescent="0.25">
      <c r="A359" s="89" t="s">
        <v>1169</v>
      </c>
      <c r="B359" s="104" t="s">
        <v>1170</v>
      </c>
      <c r="C359" s="101" t="s">
        <v>5348</v>
      </c>
      <c r="D359" s="101" t="s">
        <v>1146</v>
      </c>
      <c r="E359" s="73" t="s">
        <v>88</v>
      </c>
      <c r="F359" s="100" t="s">
        <v>98</v>
      </c>
      <c r="G359" s="72" t="e">
        <f>_xlfn.TEXTJOIN(", ",TRUE,B359,#REF!,#REF!,#REF!,D359,E359)</f>
        <v>#REF!</v>
      </c>
      <c r="H359" s="99"/>
      <c r="I359" s="99"/>
      <c r="J359" s="99"/>
      <c r="K359" s="99"/>
      <c r="L359" s="99"/>
      <c r="M359" s="77" t="s">
        <v>1171</v>
      </c>
    </row>
    <row r="360" spans="1:13" s="103" customFormat="1" ht="10.9" hidden="1" customHeight="1" x14ac:dyDescent="0.25">
      <c r="A360" s="89" t="s">
        <v>1172</v>
      </c>
      <c r="B360" s="104" t="s">
        <v>1173</v>
      </c>
      <c r="C360" s="101" t="s">
        <v>5348</v>
      </c>
      <c r="D360" s="101" t="s">
        <v>1146</v>
      </c>
      <c r="E360" s="73" t="s">
        <v>88</v>
      </c>
      <c r="F360" s="100" t="s">
        <v>98</v>
      </c>
      <c r="G360" s="72" t="e">
        <f>_xlfn.TEXTJOIN(", ",TRUE,B360,#REF!,#REF!,#REF!,D360,E360)</f>
        <v>#REF!</v>
      </c>
      <c r="H360" s="99"/>
      <c r="I360" s="99"/>
      <c r="J360" s="99"/>
      <c r="K360" s="99"/>
      <c r="L360" s="99"/>
      <c r="M360" s="77" t="s">
        <v>88</v>
      </c>
    </row>
    <row r="361" spans="1:13" s="103" customFormat="1" ht="10.9" hidden="1" customHeight="1" x14ac:dyDescent="0.25">
      <c r="A361" s="89" t="s">
        <v>1174</v>
      </c>
      <c r="B361" s="98" t="s">
        <v>1175</v>
      </c>
      <c r="C361" s="101" t="s">
        <v>5349</v>
      </c>
      <c r="D361" s="101" t="s">
        <v>1146</v>
      </c>
      <c r="E361" s="73" t="s">
        <v>88</v>
      </c>
      <c r="F361" s="100" t="s">
        <v>98</v>
      </c>
      <c r="G361" s="72" t="e">
        <f>_xlfn.TEXTJOIN(", ",TRUE,B361,#REF!,#REF!,#REF!,D361,E361)</f>
        <v>#REF!</v>
      </c>
      <c r="H361" s="99"/>
      <c r="I361" s="99"/>
      <c r="J361" s="99"/>
      <c r="K361" s="99"/>
      <c r="L361" s="99"/>
      <c r="M361" s="77" t="s">
        <v>88</v>
      </c>
    </row>
    <row r="362" spans="1:13" s="103" customFormat="1" ht="10.9" hidden="1" customHeight="1" x14ac:dyDescent="0.25">
      <c r="A362" s="89" t="s">
        <v>1176</v>
      </c>
      <c r="B362" s="98" t="s">
        <v>1177</v>
      </c>
      <c r="C362" s="101" t="s">
        <v>5349</v>
      </c>
      <c r="D362" s="101" t="s">
        <v>1146</v>
      </c>
      <c r="E362" s="73" t="s">
        <v>1146</v>
      </c>
      <c r="F362" s="100" t="s">
        <v>81</v>
      </c>
      <c r="G362" s="72" t="e">
        <f>_xlfn.TEXTJOIN(", ",TRUE,B362,#REF!,#REF!,#REF!,D362,E362)</f>
        <v>#REF!</v>
      </c>
      <c r="H362" s="99"/>
      <c r="I362" s="99"/>
      <c r="J362" s="99"/>
      <c r="K362" s="99"/>
      <c r="L362" s="99"/>
      <c r="M362" s="77" t="s">
        <v>88</v>
      </c>
    </row>
    <row r="363" spans="1:13" s="103" customFormat="1" ht="10.9" hidden="1" customHeight="1" x14ac:dyDescent="0.25">
      <c r="A363" s="89" t="s">
        <v>1178</v>
      </c>
      <c r="B363" s="104" t="s">
        <v>1179</v>
      </c>
      <c r="C363" s="101" t="s">
        <v>5348</v>
      </c>
      <c r="D363" s="101" t="s">
        <v>1146</v>
      </c>
      <c r="E363" s="74" t="s">
        <v>1180</v>
      </c>
      <c r="F363" s="100" t="s">
        <v>98</v>
      </c>
      <c r="G363" s="72" t="e">
        <f>_xlfn.TEXTJOIN(", ",TRUE,B363,#REF!,#REF!,#REF!,D363,E363)</f>
        <v>#REF!</v>
      </c>
      <c r="H363" s="99"/>
      <c r="I363" s="99"/>
      <c r="J363" s="99"/>
      <c r="K363" s="99"/>
      <c r="L363" s="99"/>
      <c r="M363" s="77" t="s">
        <v>1181</v>
      </c>
    </row>
    <row r="364" spans="1:13" s="103" customFormat="1" ht="10.9" hidden="1" customHeight="1" x14ac:dyDescent="0.25">
      <c r="A364" s="89" t="s">
        <v>543</v>
      </c>
      <c r="B364" s="104" t="s">
        <v>1182</v>
      </c>
      <c r="C364" s="101" t="s">
        <v>5348</v>
      </c>
      <c r="D364" s="101" t="s">
        <v>1146</v>
      </c>
      <c r="E364" s="73" t="s">
        <v>1146</v>
      </c>
      <c r="F364" s="100" t="s">
        <v>98</v>
      </c>
      <c r="G364" s="72" t="e">
        <f>_xlfn.TEXTJOIN(", ",TRUE,B364,#REF!,#REF!,#REF!,D364,E364)</f>
        <v>#REF!</v>
      </c>
      <c r="H364" s="99"/>
      <c r="I364" s="99"/>
      <c r="J364" s="99"/>
      <c r="K364" s="99"/>
      <c r="L364" s="99"/>
      <c r="M364" s="77" t="s">
        <v>1183</v>
      </c>
    </row>
    <row r="365" spans="1:13" s="103" customFormat="1" ht="10.9" hidden="1" customHeight="1" x14ac:dyDescent="0.25">
      <c r="A365" s="89" t="s">
        <v>1184</v>
      </c>
      <c r="B365" s="102" t="s">
        <v>1185</v>
      </c>
      <c r="C365" s="101" t="s">
        <v>5348</v>
      </c>
      <c r="D365" s="101" t="s">
        <v>1186</v>
      </c>
      <c r="E365" s="73" t="s">
        <v>1186</v>
      </c>
      <c r="F365" s="100" t="s">
        <v>81</v>
      </c>
      <c r="G365" s="72" t="e">
        <f>_xlfn.TEXTJOIN(", ",TRUE,B365,#REF!,#REF!,#REF!,D365,E365)</f>
        <v>#REF!</v>
      </c>
      <c r="H365" s="99">
        <v>45645</v>
      </c>
      <c r="I365" s="99"/>
      <c r="J365" s="99"/>
      <c r="K365" s="99"/>
      <c r="L365" s="99">
        <v>45431</v>
      </c>
      <c r="M365" s="77">
        <v>0</v>
      </c>
    </row>
    <row r="366" spans="1:13" s="103" customFormat="1" ht="10.9" hidden="1" customHeight="1" x14ac:dyDescent="0.25">
      <c r="A366" s="89" t="s">
        <v>1187</v>
      </c>
      <c r="B366" s="98" t="s">
        <v>1188</v>
      </c>
      <c r="C366" s="101" t="s">
        <v>5348</v>
      </c>
      <c r="D366" s="101" t="s">
        <v>1189</v>
      </c>
      <c r="E366" s="74" t="s">
        <v>1190</v>
      </c>
      <c r="F366" s="100" t="s">
        <v>81</v>
      </c>
      <c r="G366" s="72" t="e">
        <f>_xlfn.TEXTJOIN(", ",TRUE,B366,#REF!,#REF!,#REF!,D366,E366)</f>
        <v>#REF!</v>
      </c>
      <c r="H366" s="99">
        <v>45419</v>
      </c>
      <c r="I366" s="99"/>
      <c r="J366" s="99"/>
      <c r="K366" s="99">
        <v>45427</v>
      </c>
      <c r="L366" s="99"/>
      <c r="M366" s="77">
        <v>0</v>
      </c>
    </row>
    <row r="367" spans="1:13" s="103" customFormat="1" ht="10.9" hidden="1" customHeight="1" x14ac:dyDescent="0.25">
      <c r="A367" s="89" t="s">
        <v>1191</v>
      </c>
      <c r="B367" s="104" t="s">
        <v>1192</v>
      </c>
      <c r="C367" s="101" t="s">
        <v>5348</v>
      </c>
      <c r="D367" s="101" t="s">
        <v>1189</v>
      </c>
      <c r="E367" s="74" t="s">
        <v>1193</v>
      </c>
      <c r="F367" s="100" t="s">
        <v>98</v>
      </c>
      <c r="G367" s="72" t="e">
        <f>_xlfn.TEXTJOIN(", ",TRUE,B367,#REF!,#REF!,#REF!,D367,E367)</f>
        <v>#REF!</v>
      </c>
      <c r="H367" s="99"/>
      <c r="I367" s="99"/>
      <c r="J367" s="99"/>
      <c r="K367" s="99"/>
      <c r="L367" s="99"/>
      <c r="M367" s="77" t="s">
        <v>1194</v>
      </c>
    </row>
    <row r="368" spans="1:13" s="103" customFormat="1" ht="10.9" hidden="1" customHeight="1" x14ac:dyDescent="0.25">
      <c r="A368" s="89" t="s">
        <v>1195</v>
      </c>
      <c r="B368" s="104" t="s">
        <v>1196</v>
      </c>
      <c r="C368" s="101" t="s">
        <v>5348</v>
      </c>
      <c r="D368" s="101" t="s">
        <v>1189</v>
      </c>
      <c r="E368" s="74" t="s">
        <v>1197</v>
      </c>
      <c r="F368" s="100" t="s">
        <v>98</v>
      </c>
      <c r="G368" s="72" t="e">
        <f>_xlfn.TEXTJOIN(", ",TRUE,B368,#REF!,#REF!,#REF!,D368,E368)</f>
        <v>#REF!</v>
      </c>
      <c r="H368" s="99"/>
      <c r="I368" s="99"/>
      <c r="J368" s="99"/>
      <c r="K368" s="99"/>
      <c r="L368" s="99"/>
      <c r="M368" s="77" t="s">
        <v>88</v>
      </c>
    </row>
    <row r="369" spans="1:13" s="103" customFormat="1" ht="10.9" hidden="1" customHeight="1" x14ac:dyDescent="0.25">
      <c r="A369" s="89" t="s">
        <v>1198</v>
      </c>
      <c r="B369" s="102" t="s">
        <v>1199</v>
      </c>
      <c r="C369" s="101" t="s">
        <v>5348</v>
      </c>
      <c r="D369" s="101" t="s">
        <v>1189</v>
      </c>
      <c r="E369" s="74" t="s">
        <v>1200</v>
      </c>
      <c r="F369" s="100" t="s">
        <v>1201</v>
      </c>
      <c r="G369" s="72" t="e">
        <f>_xlfn.TEXTJOIN(", ",TRUE,B369,#REF!,#REF!,#REF!,D369,E369)</f>
        <v>#REF!</v>
      </c>
      <c r="H369" s="99">
        <v>45365</v>
      </c>
      <c r="I369" s="99">
        <v>44850</v>
      </c>
      <c r="J369" s="99"/>
      <c r="K369" s="99">
        <v>45365</v>
      </c>
      <c r="L369" s="99">
        <v>45331</v>
      </c>
      <c r="M369" s="77" t="s">
        <v>88</v>
      </c>
    </row>
    <row r="370" spans="1:13" s="103" customFormat="1" ht="10.9" hidden="1" customHeight="1" x14ac:dyDescent="0.25">
      <c r="A370" s="89" t="s">
        <v>1202</v>
      </c>
      <c r="B370" s="102" t="s">
        <v>1203</v>
      </c>
      <c r="C370" s="101" t="s">
        <v>5348</v>
      </c>
      <c r="D370" s="101" t="s">
        <v>1189</v>
      </c>
      <c r="E370" s="74" t="s">
        <v>1204</v>
      </c>
      <c r="F370" s="100" t="s">
        <v>81</v>
      </c>
      <c r="G370" s="72" t="e">
        <f>_xlfn.TEXTJOIN(", ",TRUE,B370,#REF!,#REF!,#REF!,D370,E370)</f>
        <v>#REF!</v>
      </c>
      <c r="H370" s="99">
        <v>45011</v>
      </c>
      <c r="I370" s="99"/>
      <c r="J370" s="99"/>
      <c r="K370" s="99"/>
      <c r="L370" s="99"/>
      <c r="M370" s="77" t="s">
        <v>159</v>
      </c>
    </row>
    <row r="371" spans="1:13" s="103" customFormat="1" ht="10.9" hidden="1" customHeight="1" x14ac:dyDescent="0.25">
      <c r="A371" s="89" t="s">
        <v>1205</v>
      </c>
      <c r="B371" s="105" t="s">
        <v>1206</v>
      </c>
      <c r="C371" s="101" t="s">
        <v>5349</v>
      </c>
      <c r="D371" s="101" t="s">
        <v>1189</v>
      </c>
      <c r="E371" s="74" t="s">
        <v>1207</v>
      </c>
      <c r="F371" s="100" t="s">
        <v>187</v>
      </c>
      <c r="G371" s="72" t="e">
        <f>_xlfn.TEXTJOIN(", ",TRUE,B371,#REF!,#REF!,#REF!,D371,E371)</f>
        <v>#REF!</v>
      </c>
      <c r="H371" s="99"/>
      <c r="I371" s="99"/>
      <c r="J371" s="99"/>
      <c r="K371" s="99"/>
      <c r="L371" s="99"/>
      <c r="M371" s="77">
        <v>0</v>
      </c>
    </row>
    <row r="372" spans="1:13" s="103" customFormat="1" ht="10.9" hidden="1" customHeight="1" x14ac:dyDescent="0.25">
      <c r="A372" s="89" t="s">
        <v>1208</v>
      </c>
      <c r="B372" s="98" t="s">
        <v>1209</v>
      </c>
      <c r="C372" s="101" t="s">
        <v>5349</v>
      </c>
      <c r="D372" s="101" t="s">
        <v>1210</v>
      </c>
      <c r="E372" s="73" t="s">
        <v>1210</v>
      </c>
      <c r="F372" s="100" t="s">
        <v>81</v>
      </c>
      <c r="G372" s="72" t="e">
        <f>_xlfn.TEXTJOIN(", ",TRUE,B372,#REF!,#REF!,#REF!,D372,E372)</f>
        <v>#REF!</v>
      </c>
      <c r="H372" s="99"/>
      <c r="I372" s="99"/>
      <c r="J372" s="99"/>
      <c r="K372" s="99"/>
      <c r="L372" s="99"/>
      <c r="M372" s="77" t="s">
        <v>1211</v>
      </c>
    </row>
    <row r="373" spans="1:13" s="103" customFormat="1" ht="10.9" hidden="1" customHeight="1" x14ac:dyDescent="0.25">
      <c r="A373" s="89" t="s">
        <v>1212</v>
      </c>
      <c r="B373" s="98" t="s">
        <v>1213</v>
      </c>
      <c r="C373" s="101" t="s">
        <v>5349</v>
      </c>
      <c r="D373" s="101" t="s">
        <v>1214</v>
      </c>
      <c r="E373" s="73" t="s">
        <v>1215</v>
      </c>
      <c r="F373" s="100" t="s">
        <v>81</v>
      </c>
      <c r="G373" s="72" t="e">
        <f>_xlfn.TEXTJOIN(", ",TRUE,B373,#REF!,#REF!,#REF!,D373,E373)</f>
        <v>#REF!</v>
      </c>
      <c r="H373" s="99" t="s">
        <v>88</v>
      </c>
      <c r="I373" s="99" t="s">
        <v>88</v>
      </c>
      <c r="J373" s="99" t="s">
        <v>88</v>
      </c>
      <c r="K373" s="99" t="s">
        <v>88</v>
      </c>
      <c r="L373" s="99" t="s">
        <v>88</v>
      </c>
      <c r="M373" s="77" t="s">
        <v>1216</v>
      </c>
    </row>
    <row r="374" spans="1:13" s="103" customFormat="1" ht="10.9" hidden="1" customHeight="1" x14ac:dyDescent="0.25">
      <c r="A374" s="89" t="s">
        <v>1217</v>
      </c>
      <c r="B374" s="98" t="s">
        <v>1218</v>
      </c>
      <c r="C374" s="101" t="s">
        <v>5348</v>
      </c>
      <c r="D374" s="101" t="s">
        <v>1214</v>
      </c>
      <c r="E374" s="73" t="s">
        <v>1219</v>
      </c>
      <c r="F374" s="100" t="s">
        <v>81</v>
      </c>
      <c r="G374" s="72" t="e">
        <f>_xlfn.TEXTJOIN(", ",TRUE,B374,#REF!,#REF!,#REF!,D374,E374)</f>
        <v>#REF!</v>
      </c>
      <c r="H374" s="99">
        <v>45009</v>
      </c>
      <c r="I374" s="99"/>
      <c r="J374" s="99"/>
      <c r="K374" s="99"/>
      <c r="L374" s="99"/>
      <c r="M374" s="77" t="s">
        <v>1220</v>
      </c>
    </row>
    <row r="375" spans="1:13" s="103" customFormat="1" ht="10.9" hidden="1" customHeight="1" x14ac:dyDescent="0.25">
      <c r="A375" s="89" t="s">
        <v>1221</v>
      </c>
      <c r="B375" s="98" t="s">
        <v>1222</v>
      </c>
      <c r="C375" s="101" t="s">
        <v>5349</v>
      </c>
      <c r="D375" s="101" t="s">
        <v>1214</v>
      </c>
      <c r="E375" s="73" t="s">
        <v>1223</v>
      </c>
      <c r="F375" s="100" t="s">
        <v>81</v>
      </c>
      <c r="G375" s="72" t="e">
        <f>_xlfn.TEXTJOIN(", ",TRUE,B375,#REF!,#REF!,#REF!,D375,E375)</f>
        <v>#REF!</v>
      </c>
      <c r="H375" s="99">
        <v>45449</v>
      </c>
      <c r="I375" s="99"/>
      <c r="J375" s="99"/>
      <c r="K375" s="99"/>
      <c r="L375" s="99"/>
      <c r="M375" s="77">
        <v>0</v>
      </c>
    </row>
    <row r="376" spans="1:13" s="103" customFormat="1" ht="10.9" hidden="1" customHeight="1" x14ac:dyDescent="0.25">
      <c r="A376" s="89" t="s">
        <v>1224</v>
      </c>
      <c r="B376" s="98" t="s">
        <v>1225</v>
      </c>
      <c r="C376" s="101" t="s">
        <v>5349</v>
      </c>
      <c r="D376" s="101" t="s">
        <v>1214</v>
      </c>
      <c r="E376" s="73" t="s">
        <v>1214</v>
      </c>
      <c r="F376" s="100" t="s">
        <v>98</v>
      </c>
      <c r="G376" s="72" t="e">
        <f>_xlfn.TEXTJOIN(", ",TRUE,B376,#REF!,#REF!,#REF!,D376,E376)</f>
        <v>#REF!</v>
      </c>
      <c r="H376" s="99">
        <v>45527</v>
      </c>
      <c r="I376" s="99"/>
      <c r="J376" s="99"/>
      <c r="K376" s="99"/>
      <c r="L376" s="99"/>
      <c r="M376" s="77" t="s">
        <v>1226</v>
      </c>
    </row>
    <row r="377" spans="1:13" s="103" customFormat="1" ht="10.9" hidden="1" customHeight="1" x14ac:dyDescent="0.25">
      <c r="A377" s="89" t="s">
        <v>1227</v>
      </c>
      <c r="B377" s="98" t="s">
        <v>1228</v>
      </c>
      <c r="C377" s="101" t="s">
        <v>5349</v>
      </c>
      <c r="D377" s="101" t="s">
        <v>1214</v>
      </c>
      <c r="E377" s="73" t="s">
        <v>1214</v>
      </c>
      <c r="F377" s="100" t="s">
        <v>81</v>
      </c>
      <c r="G377" s="72" t="e">
        <f>_xlfn.TEXTJOIN(", ",TRUE,B377,#REF!,#REF!,#REF!,D377,E377)</f>
        <v>#REF!</v>
      </c>
      <c r="H377" s="99"/>
      <c r="I377" s="99"/>
      <c r="J377" s="99"/>
      <c r="K377" s="99"/>
      <c r="L377" s="99"/>
      <c r="M377" s="77" t="s">
        <v>1229</v>
      </c>
    </row>
    <row r="378" spans="1:13" s="103" customFormat="1" ht="10.9" hidden="1" customHeight="1" x14ac:dyDescent="0.25">
      <c r="A378" s="89" t="s">
        <v>1230</v>
      </c>
      <c r="B378" s="102" t="s">
        <v>1231</v>
      </c>
      <c r="C378" s="101" t="s">
        <v>5349</v>
      </c>
      <c r="D378" s="101" t="s">
        <v>1214</v>
      </c>
      <c r="E378" s="73" t="s">
        <v>1214</v>
      </c>
      <c r="F378" s="100" t="s">
        <v>98</v>
      </c>
      <c r="G378" s="72" t="e">
        <f>_xlfn.TEXTJOIN(", ",TRUE,B378,#REF!,#REF!,#REF!,D378,E378)</f>
        <v>#REF!</v>
      </c>
      <c r="H378" s="99"/>
      <c r="I378" s="99"/>
      <c r="J378" s="99"/>
      <c r="K378" s="99"/>
      <c r="L378" s="99"/>
      <c r="M378" s="77" t="s">
        <v>1232</v>
      </c>
    </row>
    <row r="379" spans="1:13" s="103" customFormat="1" ht="10.9" hidden="1" customHeight="1" x14ac:dyDescent="0.25">
      <c r="A379" s="89" t="s">
        <v>1233</v>
      </c>
      <c r="B379" s="98" t="s">
        <v>1234</v>
      </c>
      <c r="C379" s="101" t="s">
        <v>5349</v>
      </c>
      <c r="D379" s="101" t="s">
        <v>1214</v>
      </c>
      <c r="E379" s="73" t="s">
        <v>1235</v>
      </c>
      <c r="F379" s="100" t="s">
        <v>81</v>
      </c>
      <c r="G379" s="72" t="e">
        <f>_xlfn.TEXTJOIN(", ",TRUE,B379,#REF!,#REF!,#REF!,D379,E379)</f>
        <v>#REF!</v>
      </c>
      <c r="H379" s="99"/>
      <c r="I379" s="99"/>
      <c r="J379" s="99"/>
      <c r="K379" s="99"/>
      <c r="L379" s="99"/>
      <c r="M379" s="77" t="s">
        <v>1236</v>
      </c>
    </row>
    <row r="380" spans="1:13" s="103" customFormat="1" ht="10.9" hidden="1" customHeight="1" x14ac:dyDescent="0.25">
      <c r="A380" s="89" t="s">
        <v>1237</v>
      </c>
      <c r="B380" s="98" t="s">
        <v>1238</v>
      </c>
      <c r="C380" s="101" t="s">
        <v>5348</v>
      </c>
      <c r="D380" s="101" t="s">
        <v>1214</v>
      </c>
      <c r="E380" s="73" t="s">
        <v>1239</v>
      </c>
      <c r="F380" s="100" t="s">
        <v>81</v>
      </c>
      <c r="G380" s="72" t="e">
        <f>_xlfn.TEXTJOIN(", ",TRUE,B380,#REF!,#REF!,#REF!,D380,E380)</f>
        <v>#REF!</v>
      </c>
      <c r="H380" s="99"/>
      <c r="I380" s="99"/>
      <c r="J380" s="99"/>
      <c r="K380" s="99"/>
      <c r="L380" s="99"/>
      <c r="M380" s="77">
        <v>0</v>
      </c>
    </row>
    <row r="381" spans="1:13" s="103" customFormat="1" ht="10.9" hidden="1" customHeight="1" x14ac:dyDescent="0.25">
      <c r="A381" s="89" t="s">
        <v>1240</v>
      </c>
      <c r="B381" s="102" t="s">
        <v>1241</v>
      </c>
      <c r="C381" s="101" t="s">
        <v>5348</v>
      </c>
      <c r="D381" s="101" t="s">
        <v>1214</v>
      </c>
      <c r="E381" s="73" t="s">
        <v>1214</v>
      </c>
      <c r="F381" s="100" t="s">
        <v>81</v>
      </c>
      <c r="G381" s="72" t="e">
        <f>_xlfn.TEXTJOIN(", ",TRUE,B381,#REF!,#REF!,#REF!,D381,E381)</f>
        <v>#REF!</v>
      </c>
      <c r="H381" s="99"/>
      <c r="I381" s="99"/>
      <c r="J381" s="99"/>
      <c r="K381" s="99"/>
      <c r="L381" s="99"/>
      <c r="M381" s="77" t="s">
        <v>1242</v>
      </c>
    </row>
    <row r="382" spans="1:13" s="103" customFormat="1" ht="10.9" hidden="1" customHeight="1" x14ac:dyDescent="0.25">
      <c r="A382" s="89" t="s">
        <v>1243</v>
      </c>
      <c r="B382" s="98" t="s">
        <v>1244</v>
      </c>
      <c r="C382" s="101" t="s">
        <v>5349</v>
      </c>
      <c r="D382" s="101" t="s">
        <v>1245</v>
      </c>
      <c r="E382" s="73" t="s">
        <v>1245</v>
      </c>
      <c r="F382" s="100" t="s">
        <v>81</v>
      </c>
      <c r="G382" s="72" t="e">
        <f>_xlfn.TEXTJOIN(", ",TRUE,B382,#REF!,#REF!,#REF!,D382,E382)</f>
        <v>#REF!</v>
      </c>
      <c r="H382" s="99">
        <v>44713</v>
      </c>
      <c r="I382" s="99"/>
      <c r="J382" s="99"/>
      <c r="K382" s="99"/>
      <c r="L382" s="99"/>
      <c r="M382" s="77" t="s">
        <v>88</v>
      </c>
    </row>
    <row r="383" spans="1:13" s="103" customFormat="1" ht="10.9" hidden="1" customHeight="1" x14ac:dyDescent="0.25">
      <c r="A383" s="89" t="s">
        <v>1246</v>
      </c>
      <c r="B383" s="104" t="s">
        <v>1247</v>
      </c>
      <c r="C383" s="101" t="s">
        <v>5349</v>
      </c>
      <c r="D383" s="101" t="s">
        <v>1248</v>
      </c>
      <c r="E383" s="74" t="s">
        <v>1249</v>
      </c>
      <c r="F383" s="100" t="s">
        <v>98</v>
      </c>
      <c r="G383" s="72" t="e">
        <f>_xlfn.TEXTJOIN(", ",TRUE,B383,#REF!,#REF!,#REF!,D383,E383)</f>
        <v>#REF!</v>
      </c>
      <c r="H383" s="99"/>
      <c r="I383" s="99"/>
      <c r="J383" s="99"/>
      <c r="K383" s="99"/>
      <c r="L383" s="99"/>
      <c r="M383" s="77" t="s">
        <v>88</v>
      </c>
    </row>
    <row r="384" spans="1:13" s="103" customFormat="1" ht="10.9" hidden="1" customHeight="1" x14ac:dyDescent="0.25">
      <c r="A384" s="89" t="s">
        <v>1250</v>
      </c>
      <c r="B384" s="98" t="s">
        <v>1251</v>
      </c>
      <c r="C384" s="101" t="s">
        <v>5348</v>
      </c>
      <c r="D384" s="101" t="s">
        <v>1252</v>
      </c>
      <c r="E384" s="73" t="s">
        <v>88</v>
      </c>
      <c r="F384" s="100" t="s">
        <v>98</v>
      </c>
      <c r="G384" s="72" t="e">
        <f>_xlfn.TEXTJOIN(", ",TRUE,B384,#REF!,#REF!,#REF!,D384,E384)</f>
        <v>#REF!</v>
      </c>
      <c r="H384" s="99"/>
      <c r="I384" s="99"/>
      <c r="J384" s="99"/>
      <c r="K384" s="99"/>
      <c r="L384" s="99"/>
      <c r="M384" s="77">
        <v>0</v>
      </c>
    </row>
    <row r="385" spans="1:13" s="103" customFormat="1" ht="10.9" hidden="1" customHeight="1" x14ac:dyDescent="0.25">
      <c r="A385" s="89" t="s">
        <v>1253</v>
      </c>
      <c r="B385" s="98" t="s">
        <v>1254</v>
      </c>
      <c r="C385" s="101" t="s">
        <v>5349</v>
      </c>
      <c r="D385" s="101" t="s">
        <v>1252</v>
      </c>
      <c r="E385" s="73" t="s">
        <v>1252</v>
      </c>
      <c r="F385" s="100" t="s">
        <v>81</v>
      </c>
      <c r="G385" s="72" t="e">
        <f>_xlfn.TEXTJOIN(", ",TRUE,B385,#REF!,#REF!,#REF!,D385,E385)</f>
        <v>#REF!</v>
      </c>
      <c r="H385" s="99"/>
      <c r="I385" s="99"/>
      <c r="J385" s="99"/>
      <c r="K385" s="99"/>
      <c r="L385" s="99"/>
      <c r="M385" s="77" t="s">
        <v>1255</v>
      </c>
    </row>
    <row r="386" spans="1:13" s="103" customFormat="1" ht="10.9" hidden="1" customHeight="1" x14ac:dyDescent="0.25">
      <c r="A386" s="89" t="s">
        <v>1256</v>
      </c>
      <c r="B386" s="98" t="s">
        <v>1257</v>
      </c>
      <c r="C386" s="101" t="s">
        <v>5349</v>
      </c>
      <c r="D386" s="101" t="s">
        <v>1258</v>
      </c>
      <c r="E386" s="73" t="s">
        <v>1259</v>
      </c>
      <c r="F386" s="100" t="s">
        <v>81</v>
      </c>
      <c r="G386" s="72" t="e">
        <f>_xlfn.TEXTJOIN(", ",TRUE,B386,#REF!,#REF!,#REF!,D386,E386)</f>
        <v>#REF!</v>
      </c>
      <c r="H386" s="99">
        <v>45358</v>
      </c>
      <c r="I386" s="99"/>
      <c r="J386" s="99"/>
      <c r="K386" s="99"/>
      <c r="L386" s="99"/>
      <c r="M386" s="77" t="s">
        <v>1255</v>
      </c>
    </row>
    <row r="387" spans="1:13" s="103" customFormat="1" ht="10.9" hidden="1" customHeight="1" x14ac:dyDescent="0.25">
      <c r="A387" s="89" t="s">
        <v>1256</v>
      </c>
      <c r="B387" s="98" t="s">
        <v>1260</v>
      </c>
      <c r="C387" s="101" t="s">
        <v>5349</v>
      </c>
      <c r="D387" s="101" t="s">
        <v>1258</v>
      </c>
      <c r="E387" s="73" t="s">
        <v>1259</v>
      </c>
      <c r="F387" s="100" t="s">
        <v>98</v>
      </c>
      <c r="G387" s="72" t="e">
        <f>_xlfn.TEXTJOIN(", ",TRUE,B387,#REF!,#REF!,#REF!,D387,E387)</f>
        <v>#REF!</v>
      </c>
      <c r="H387" s="99">
        <v>45358</v>
      </c>
      <c r="I387" s="99"/>
      <c r="J387" s="99"/>
      <c r="K387" s="99"/>
      <c r="L387" s="99"/>
      <c r="M387" s="77" t="s">
        <v>1255</v>
      </c>
    </row>
    <row r="388" spans="1:13" s="103" customFormat="1" ht="10.9" hidden="1" customHeight="1" x14ac:dyDescent="0.25">
      <c r="A388" s="89" t="s">
        <v>1256</v>
      </c>
      <c r="B388" s="98" t="s">
        <v>1261</v>
      </c>
      <c r="C388" s="101" t="s">
        <v>5349</v>
      </c>
      <c r="D388" s="101" t="s">
        <v>1258</v>
      </c>
      <c r="E388" s="73" t="s">
        <v>1259</v>
      </c>
      <c r="F388" s="100" t="s">
        <v>282</v>
      </c>
      <c r="G388" s="72" t="e">
        <f>_xlfn.TEXTJOIN(", ",TRUE,B388,#REF!,#REF!,#REF!,D388,E388)</f>
        <v>#REF!</v>
      </c>
      <c r="H388" s="99">
        <v>45358</v>
      </c>
      <c r="I388" s="99"/>
      <c r="J388" s="99"/>
      <c r="K388" s="99"/>
      <c r="L388" s="99"/>
      <c r="M388" s="77" t="s">
        <v>1262</v>
      </c>
    </row>
    <row r="389" spans="1:13" s="103" customFormat="1" ht="10.9" hidden="1" customHeight="1" x14ac:dyDescent="0.25">
      <c r="A389" s="89" t="s">
        <v>1263</v>
      </c>
      <c r="B389" s="98" t="s">
        <v>1264</v>
      </c>
      <c r="C389" s="101" t="s">
        <v>5349</v>
      </c>
      <c r="D389" s="101" t="s">
        <v>1265</v>
      </c>
      <c r="E389" s="73" t="s">
        <v>1266</v>
      </c>
      <c r="F389" s="100" t="s">
        <v>81</v>
      </c>
      <c r="G389" s="72" t="e">
        <f>_xlfn.TEXTJOIN(", ",TRUE,B389,#REF!,#REF!,#REF!,D389,E389)</f>
        <v>#REF!</v>
      </c>
      <c r="H389" s="99">
        <v>45188</v>
      </c>
      <c r="I389" s="99">
        <v>45829</v>
      </c>
      <c r="J389" s="99"/>
      <c r="K389" s="99"/>
      <c r="L389" s="99"/>
      <c r="M389" s="77" t="s">
        <v>88</v>
      </c>
    </row>
    <row r="390" spans="1:13" s="103" customFormat="1" ht="10.9" hidden="1" customHeight="1" x14ac:dyDescent="0.25">
      <c r="A390" s="89" t="s">
        <v>1267</v>
      </c>
      <c r="B390" s="98" t="s">
        <v>1268</v>
      </c>
      <c r="C390" s="101" t="s">
        <v>5349</v>
      </c>
      <c r="D390" s="101" t="s">
        <v>1265</v>
      </c>
      <c r="E390" s="73" t="s">
        <v>1269</v>
      </c>
      <c r="F390" s="100" t="s">
        <v>98</v>
      </c>
      <c r="G390" s="72" t="e">
        <f>_xlfn.TEXTJOIN(", ",TRUE,B390,#REF!,#REF!,#REF!,D390,E390)</f>
        <v>#REF!</v>
      </c>
      <c r="H390" s="99">
        <v>45407</v>
      </c>
      <c r="I390" s="99"/>
      <c r="J390" s="99"/>
      <c r="K390" s="99"/>
      <c r="L390" s="99"/>
      <c r="M390" s="77" t="s">
        <v>88</v>
      </c>
    </row>
    <row r="391" spans="1:13" s="103" customFormat="1" ht="10.9" hidden="1" customHeight="1" x14ac:dyDescent="0.25">
      <c r="A391" s="89" t="s">
        <v>1270</v>
      </c>
      <c r="B391" s="104" t="s">
        <v>1271</v>
      </c>
      <c r="C391" s="101" t="s">
        <v>5349</v>
      </c>
      <c r="D391" s="101" t="s">
        <v>1265</v>
      </c>
      <c r="E391" s="73" t="s">
        <v>1272</v>
      </c>
      <c r="F391" s="100" t="s">
        <v>98</v>
      </c>
      <c r="G391" s="72" t="e">
        <f>_xlfn.TEXTJOIN(", ",TRUE,B391,#REF!,#REF!,#REF!,D391,E391)</f>
        <v>#REF!</v>
      </c>
      <c r="H391" s="99"/>
      <c r="I391" s="99"/>
      <c r="J391" s="99"/>
      <c r="K391" s="99"/>
      <c r="L391" s="99"/>
      <c r="M391" s="77" t="s">
        <v>1273</v>
      </c>
    </row>
    <row r="392" spans="1:13" s="103" customFormat="1" ht="10.9" hidden="1" customHeight="1" x14ac:dyDescent="0.25">
      <c r="A392" s="89" t="s">
        <v>1274</v>
      </c>
      <c r="B392" s="98" t="s">
        <v>1275</v>
      </c>
      <c r="C392" s="101" t="s">
        <v>5348</v>
      </c>
      <c r="D392" s="101" t="s">
        <v>1265</v>
      </c>
      <c r="E392" s="73" t="s">
        <v>88</v>
      </c>
      <c r="F392" s="100" t="s">
        <v>98</v>
      </c>
      <c r="G392" s="72" t="e">
        <f>_xlfn.TEXTJOIN(", ",TRUE,B392,#REF!,#REF!,#REF!,D392,E392)</f>
        <v>#REF!</v>
      </c>
      <c r="H392" s="99"/>
      <c r="I392" s="99"/>
      <c r="J392" s="99"/>
      <c r="K392" s="99"/>
      <c r="L392" s="99"/>
      <c r="M392" s="77" t="s">
        <v>88</v>
      </c>
    </row>
    <row r="393" spans="1:13" s="103" customFormat="1" ht="10.9" hidden="1" customHeight="1" x14ac:dyDescent="0.25">
      <c r="A393" s="89" t="s">
        <v>1276</v>
      </c>
      <c r="B393" s="102" t="s">
        <v>1277</v>
      </c>
      <c r="C393" s="101" t="s">
        <v>5348</v>
      </c>
      <c r="D393" s="101" t="s">
        <v>1265</v>
      </c>
      <c r="E393" s="74" t="s">
        <v>1278</v>
      </c>
      <c r="F393" s="100" t="s">
        <v>98</v>
      </c>
      <c r="G393" s="72" t="e">
        <f>_xlfn.TEXTJOIN(", ",TRUE,B393,#REF!,#REF!,#REF!,D393,E393)</f>
        <v>#REF!</v>
      </c>
      <c r="H393" s="99"/>
      <c r="I393" s="99"/>
      <c r="J393" s="99"/>
      <c r="K393" s="99"/>
      <c r="L393" s="99"/>
      <c r="M393" s="77">
        <v>0</v>
      </c>
    </row>
    <row r="394" spans="1:13" s="103" customFormat="1" ht="10.9" hidden="1" customHeight="1" x14ac:dyDescent="0.25">
      <c r="A394" s="89" t="s">
        <v>1279</v>
      </c>
      <c r="B394" s="98" t="s">
        <v>1280</v>
      </c>
      <c r="C394" s="101" t="s">
        <v>5348</v>
      </c>
      <c r="D394" s="101" t="s">
        <v>1281</v>
      </c>
      <c r="E394" s="73" t="s">
        <v>1282</v>
      </c>
      <c r="F394" s="100" t="s">
        <v>98</v>
      </c>
      <c r="G394" s="72" t="e">
        <f>_xlfn.TEXTJOIN(", ",TRUE,B394,#REF!,#REF!,#REF!,D394,E394)</f>
        <v>#REF!</v>
      </c>
      <c r="H394" s="99">
        <v>45545</v>
      </c>
      <c r="I394" s="99"/>
      <c r="J394" s="99"/>
      <c r="K394" s="99"/>
      <c r="L394" s="99"/>
      <c r="M394" s="77">
        <v>0</v>
      </c>
    </row>
    <row r="395" spans="1:13" s="103" customFormat="1" ht="10.9" hidden="1" customHeight="1" x14ac:dyDescent="0.25">
      <c r="A395" s="89" t="s">
        <v>1283</v>
      </c>
      <c r="B395" s="98" t="s">
        <v>1284</v>
      </c>
      <c r="C395" s="101" t="s">
        <v>5349</v>
      </c>
      <c r="D395" s="101" t="s">
        <v>1285</v>
      </c>
      <c r="E395" s="73" t="s">
        <v>1286</v>
      </c>
      <c r="F395" s="100" t="s">
        <v>98</v>
      </c>
      <c r="G395" s="72" t="e">
        <f>_xlfn.TEXTJOIN(", ",TRUE,B395,#REF!,#REF!,#REF!,D395,E395)</f>
        <v>#REF!</v>
      </c>
      <c r="H395" s="99"/>
      <c r="I395" s="99"/>
      <c r="J395" s="99"/>
      <c r="K395" s="99"/>
      <c r="L395" s="99"/>
      <c r="M395" s="77" t="s">
        <v>1287</v>
      </c>
    </row>
    <row r="396" spans="1:13" s="103" customFormat="1" ht="10.9" hidden="1" customHeight="1" x14ac:dyDescent="0.25">
      <c r="A396" s="89" t="s">
        <v>1288</v>
      </c>
      <c r="B396" s="98" t="s">
        <v>1289</v>
      </c>
      <c r="C396" s="101" t="s">
        <v>5349</v>
      </c>
      <c r="D396" s="101" t="s">
        <v>1285</v>
      </c>
      <c r="E396" s="73" t="s">
        <v>1290</v>
      </c>
      <c r="F396" s="100" t="s">
        <v>81</v>
      </c>
      <c r="G396" s="72" t="e">
        <f>_xlfn.TEXTJOIN(", ",TRUE,B396,#REF!,#REF!,#REF!,D396,E396)</f>
        <v>#REF!</v>
      </c>
      <c r="H396" s="99">
        <v>45261</v>
      </c>
      <c r="I396" s="99"/>
      <c r="J396" s="99"/>
      <c r="K396" s="99"/>
      <c r="L396" s="99"/>
      <c r="M396" s="77" t="s">
        <v>1291</v>
      </c>
    </row>
    <row r="397" spans="1:13" s="103" customFormat="1" ht="10.9" hidden="1" customHeight="1" x14ac:dyDescent="0.25">
      <c r="A397" s="89" t="s">
        <v>1292</v>
      </c>
      <c r="B397" s="98" t="s">
        <v>1293</v>
      </c>
      <c r="C397" s="101" t="s">
        <v>5349</v>
      </c>
      <c r="D397" s="101" t="s">
        <v>1285</v>
      </c>
      <c r="E397" s="73" t="s">
        <v>1294</v>
      </c>
      <c r="F397" s="100" t="s">
        <v>98</v>
      </c>
      <c r="G397" s="72" t="e">
        <f>_xlfn.TEXTJOIN(", ",TRUE,B397,#REF!,#REF!,#REF!,D397,E397)</f>
        <v>#REF!</v>
      </c>
      <c r="H397" s="99">
        <v>45241</v>
      </c>
      <c r="I397" s="99"/>
      <c r="J397" s="99"/>
      <c r="K397" s="99"/>
      <c r="L397" s="99"/>
      <c r="M397" s="77">
        <v>0</v>
      </c>
    </row>
    <row r="398" spans="1:13" s="103" customFormat="1" ht="10.9" hidden="1" customHeight="1" x14ac:dyDescent="0.25">
      <c r="A398" s="89" t="s">
        <v>1295</v>
      </c>
      <c r="B398" s="98" t="s">
        <v>1296</v>
      </c>
      <c r="C398" s="101" t="s">
        <v>5349</v>
      </c>
      <c r="D398" s="101" t="s">
        <v>1285</v>
      </c>
      <c r="E398" s="73" t="s">
        <v>1297</v>
      </c>
      <c r="F398" s="100" t="s">
        <v>81</v>
      </c>
      <c r="G398" s="72" t="e">
        <f>_xlfn.TEXTJOIN(", ",TRUE,B398,#REF!,#REF!,#REF!,D398,E398)</f>
        <v>#REF!</v>
      </c>
      <c r="H398" s="99">
        <v>44890</v>
      </c>
      <c r="I398" s="99"/>
      <c r="J398" s="99"/>
      <c r="K398" s="99"/>
      <c r="L398" s="99"/>
      <c r="M398" s="77" t="s">
        <v>88</v>
      </c>
    </row>
    <row r="399" spans="1:13" s="103" customFormat="1" ht="10.9" hidden="1" customHeight="1" x14ac:dyDescent="0.25">
      <c r="A399" s="89" t="s">
        <v>1298</v>
      </c>
      <c r="B399" s="98" t="s">
        <v>1299</v>
      </c>
      <c r="C399" s="101" t="s">
        <v>5349</v>
      </c>
      <c r="D399" s="101" t="s">
        <v>1285</v>
      </c>
      <c r="E399" s="74" t="s">
        <v>1300</v>
      </c>
      <c r="F399" s="100" t="s">
        <v>98</v>
      </c>
      <c r="G399" s="72" t="e">
        <f>_xlfn.TEXTJOIN(", ",TRUE,B399,#REF!,#REF!,#REF!,D399,E399)</f>
        <v>#REF!</v>
      </c>
      <c r="H399" s="99"/>
      <c r="I399" s="99"/>
      <c r="J399" s="99"/>
      <c r="K399" s="99"/>
      <c r="L399" s="99"/>
      <c r="M399" s="77" t="s">
        <v>88</v>
      </c>
    </row>
    <row r="400" spans="1:13" s="103" customFormat="1" ht="10.9" hidden="1" customHeight="1" x14ac:dyDescent="0.25">
      <c r="A400" s="89" t="s">
        <v>1301</v>
      </c>
      <c r="B400" s="98" t="s">
        <v>1302</v>
      </c>
      <c r="C400" s="101" t="s">
        <v>5349</v>
      </c>
      <c r="D400" s="101" t="s">
        <v>1285</v>
      </c>
      <c r="E400" s="74" t="s">
        <v>1303</v>
      </c>
      <c r="F400" s="100" t="s">
        <v>98</v>
      </c>
      <c r="G400" s="72" t="e">
        <f>_xlfn.TEXTJOIN(", ",TRUE,B400,#REF!,#REF!,#REF!,D400,E400)</f>
        <v>#REF!</v>
      </c>
      <c r="H400" s="99"/>
      <c r="I400" s="99"/>
      <c r="J400" s="99"/>
      <c r="K400" s="99"/>
      <c r="L400" s="99"/>
      <c r="M400" s="77" t="s">
        <v>88</v>
      </c>
    </row>
    <row r="401" spans="1:13" s="103" customFormat="1" ht="10.9" hidden="1" customHeight="1" x14ac:dyDescent="0.25">
      <c r="A401" s="89" t="s">
        <v>1304</v>
      </c>
      <c r="B401" s="98" t="s">
        <v>1305</v>
      </c>
      <c r="C401" s="101" t="s">
        <v>5348</v>
      </c>
      <c r="D401" s="101" t="s">
        <v>1285</v>
      </c>
      <c r="E401" s="73" t="s">
        <v>88</v>
      </c>
      <c r="F401" s="100" t="s">
        <v>98</v>
      </c>
      <c r="G401" s="72" t="e">
        <f>_xlfn.TEXTJOIN(", ",TRUE,B401,#REF!,#REF!,#REF!,D401,E401)</f>
        <v>#REF!</v>
      </c>
      <c r="H401" s="99"/>
      <c r="I401" s="99"/>
      <c r="J401" s="99"/>
      <c r="K401" s="99"/>
      <c r="L401" s="99"/>
      <c r="M401" s="77" t="s">
        <v>88</v>
      </c>
    </row>
    <row r="402" spans="1:13" s="103" customFormat="1" ht="10.9" hidden="1" customHeight="1" x14ac:dyDescent="0.25">
      <c r="A402" s="89" t="s">
        <v>1306</v>
      </c>
      <c r="B402" s="102" t="s">
        <v>1307</v>
      </c>
      <c r="C402" s="101" t="s">
        <v>5348</v>
      </c>
      <c r="D402" s="101" t="s">
        <v>1285</v>
      </c>
      <c r="E402" s="73" t="s">
        <v>1285</v>
      </c>
      <c r="F402" s="100" t="s">
        <v>81</v>
      </c>
      <c r="G402" s="72" t="e">
        <f>_xlfn.TEXTJOIN(", ",TRUE,B402,#REF!,#REF!,#REF!,D402,E402)</f>
        <v>#REF!</v>
      </c>
      <c r="H402" s="99"/>
      <c r="I402" s="99"/>
      <c r="J402" s="99"/>
      <c r="K402" s="99"/>
      <c r="L402" s="99"/>
      <c r="M402" s="77" t="s">
        <v>88</v>
      </c>
    </row>
    <row r="403" spans="1:13" s="103" customFormat="1" ht="10.9" hidden="1" customHeight="1" x14ac:dyDescent="0.25">
      <c r="A403" s="89" t="s">
        <v>1308</v>
      </c>
      <c r="B403" s="102" t="s">
        <v>1309</v>
      </c>
      <c r="C403" s="101" t="s">
        <v>5348</v>
      </c>
      <c r="D403" s="101" t="s">
        <v>1285</v>
      </c>
      <c r="E403" s="73" t="s">
        <v>1285</v>
      </c>
      <c r="F403" s="100" t="s">
        <v>81</v>
      </c>
      <c r="G403" s="72" t="e">
        <f>_xlfn.TEXTJOIN(", ",TRUE,B403,#REF!,#REF!,#REF!,D403,E403)</f>
        <v>#REF!</v>
      </c>
      <c r="H403" s="99"/>
      <c r="I403" s="99"/>
      <c r="J403" s="99"/>
      <c r="K403" s="99"/>
      <c r="L403" s="99"/>
      <c r="M403" s="77" t="s">
        <v>1310</v>
      </c>
    </row>
    <row r="404" spans="1:13" s="103" customFormat="1" ht="10.9" hidden="1" customHeight="1" x14ac:dyDescent="0.25">
      <c r="A404" s="89" t="s">
        <v>1311</v>
      </c>
      <c r="B404" s="102" t="s">
        <v>1312</v>
      </c>
      <c r="C404" s="101" t="s">
        <v>5349</v>
      </c>
      <c r="D404" s="101" t="s">
        <v>1285</v>
      </c>
      <c r="E404" s="73" t="s">
        <v>88</v>
      </c>
      <c r="F404" s="100" t="s">
        <v>81</v>
      </c>
      <c r="G404" s="72" t="e">
        <f>_xlfn.TEXTJOIN(", ",TRUE,B404,#REF!,#REF!,#REF!,D404,E404)</f>
        <v>#REF!</v>
      </c>
      <c r="H404" s="99"/>
      <c r="I404" s="99"/>
      <c r="J404" s="99"/>
      <c r="K404" s="99"/>
      <c r="L404" s="99"/>
      <c r="M404" s="77" t="s">
        <v>1313</v>
      </c>
    </row>
    <row r="405" spans="1:13" s="103" customFormat="1" ht="10.9" hidden="1" customHeight="1" x14ac:dyDescent="0.25">
      <c r="A405" s="89" t="s">
        <v>1314</v>
      </c>
      <c r="B405" s="104" t="s">
        <v>1315</v>
      </c>
      <c r="C405" s="101" t="s">
        <v>5349</v>
      </c>
      <c r="D405" s="101" t="s">
        <v>1285</v>
      </c>
      <c r="E405" s="73" t="s">
        <v>88</v>
      </c>
      <c r="F405" s="100" t="s">
        <v>98</v>
      </c>
      <c r="G405" s="72" t="e">
        <f>_xlfn.TEXTJOIN(", ",TRUE,B405,#REF!,#REF!,#REF!,D405,E405)</f>
        <v>#REF!</v>
      </c>
      <c r="H405" s="99"/>
      <c r="I405" s="99"/>
      <c r="J405" s="99"/>
      <c r="K405" s="99"/>
      <c r="L405" s="99"/>
      <c r="M405" s="77" t="s">
        <v>1316</v>
      </c>
    </row>
    <row r="406" spans="1:13" s="103" customFormat="1" ht="10.9" hidden="1" customHeight="1" x14ac:dyDescent="0.25">
      <c r="A406" s="89" t="s">
        <v>1317</v>
      </c>
      <c r="B406" s="104" t="s">
        <v>1318</v>
      </c>
      <c r="C406" s="101" t="s">
        <v>5349</v>
      </c>
      <c r="D406" s="101" t="s">
        <v>1285</v>
      </c>
      <c r="E406" s="73" t="s">
        <v>1285</v>
      </c>
      <c r="F406" s="100" t="s">
        <v>81</v>
      </c>
      <c r="G406" s="72" t="e">
        <f>_xlfn.TEXTJOIN(", ",TRUE,B406,#REF!,#REF!,#REF!,D406,E406)</f>
        <v>#REF!</v>
      </c>
      <c r="H406" s="99">
        <v>45750</v>
      </c>
      <c r="I406" s="99"/>
      <c r="J406" s="99"/>
      <c r="K406" s="99"/>
      <c r="L406" s="99"/>
      <c r="M406" s="77" t="s">
        <v>1319</v>
      </c>
    </row>
    <row r="407" spans="1:13" s="103" customFormat="1" ht="10.9" hidden="1" customHeight="1" x14ac:dyDescent="0.25">
      <c r="A407" s="89" t="s">
        <v>1320</v>
      </c>
      <c r="B407" s="105" t="s">
        <v>1321</v>
      </c>
      <c r="C407" s="101" t="s">
        <v>5349</v>
      </c>
      <c r="D407" s="101" t="s">
        <v>1285</v>
      </c>
      <c r="E407" s="73" t="s">
        <v>1285</v>
      </c>
      <c r="F407" s="100" t="s">
        <v>81</v>
      </c>
      <c r="G407" s="72" t="e">
        <f>_xlfn.TEXTJOIN(", ",TRUE,B407,#REF!,#REF!,#REF!,D407,E407)</f>
        <v>#REF!</v>
      </c>
      <c r="H407" s="99"/>
      <c r="I407" s="99"/>
      <c r="J407" s="99"/>
      <c r="K407" s="99"/>
      <c r="L407" s="99"/>
      <c r="M407" s="77" t="s">
        <v>88</v>
      </c>
    </row>
    <row r="408" spans="1:13" s="103" customFormat="1" ht="10.9" hidden="1" customHeight="1" x14ac:dyDescent="0.25">
      <c r="A408" s="89" t="s">
        <v>1322</v>
      </c>
      <c r="B408" s="98" t="s">
        <v>1323</v>
      </c>
      <c r="C408" s="101" t="s">
        <v>5349</v>
      </c>
      <c r="D408" s="101" t="s">
        <v>1324</v>
      </c>
      <c r="E408" s="73" t="s">
        <v>88</v>
      </c>
      <c r="F408" s="100" t="s">
        <v>98</v>
      </c>
      <c r="G408" s="72" t="e">
        <f>_xlfn.TEXTJOIN(", ",TRUE,B408,#REF!,#REF!,#REF!,D408,E408)</f>
        <v>#REF!</v>
      </c>
      <c r="H408" s="99"/>
      <c r="I408" s="99"/>
      <c r="J408" s="99"/>
      <c r="K408" s="99"/>
      <c r="L408" s="99"/>
      <c r="M408" s="77" t="s">
        <v>88</v>
      </c>
    </row>
    <row r="409" spans="1:13" s="103" customFormat="1" ht="10.9" hidden="1" customHeight="1" x14ac:dyDescent="0.25">
      <c r="A409" s="89" t="s">
        <v>1325</v>
      </c>
      <c r="B409" s="102" t="s">
        <v>1326</v>
      </c>
      <c r="C409" s="101" t="s">
        <v>5349</v>
      </c>
      <c r="D409" s="101" t="s">
        <v>1324</v>
      </c>
      <c r="E409" s="73" t="s">
        <v>1327</v>
      </c>
      <c r="F409" s="100" t="s">
        <v>98</v>
      </c>
      <c r="G409" s="72" t="e">
        <f>_xlfn.TEXTJOIN(", ",TRUE,B409,#REF!,#REF!,#REF!,D409,E409)</f>
        <v>#REF!</v>
      </c>
      <c r="H409" s="99"/>
      <c r="I409" s="99"/>
      <c r="J409" s="99"/>
      <c r="K409" s="99"/>
      <c r="L409" s="99"/>
      <c r="M409" s="77">
        <v>0</v>
      </c>
    </row>
    <row r="410" spans="1:13" s="103" customFormat="1" ht="10.9" hidden="1" customHeight="1" x14ac:dyDescent="0.25">
      <c r="A410" s="89" t="s">
        <v>1328</v>
      </c>
      <c r="B410" s="98" t="s">
        <v>1329</v>
      </c>
      <c r="C410" s="101" t="s">
        <v>5349</v>
      </c>
      <c r="D410" s="101" t="s">
        <v>1324</v>
      </c>
      <c r="E410" s="73" t="s">
        <v>1330</v>
      </c>
      <c r="F410" s="100" t="s">
        <v>81</v>
      </c>
      <c r="G410" s="72" t="e">
        <f>_xlfn.TEXTJOIN(", ",TRUE,B410,#REF!,#REF!,#REF!,D410,E410)</f>
        <v>#REF!</v>
      </c>
      <c r="H410" s="99"/>
      <c r="I410" s="99"/>
      <c r="J410" s="99"/>
      <c r="K410" s="99"/>
      <c r="L410" s="99"/>
      <c r="M410" s="77" t="s">
        <v>1331</v>
      </c>
    </row>
    <row r="411" spans="1:13" s="103" customFormat="1" ht="10.9" hidden="1" customHeight="1" x14ac:dyDescent="0.25">
      <c r="A411" s="89" t="s">
        <v>1332</v>
      </c>
      <c r="B411" s="102" t="s">
        <v>1333</v>
      </c>
      <c r="C411" s="101" t="s">
        <v>5349</v>
      </c>
      <c r="D411" s="101" t="s">
        <v>1324</v>
      </c>
      <c r="E411" s="73" t="s">
        <v>1324</v>
      </c>
      <c r="F411" s="100" t="s">
        <v>81</v>
      </c>
      <c r="G411" s="72" t="e">
        <f>_xlfn.TEXTJOIN(", ",TRUE,B411,#REF!,#REF!,#REF!,D411,E411)</f>
        <v>#REF!</v>
      </c>
      <c r="H411" s="99"/>
      <c r="I411" s="99"/>
      <c r="J411" s="99"/>
      <c r="K411" s="99"/>
      <c r="L411" s="99"/>
      <c r="M411" s="77" t="s">
        <v>88</v>
      </c>
    </row>
    <row r="412" spans="1:13" s="103" customFormat="1" ht="10.9" hidden="1" customHeight="1" x14ac:dyDescent="0.25">
      <c r="A412" s="89" t="s">
        <v>1334</v>
      </c>
      <c r="B412" s="98" t="s">
        <v>1335</v>
      </c>
      <c r="C412" s="101" t="s">
        <v>5349</v>
      </c>
      <c r="D412" s="101" t="s">
        <v>1324</v>
      </c>
      <c r="E412" s="73" t="s">
        <v>1324</v>
      </c>
      <c r="F412" s="100" t="s">
        <v>81</v>
      </c>
      <c r="G412" s="72" t="e">
        <f>_xlfn.TEXTJOIN(", ",TRUE,B412,#REF!,#REF!,#REF!,D412,E412)</f>
        <v>#REF!</v>
      </c>
      <c r="H412" s="99"/>
      <c r="I412" s="99"/>
      <c r="J412" s="99"/>
      <c r="K412" s="99"/>
      <c r="L412" s="99"/>
      <c r="M412" s="77" t="s">
        <v>88</v>
      </c>
    </row>
    <row r="413" spans="1:13" s="103" customFormat="1" ht="10.9" hidden="1" customHeight="1" x14ac:dyDescent="0.25">
      <c r="A413" s="89" t="s">
        <v>1336</v>
      </c>
      <c r="B413" s="98" t="s">
        <v>1337</v>
      </c>
      <c r="C413" s="101" t="s">
        <v>5349</v>
      </c>
      <c r="D413" s="101" t="s">
        <v>1324</v>
      </c>
      <c r="E413" s="73" t="s">
        <v>1324</v>
      </c>
      <c r="F413" s="100" t="s">
        <v>81</v>
      </c>
      <c r="G413" s="72" t="e">
        <f>_xlfn.TEXTJOIN(", ",TRUE,B413,#REF!,#REF!,#REF!,D413,E413)</f>
        <v>#REF!</v>
      </c>
      <c r="H413" s="99">
        <v>45559</v>
      </c>
      <c r="I413" s="99"/>
      <c r="J413" s="99"/>
      <c r="K413" s="99"/>
      <c r="L413" s="99"/>
      <c r="M413" s="77">
        <v>0</v>
      </c>
    </row>
    <row r="414" spans="1:13" s="103" customFormat="1" ht="10.9" hidden="1" customHeight="1" x14ac:dyDescent="0.25">
      <c r="A414" s="89" t="s">
        <v>1336</v>
      </c>
      <c r="B414" s="102" t="s">
        <v>1338</v>
      </c>
      <c r="C414" s="101" t="s">
        <v>5349</v>
      </c>
      <c r="D414" s="101" t="s">
        <v>1324</v>
      </c>
      <c r="E414" s="73" t="s">
        <v>1324</v>
      </c>
      <c r="F414" s="100" t="s">
        <v>98</v>
      </c>
      <c r="G414" s="72" t="e">
        <f>_xlfn.TEXTJOIN(", ",TRUE,B414,#REF!,#REF!,#REF!,D414,E414)</f>
        <v>#REF!</v>
      </c>
      <c r="H414" s="99">
        <v>45634</v>
      </c>
      <c r="I414" s="99"/>
      <c r="J414" s="99"/>
      <c r="K414" s="99"/>
      <c r="L414" s="99"/>
      <c r="M414" s="77" t="s">
        <v>159</v>
      </c>
    </row>
    <row r="415" spans="1:13" s="103" customFormat="1" ht="10.9" hidden="1" customHeight="1" x14ac:dyDescent="0.25">
      <c r="A415" s="89" t="s">
        <v>1339</v>
      </c>
      <c r="B415" s="104" t="s">
        <v>1340</v>
      </c>
      <c r="C415" s="101" t="s">
        <v>5349</v>
      </c>
      <c r="D415" s="101" t="s">
        <v>1324</v>
      </c>
      <c r="E415" s="73" t="s">
        <v>1341</v>
      </c>
      <c r="F415" s="100" t="s">
        <v>98</v>
      </c>
      <c r="G415" s="72" t="e">
        <f>_xlfn.TEXTJOIN(", ",TRUE,B415,#REF!,#REF!,#REF!,D415,E415)</f>
        <v>#REF!</v>
      </c>
      <c r="H415" s="99"/>
      <c r="I415" s="99"/>
      <c r="J415" s="99"/>
      <c r="K415" s="99"/>
      <c r="L415" s="99"/>
      <c r="M415" s="77" t="s">
        <v>1342</v>
      </c>
    </row>
    <row r="416" spans="1:13" s="103" customFormat="1" ht="10.9" hidden="1" customHeight="1" x14ac:dyDescent="0.25">
      <c r="A416" s="89" t="s">
        <v>1343</v>
      </c>
      <c r="B416" s="102" t="s">
        <v>1344</v>
      </c>
      <c r="C416" s="101" t="s">
        <v>5349</v>
      </c>
      <c r="D416" s="101" t="s">
        <v>1324</v>
      </c>
      <c r="E416" s="73" t="s">
        <v>1324</v>
      </c>
      <c r="F416" s="100" t="s">
        <v>735</v>
      </c>
      <c r="G416" s="72" t="e">
        <f>_xlfn.TEXTJOIN(", ",TRUE,B416,#REF!,#REF!,#REF!,D416,E416)</f>
        <v>#REF!</v>
      </c>
      <c r="H416" s="99"/>
      <c r="I416" s="99"/>
      <c r="J416" s="99"/>
      <c r="K416" s="99"/>
      <c r="L416" s="99"/>
      <c r="M416" s="77" t="s">
        <v>88</v>
      </c>
    </row>
    <row r="417" spans="1:13" s="103" customFormat="1" ht="10.9" hidden="1" customHeight="1" x14ac:dyDescent="0.25">
      <c r="A417" s="89" t="s">
        <v>1336</v>
      </c>
      <c r="B417" s="104" t="s">
        <v>1345</v>
      </c>
      <c r="C417" s="101" t="s">
        <v>5349</v>
      </c>
      <c r="D417" s="101" t="s">
        <v>1324</v>
      </c>
      <c r="E417" s="73" t="s">
        <v>1324</v>
      </c>
      <c r="F417" s="100" t="s">
        <v>187</v>
      </c>
      <c r="G417" s="72" t="e">
        <f>_xlfn.TEXTJOIN(", ",TRUE,B417,#REF!,#REF!,#REF!,D417,E417)</f>
        <v>#REF!</v>
      </c>
      <c r="H417" s="99">
        <v>45559</v>
      </c>
      <c r="I417" s="99"/>
      <c r="J417" s="99"/>
      <c r="K417" s="99"/>
      <c r="L417" s="99"/>
      <c r="M417" s="77">
        <v>0</v>
      </c>
    </row>
    <row r="418" spans="1:13" s="103" customFormat="1" ht="10.9" hidden="1" customHeight="1" x14ac:dyDescent="0.25">
      <c r="A418" s="89" t="s">
        <v>1346</v>
      </c>
      <c r="B418" s="104" t="s">
        <v>1347</v>
      </c>
      <c r="C418" s="101" t="s">
        <v>5349</v>
      </c>
      <c r="D418" s="101" t="s">
        <v>1324</v>
      </c>
      <c r="E418" s="73" t="s">
        <v>1324</v>
      </c>
      <c r="F418" s="100" t="s">
        <v>98</v>
      </c>
      <c r="G418" s="72" t="e">
        <f>_xlfn.TEXTJOIN(", ",TRUE,B418,#REF!,#REF!,#REF!,D418,E418)</f>
        <v>#REF!</v>
      </c>
      <c r="H418" s="99"/>
      <c r="I418" s="99"/>
      <c r="J418" s="99"/>
      <c r="K418" s="99"/>
      <c r="L418" s="99"/>
      <c r="M418" s="77" t="s">
        <v>1348</v>
      </c>
    </row>
    <row r="419" spans="1:13" s="103" customFormat="1" ht="10.9" hidden="1" customHeight="1" x14ac:dyDescent="0.25">
      <c r="A419" s="89" t="s">
        <v>1349</v>
      </c>
      <c r="B419" s="98" t="s">
        <v>1350</v>
      </c>
      <c r="C419" s="101" t="s">
        <v>5349</v>
      </c>
      <c r="D419" s="101" t="s">
        <v>1351</v>
      </c>
      <c r="E419" s="73" t="s">
        <v>1351</v>
      </c>
      <c r="F419" s="100" t="s">
        <v>98</v>
      </c>
      <c r="G419" s="72" t="e">
        <f>_xlfn.TEXTJOIN(", ",TRUE,B419,#REF!,#REF!,#REF!,D419,E419)</f>
        <v>#REF!</v>
      </c>
      <c r="H419" s="99"/>
      <c r="I419" s="99"/>
      <c r="J419" s="99"/>
      <c r="K419" s="99"/>
      <c r="L419" s="99"/>
      <c r="M419" s="77" t="s">
        <v>1352</v>
      </c>
    </row>
    <row r="420" spans="1:13" s="103" customFormat="1" ht="10.9" hidden="1" customHeight="1" x14ac:dyDescent="0.25">
      <c r="A420" s="89" t="s">
        <v>1353</v>
      </c>
      <c r="B420" s="98" t="s">
        <v>1354</v>
      </c>
      <c r="C420" s="101" t="s">
        <v>5349</v>
      </c>
      <c r="D420" s="101" t="s">
        <v>1355</v>
      </c>
      <c r="E420" s="73" t="s">
        <v>1356</v>
      </c>
      <c r="F420" s="100" t="s">
        <v>449</v>
      </c>
      <c r="G420" s="72" t="e">
        <f>_xlfn.TEXTJOIN(", ",TRUE,B420,#REF!,#REF!,#REF!,D420,E420)</f>
        <v>#REF!</v>
      </c>
      <c r="H420" s="99">
        <v>45844</v>
      </c>
      <c r="I420" s="99">
        <v>44915</v>
      </c>
      <c r="J420" s="99">
        <v>45648</v>
      </c>
      <c r="K420" s="99"/>
      <c r="L420" s="99"/>
      <c r="M420" s="77" t="s">
        <v>1357</v>
      </c>
    </row>
    <row r="421" spans="1:13" s="103" customFormat="1" ht="10.9" hidden="1" customHeight="1" x14ac:dyDescent="0.25">
      <c r="A421" s="89" t="s">
        <v>1358</v>
      </c>
      <c r="B421" s="98" t="s">
        <v>1359</v>
      </c>
      <c r="C421" s="101" t="s">
        <v>5349</v>
      </c>
      <c r="D421" s="101" t="s">
        <v>1355</v>
      </c>
      <c r="E421" s="73" t="s">
        <v>1360</v>
      </c>
      <c r="F421" s="100" t="s">
        <v>98</v>
      </c>
      <c r="G421" s="72" t="e">
        <f>_xlfn.TEXTJOIN(", ",TRUE,B421,#REF!,#REF!,#REF!,D421,E421)</f>
        <v>#REF!</v>
      </c>
      <c r="H421" s="99">
        <v>44872</v>
      </c>
      <c r="I421" s="99"/>
      <c r="J421" s="99"/>
      <c r="K421" s="99"/>
      <c r="L421" s="99">
        <v>44872</v>
      </c>
      <c r="M421" s="77" t="s">
        <v>88</v>
      </c>
    </row>
    <row r="422" spans="1:13" s="103" customFormat="1" ht="10.9" hidden="1" customHeight="1" x14ac:dyDescent="0.25">
      <c r="A422" s="89" t="s">
        <v>1361</v>
      </c>
      <c r="B422" s="98" t="s">
        <v>1362</v>
      </c>
      <c r="C422" s="101" t="s">
        <v>5349</v>
      </c>
      <c r="D422" s="101" t="s">
        <v>1355</v>
      </c>
      <c r="E422" s="73" t="s">
        <v>1360</v>
      </c>
      <c r="F422" s="100" t="s">
        <v>98</v>
      </c>
      <c r="G422" s="72" t="e">
        <f>_xlfn.TEXTJOIN(", ",TRUE,B422,#REF!,#REF!,#REF!,D422,E422)</f>
        <v>#REF!</v>
      </c>
      <c r="H422" s="99">
        <v>45076</v>
      </c>
      <c r="I422" s="99"/>
      <c r="J422" s="99"/>
      <c r="K422" s="99"/>
      <c r="L422" s="99">
        <v>44865</v>
      </c>
      <c r="M422" s="77" t="s">
        <v>1363</v>
      </c>
    </row>
    <row r="423" spans="1:13" s="103" customFormat="1" ht="10.9" hidden="1" customHeight="1" x14ac:dyDescent="0.25">
      <c r="A423" s="89" t="s">
        <v>1364</v>
      </c>
      <c r="B423" s="98" t="s">
        <v>1365</v>
      </c>
      <c r="C423" s="101" t="s">
        <v>5349</v>
      </c>
      <c r="D423" s="101" t="s">
        <v>1355</v>
      </c>
      <c r="E423" s="73" t="s">
        <v>1355</v>
      </c>
      <c r="F423" s="100" t="s">
        <v>98</v>
      </c>
      <c r="G423" s="72" t="e">
        <f>_xlfn.TEXTJOIN(", ",TRUE,B423,#REF!,#REF!,#REF!,D423,E423)</f>
        <v>#REF!</v>
      </c>
      <c r="H423" s="99">
        <v>45652</v>
      </c>
      <c r="I423" s="99"/>
      <c r="J423" s="99"/>
      <c r="K423" s="99"/>
      <c r="L423" s="99"/>
      <c r="M423" s="77">
        <v>0</v>
      </c>
    </row>
    <row r="424" spans="1:13" s="103" customFormat="1" ht="10.9" hidden="1" customHeight="1" x14ac:dyDescent="0.25">
      <c r="A424" s="89" t="s">
        <v>1366</v>
      </c>
      <c r="B424" s="98" t="s">
        <v>1367</v>
      </c>
      <c r="C424" s="101" t="s">
        <v>5349</v>
      </c>
      <c r="D424" s="101" t="s">
        <v>1355</v>
      </c>
      <c r="E424" s="73" t="s">
        <v>1368</v>
      </c>
      <c r="F424" s="100" t="s">
        <v>81</v>
      </c>
      <c r="G424" s="72" t="e">
        <f>_xlfn.TEXTJOIN(", ",TRUE,B424,#REF!,#REF!,#REF!,D424,E424)</f>
        <v>#REF!</v>
      </c>
      <c r="H424" s="99"/>
      <c r="I424" s="99"/>
      <c r="J424" s="99"/>
      <c r="K424" s="99"/>
      <c r="L424" s="99"/>
      <c r="M424" s="77">
        <v>0</v>
      </c>
    </row>
    <row r="425" spans="1:13" s="103" customFormat="1" ht="10.9" hidden="1" customHeight="1" x14ac:dyDescent="0.25">
      <c r="A425" s="89" t="s">
        <v>1369</v>
      </c>
      <c r="B425" s="98" t="s">
        <v>1370</v>
      </c>
      <c r="C425" s="101" t="s">
        <v>5349</v>
      </c>
      <c r="D425" s="101" t="s">
        <v>1355</v>
      </c>
      <c r="E425" s="73" t="s">
        <v>1371</v>
      </c>
      <c r="F425" s="100" t="s">
        <v>98</v>
      </c>
      <c r="G425" s="72" t="e">
        <f>_xlfn.TEXTJOIN(", ",TRUE,B425,#REF!,#REF!,#REF!,D425,E425)</f>
        <v>#REF!</v>
      </c>
      <c r="H425" s="99"/>
      <c r="I425" s="99"/>
      <c r="J425" s="99"/>
      <c r="K425" s="99"/>
      <c r="L425" s="99"/>
      <c r="M425" s="77" t="s">
        <v>1372</v>
      </c>
    </row>
    <row r="426" spans="1:13" s="103" customFormat="1" ht="10.9" hidden="1" customHeight="1" x14ac:dyDescent="0.25">
      <c r="A426" s="89" t="s">
        <v>1373</v>
      </c>
      <c r="B426" s="98" t="s">
        <v>1374</v>
      </c>
      <c r="C426" s="101" t="s">
        <v>5349</v>
      </c>
      <c r="D426" s="101" t="s">
        <v>1355</v>
      </c>
      <c r="E426" s="73" t="s">
        <v>1375</v>
      </c>
      <c r="F426" s="100" t="s">
        <v>81</v>
      </c>
      <c r="G426" s="72" t="e">
        <f>_xlfn.TEXTJOIN(", ",TRUE,B426,#REF!,#REF!,#REF!,D426,E426)</f>
        <v>#REF!</v>
      </c>
      <c r="H426" s="99"/>
      <c r="I426" s="99"/>
      <c r="J426" s="99"/>
      <c r="K426" s="99"/>
      <c r="L426" s="99">
        <v>45467</v>
      </c>
      <c r="M426" s="77">
        <v>0</v>
      </c>
    </row>
    <row r="427" spans="1:13" s="103" customFormat="1" ht="10.9" hidden="1" customHeight="1" x14ac:dyDescent="0.25">
      <c r="A427" s="89" t="s">
        <v>1376</v>
      </c>
      <c r="B427" s="98" t="s">
        <v>1377</v>
      </c>
      <c r="C427" s="101" t="s">
        <v>5349</v>
      </c>
      <c r="D427" s="101" t="s">
        <v>1355</v>
      </c>
      <c r="E427" s="73" t="s">
        <v>1378</v>
      </c>
      <c r="F427" s="100" t="s">
        <v>81</v>
      </c>
      <c r="G427" s="72" t="e">
        <f>_xlfn.TEXTJOIN(", ",TRUE,B427,#REF!,#REF!,#REF!,D427,E427)</f>
        <v>#REF!</v>
      </c>
      <c r="H427" s="99"/>
      <c r="I427" s="99"/>
      <c r="J427" s="99"/>
      <c r="K427" s="99"/>
      <c r="L427" s="99"/>
      <c r="M427" s="77">
        <v>0</v>
      </c>
    </row>
    <row r="428" spans="1:13" s="103" customFormat="1" ht="10.9" hidden="1" customHeight="1" x14ac:dyDescent="0.25">
      <c r="A428" s="89" t="s">
        <v>1379</v>
      </c>
      <c r="B428" s="98" t="s">
        <v>1380</v>
      </c>
      <c r="C428" s="101" t="s">
        <v>5349</v>
      </c>
      <c r="D428" s="101" t="s">
        <v>1355</v>
      </c>
      <c r="E428" s="73" t="s">
        <v>1381</v>
      </c>
      <c r="F428" s="100" t="s">
        <v>1382</v>
      </c>
      <c r="G428" s="72" t="e">
        <f>_xlfn.TEXTJOIN(", ",TRUE,B428,#REF!,#REF!,#REF!,D428,E428)</f>
        <v>#REF!</v>
      </c>
      <c r="H428" s="99"/>
      <c r="I428" s="99"/>
      <c r="J428" s="99"/>
      <c r="K428" s="99"/>
      <c r="L428" s="99"/>
      <c r="M428" s="77" t="s">
        <v>88</v>
      </c>
    </row>
    <row r="429" spans="1:13" s="103" customFormat="1" ht="10.9" hidden="1" customHeight="1" x14ac:dyDescent="0.25">
      <c r="A429" s="89" t="s">
        <v>1383</v>
      </c>
      <c r="B429" s="102" t="s">
        <v>1384</v>
      </c>
      <c r="C429" s="101" t="s">
        <v>5349</v>
      </c>
      <c r="D429" s="101" t="s">
        <v>1355</v>
      </c>
      <c r="E429" s="74" t="s">
        <v>1385</v>
      </c>
      <c r="F429" s="100" t="s">
        <v>81</v>
      </c>
      <c r="G429" s="72" t="e">
        <f>_xlfn.TEXTJOIN(", ",TRUE,B429,#REF!,#REF!,#REF!,D429,E429)</f>
        <v>#REF!</v>
      </c>
      <c r="H429" s="99">
        <v>45337</v>
      </c>
      <c r="I429" s="99"/>
      <c r="J429" s="99"/>
      <c r="K429" s="99"/>
      <c r="L429" s="99"/>
      <c r="M429" s="77">
        <v>0</v>
      </c>
    </row>
    <row r="430" spans="1:13" s="103" customFormat="1" ht="10.9" hidden="1" customHeight="1" x14ac:dyDescent="0.25">
      <c r="A430" s="89" t="s">
        <v>1386</v>
      </c>
      <c r="B430" s="98" t="s">
        <v>1387</v>
      </c>
      <c r="C430" s="101" t="s">
        <v>5349</v>
      </c>
      <c r="D430" s="101" t="s">
        <v>1355</v>
      </c>
      <c r="E430" s="73" t="s">
        <v>1388</v>
      </c>
      <c r="F430" s="100" t="s">
        <v>81</v>
      </c>
      <c r="G430" s="72" t="e">
        <f>_xlfn.TEXTJOIN(", ",TRUE,B430,#REF!,#REF!,#REF!,D430,E430)</f>
        <v>#REF!</v>
      </c>
      <c r="H430" s="99">
        <v>44959</v>
      </c>
      <c r="I430" s="99">
        <v>45119</v>
      </c>
      <c r="J430" s="99"/>
      <c r="K430" s="99"/>
      <c r="L430" s="99"/>
      <c r="M430" s="77">
        <v>0</v>
      </c>
    </row>
    <row r="431" spans="1:13" s="103" customFormat="1" ht="10.9" hidden="1" customHeight="1" x14ac:dyDescent="0.25">
      <c r="A431" s="89" t="s">
        <v>1389</v>
      </c>
      <c r="B431" s="98" t="s">
        <v>1390</v>
      </c>
      <c r="C431" s="101" t="s">
        <v>5349</v>
      </c>
      <c r="D431" s="101" t="s">
        <v>1355</v>
      </c>
      <c r="E431" s="73" t="s">
        <v>1391</v>
      </c>
      <c r="F431" s="100" t="s">
        <v>1392</v>
      </c>
      <c r="G431" s="72" t="e">
        <f>_xlfn.TEXTJOIN(", ",TRUE,B431,#REF!,#REF!,#REF!,D431,E431)</f>
        <v>#REF!</v>
      </c>
      <c r="H431" s="99"/>
      <c r="I431" s="99"/>
      <c r="J431" s="99"/>
      <c r="K431" s="99"/>
      <c r="L431" s="99"/>
      <c r="M431" s="77" t="s">
        <v>1393</v>
      </c>
    </row>
    <row r="432" spans="1:13" s="103" customFormat="1" ht="10.9" hidden="1" customHeight="1" x14ac:dyDescent="0.25">
      <c r="A432" s="89" t="s">
        <v>1389</v>
      </c>
      <c r="B432" s="98" t="s">
        <v>1394</v>
      </c>
      <c r="C432" s="101" t="s">
        <v>5349</v>
      </c>
      <c r="D432" s="101" t="s">
        <v>1355</v>
      </c>
      <c r="E432" s="73" t="s">
        <v>1391</v>
      </c>
      <c r="F432" s="100" t="s">
        <v>98</v>
      </c>
      <c r="G432" s="72" t="e">
        <f>_xlfn.TEXTJOIN(", ",TRUE,B432,#REF!,#REF!,#REF!,D432,E432)</f>
        <v>#REF!</v>
      </c>
      <c r="H432" s="99"/>
      <c r="I432" s="99"/>
      <c r="J432" s="99"/>
      <c r="K432" s="99"/>
      <c r="L432" s="99"/>
      <c r="M432" s="77">
        <v>0</v>
      </c>
    </row>
    <row r="433" spans="1:13" s="103" customFormat="1" ht="10.9" hidden="1" customHeight="1" x14ac:dyDescent="0.25">
      <c r="A433" s="89" t="s">
        <v>1395</v>
      </c>
      <c r="B433" s="98" t="s">
        <v>1396</v>
      </c>
      <c r="C433" s="101" t="s">
        <v>5349</v>
      </c>
      <c r="D433" s="101" t="s">
        <v>1355</v>
      </c>
      <c r="E433" s="73" t="s">
        <v>1397</v>
      </c>
      <c r="F433" s="100" t="s">
        <v>449</v>
      </c>
      <c r="G433" s="72" t="e">
        <f>_xlfn.TEXTJOIN(", ",TRUE,B433,#REF!,#REF!,#REF!,D433,E433)</f>
        <v>#REF!</v>
      </c>
      <c r="H433" s="99">
        <v>45009</v>
      </c>
      <c r="I433" s="99"/>
      <c r="J433" s="99"/>
      <c r="K433" s="99"/>
      <c r="L433" s="99"/>
      <c r="M433" s="77" t="s">
        <v>88</v>
      </c>
    </row>
    <row r="434" spans="1:13" s="103" customFormat="1" ht="10.9" hidden="1" customHeight="1" x14ac:dyDescent="0.25">
      <c r="A434" s="89" t="s">
        <v>1398</v>
      </c>
      <c r="B434" s="98" t="s">
        <v>1399</v>
      </c>
      <c r="C434" s="101" t="s">
        <v>5349</v>
      </c>
      <c r="D434" s="101" t="s">
        <v>1355</v>
      </c>
      <c r="E434" s="73" t="s">
        <v>1400</v>
      </c>
      <c r="F434" s="100" t="s">
        <v>98</v>
      </c>
      <c r="G434" s="72" t="e">
        <f>_xlfn.TEXTJOIN(", ",TRUE,B434,#REF!,#REF!,#REF!,D434,E434)</f>
        <v>#REF!</v>
      </c>
      <c r="H434" s="99">
        <v>45869</v>
      </c>
      <c r="I434" s="99"/>
      <c r="J434" s="99"/>
      <c r="K434" s="99"/>
      <c r="L434" s="99"/>
      <c r="M434" s="77">
        <v>0</v>
      </c>
    </row>
    <row r="435" spans="1:13" s="103" customFormat="1" ht="10.9" hidden="1" customHeight="1" x14ac:dyDescent="0.25">
      <c r="A435" s="89" t="s">
        <v>1401</v>
      </c>
      <c r="B435" s="98" t="s">
        <v>1402</v>
      </c>
      <c r="C435" s="101" t="s">
        <v>5349</v>
      </c>
      <c r="D435" s="101" t="s">
        <v>1355</v>
      </c>
      <c r="E435" s="73" t="s">
        <v>1403</v>
      </c>
      <c r="F435" s="100" t="s">
        <v>449</v>
      </c>
      <c r="G435" s="72" t="e">
        <f>_xlfn.TEXTJOIN(", ",TRUE,B435,#REF!,#REF!,#REF!,D435,E435)</f>
        <v>#REF!</v>
      </c>
      <c r="H435" s="99">
        <v>45068</v>
      </c>
      <c r="I435" s="99">
        <v>45826</v>
      </c>
      <c r="J435" s="99"/>
      <c r="K435" s="99">
        <v>45492</v>
      </c>
      <c r="L435" s="99"/>
      <c r="M435" s="77" t="s">
        <v>1404</v>
      </c>
    </row>
    <row r="436" spans="1:13" s="103" customFormat="1" ht="10.9" hidden="1" customHeight="1" x14ac:dyDescent="0.25">
      <c r="A436" s="89" t="s">
        <v>1405</v>
      </c>
      <c r="B436" s="98" t="s">
        <v>1406</v>
      </c>
      <c r="C436" s="101" t="s">
        <v>5349</v>
      </c>
      <c r="D436" s="101" t="s">
        <v>1355</v>
      </c>
      <c r="E436" s="73" t="s">
        <v>1407</v>
      </c>
      <c r="F436" s="100" t="s">
        <v>449</v>
      </c>
      <c r="G436" s="72" t="e">
        <f>_xlfn.TEXTJOIN(", ",TRUE,B436,#REF!,#REF!,#REF!,D436,E436)</f>
        <v>#REF!</v>
      </c>
      <c r="H436" s="99"/>
      <c r="I436" s="99"/>
      <c r="J436" s="99"/>
      <c r="K436" s="99"/>
      <c r="L436" s="99"/>
      <c r="M436" s="77">
        <v>0</v>
      </c>
    </row>
    <row r="437" spans="1:13" s="103" customFormat="1" ht="10.9" hidden="1" customHeight="1" x14ac:dyDescent="0.25">
      <c r="A437" s="89" t="s">
        <v>1408</v>
      </c>
      <c r="B437" s="98" t="s">
        <v>1409</v>
      </c>
      <c r="C437" s="101" t="s">
        <v>5349</v>
      </c>
      <c r="D437" s="101" t="s">
        <v>1355</v>
      </c>
      <c r="E437" s="73" t="s">
        <v>1410</v>
      </c>
      <c r="F437" s="100" t="s">
        <v>81</v>
      </c>
      <c r="G437" s="72" t="e">
        <f>_xlfn.TEXTJOIN(", ",TRUE,B437,#REF!,#REF!,#REF!,D437,E437)</f>
        <v>#REF!</v>
      </c>
      <c r="H437" s="99"/>
      <c r="I437" s="99"/>
      <c r="J437" s="99"/>
      <c r="K437" s="99"/>
      <c r="L437" s="99"/>
      <c r="M437" s="77" t="s">
        <v>1411</v>
      </c>
    </row>
    <row r="438" spans="1:13" s="103" customFormat="1" ht="10.9" hidden="1" customHeight="1" x14ac:dyDescent="0.25">
      <c r="A438" s="89" t="s">
        <v>1412</v>
      </c>
      <c r="B438" s="98" t="s">
        <v>1413</v>
      </c>
      <c r="C438" s="101" t="s">
        <v>5349</v>
      </c>
      <c r="D438" s="101" t="s">
        <v>1355</v>
      </c>
      <c r="E438" s="73" t="s">
        <v>88</v>
      </c>
      <c r="F438" s="100"/>
      <c r="G438" s="72" t="e">
        <f>_xlfn.TEXTJOIN(", ",TRUE,B438,#REF!,#REF!,#REF!,D438,E438)</f>
        <v>#REF!</v>
      </c>
      <c r="H438" s="99"/>
      <c r="I438" s="99"/>
      <c r="J438" s="99"/>
      <c r="K438" s="99"/>
      <c r="L438" s="99"/>
      <c r="M438" s="77" t="s">
        <v>88</v>
      </c>
    </row>
    <row r="439" spans="1:13" s="103" customFormat="1" ht="10.9" hidden="1" customHeight="1" x14ac:dyDescent="0.25">
      <c r="A439" s="89" t="s">
        <v>1414</v>
      </c>
      <c r="B439" s="98" t="s">
        <v>1415</v>
      </c>
      <c r="C439" s="101" t="s">
        <v>5349</v>
      </c>
      <c r="D439" s="101" t="s">
        <v>1355</v>
      </c>
      <c r="E439" s="73" t="s">
        <v>1416</v>
      </c>
      <c r="F439" s="100" t="s">
        <v>81</v>
      </c>
      <c r="G439" s="72" t="e">
        <f>_xlfn.TEXTJOIN(", ",TRUE,B439,#REF!,#REF!,#REF!,D439,E439)</f>
        <v>#REF!</v>
      </c>
      <c r="H439" s="99"/>
      <c r="I439" s="99"/>
      <c r="J439" s="99"/>
      <c r="K439" s="99"/>
      <c r="L439" s="99"/>
      <c r="M439" s="77" t="s">
        <v>1417</v>
      </c>
    </row>
    <row r="440" spans="1:13" s="103" customFormat="1" ht="10.9" hidden="1" customHeight="1" x14ac:dyDescent="0.25">
      <c r="A440" s="89" t="s">
        <v>1418</v>
      </c>
      <c r="B440" s="98" t="s">
        <v>1419</v>
      </c>
      <c r="C440" s="101" t="s">
        <v>5349</v>
      </c>
      <c r="D440" s="101" t="s">
        <v>1355</v>
      </c>
      <c r="E440" s="73" t="s">
        <v>1420</v>
      </c>
      <c r="F440" s="100" t="s">
        <v>81</v>
      </c>
      <c r="G440" s="72" t="e">
        <f>_xlfn.TEXTJOIN(", ",TRUE,B440,#REF!,#REF!,#REF!,D440,E440)</f>
        <v>#REF!</v>
      </c>
      <c r="H440" s="99">
        <v>44950</v>
      </c>
      <c r="I440" s="99"/>
      <c r="J440" s="99"/>
      <c r="K440" s="99"/>
      <c r="L440" s="99"/>
      <c r="M440" s="77" t="s">
        <v>1421</v>
      </c>
    </row>
    <row r="441" spans="1:13" s="103" customFormat="1" ht="10.9" hidden="1" customHeight="1" x14ac:dyDescent="0.25">
      <c r="A441" s="89" t="s">
        <v>1418</v>
      </c>
      <c r="B441" s="98" t="s">
        <v>1422</v>
      </c>
      <c r="C441" s="101" t="s">
        <v>5349</v>
      </c>
      <c r="D441" s="101" t="s">
        <v>1355</v>
      </c>
      <c r="E441" s="73" t="s">
        <v>88</v>
      </c>
      <c r="F441" s="100" t="s">
        <v>98</v>
      </c>
      <c r="G441" s="72" t="e">
        <f>_xlfn.TEXTJOIN(", ",TRUE,B441,#REF!,#REF!,#REF!,D441,E441)</f>
        <v>#REF!</v>
      </c>
      <c r="H441" s="99"/>
      <c r="I441" s="99"/>
      <c r="J441" s="99"/>
      <c r="K441" s="99"/>
      <c r="L441" s="99"/>
      <c r="M441" s="77">
        <v>0</v>
      </c>
    </row>
    <row r="442" spans="1:13" s="103" customFormat="1" ht="10.9" hidden="1" customHeight="1" x14ac:dyDescent="0.25">
      <c r="A442" s="89" t="s">
        <v>1423</v>
      </c>
      <c r="B442" s="98" t="s">
        <v>1424</v>
      </c>
      <c r="C442" s="101" t="s">
        <v>5349</v>
      </c>
      <c r="D442" s="101" t="s">
        <v>1355</v>
      </c>
      <c r="E442" s="73" t="s">
        <v>1425</v>
      </c>
      <c r="F442" s="100" t="s">
        <v>81</v>
      </c>
      <c r="G442" s="72" t="e">
        <f>_xlfn.TEXTJOIN(", ",TRUE,B442,#REF!,#REF!,#REF!,D442,E442)</f>
        <v>#REF!</v>
      </c>
      <c r="H442" s="99">
        <v>45195</v>
      </c>
      <c r="I442" s="99"/>
      <c r="J442" s="99"/>
      <c r="K442" s="99"/>
      <c r="L442" s="99"/>
      <c r="M442" s="77" t="s">
        <v>1426</v>
      </c>
    </row>
    <row r="443" spans="1:13" s="103" customFormat="1" ht="10.9" hidden="1" customHeight="1" x14ac:dyDescent="0.25">
      <c r="A443" s="89" t="s">
        <v>1427</v>
      </c>
      <c r="B443" s="102" t="s">
        <v>1428</v>
      </c>
      <c r="C443" s="101" t="s">
        <v>5348</v>
      </c>
      <c r="D443" s="101" t="s">
        <v>1355</v>
      </c>
      <c r="E443" s="73" t="s">
        <v>1429</v>
      </c>
      <c r="F443" s="100" t="s">
        <v>98</v>
      </c>
      <c r="G443" s="72" t="e">
        <f>_xlfn.TEXTJOIN(", ",TRUE,B443,#REF!,#REF!,#REF!,D443,E443)</f>
        <v>#REF!</v>
      </c>
      <c r="H443" s="99">
        <v>44933</v>
      </c>
      <c r="I443" s="99"/>
      <c r="J443" s="99"/>
      <c r="K443" s="99"/>
      <c r="L443" s="99"/>
      <c r="M443" s="77" t="s">
        <v>88</v>
      </c>
    </row>
    <row r="444" spans="1:13" s="103" customFormat="1" ht="10.9" hidden="1" customHeight="1" x14ac:dyDescent="0.25">
      <c r="A444" s="89" t="s">
        <v>1430</v>
      </c>
      <c r="B444" s="98" t="s">
        <v>1431</v>
      </c>
      <c r="C444" s="101" t="s">
        <v>5349</v>
      </c>
      <c r="D444" s="101" t="s">
        <v>1355</v>
      </c>
      <c r="E444" s="73" t="s">
        <v>1355</v>
      </c>
      <c r="F444" s="100" t="s">
        <v>98</v>
      </c>
      <c r="G444" s="72" t="e">
        <f>_xlfn.TEXTJOIN(", ",TRUE,B444,#REF!,#REF!,#REF!,D444,E444)</f>
        <v>#REF!</v>
      </c>
      <c r="H444" s="99">
        <v>45172</v>
      </c>
      <c r="I444" s="99"/>
      <c r="J444" s="99"/>
      <c r="K444" s="99"/>
      <c r="L444" s="99"/>
      <c r="M444" s="77" t="s">
        <v>1432</v>
      </c>
    </row>
    <row r="445" spans="1:13" s="103" customFormat="1" ht="10.9" hidden="1" customHeight="1" x14ac:dyDescent="0.25">
      <c r="A445" s="89" t="s">
        <v>1433</v>
      </c>
      <c r="B445" s="98" t="s">
        <v>1434</v>
      </c>
      <c r="C445" s="101" t="s">
        <v>5349</v>
      </c>
      <c r="D445" s="101" t="s">
        <v>1355</v>
      </c>
      <c r="E445" s="73" t="s">
        <v>1355</v>
      </c>
      <c r="F445" s="100" t="s">
        <v>81</v>
      </c>
      <c r="G445" s="72" t="e">
        <f>_xlfn.TEXTJOIN(", ",TRUE,B445,#REF!,#REF!,#REF!,D445,E445)</f>
        <v>#REF!</v>
      </c>
      <c r="H445" s="99"/>
      <c r="I445" s="99"/>
      <c r="J445" s="99"/>
      <c r="K445" s="99"/>
      <c r="L445" s="99"/>
      <c r="M445" s="77">
        <v>0</v>
      </c>
    </row>
    <row r="446" spans="1:13" s="103" customFormat="1" ht="10.9" hidden="1" customHeight="1" x14ac:dyDescent="0.25">
      <c r="A446" s="89" t="s">
        <v>1435</v>
      </c>
      <c r="B446" s="98" t="s">
        <v>1436</v>
      </c>
      <c r="C446" s="101" t="s">
        <v>5349</v>
      </c>
      <c r="D446" s="101" t="s">
        <v>1355</v>
      </c>
      <c r="E446" s="73" t="s">
        <v>1437</v>
      </c>
      <c r="F446" s="100" t="s">
        <v>98</v>
      </c>
      <c r="G446" s="72" t="e">
        <f>_xlfn.TEXTJOIN(", ",TRUE,B446,#REF!,#REF!,#REF!,D446,E446)</f>
        <v>#REF!</v>
      </c>
      <c r="H446" s="99">
        <v>45547</v>
      </c>
      <c r="I446" s="99">
        <v>45751</v>
      </c>
      <c r="J446" s="99"/>
      <c r="K446" s="99"/>
      <c r="L446" s="99"/>
      <c r="M446" s="77">
        <v>0</v>
      </c>
    </row>
    <row r="447" spans="1:13" s="103" customFormat="1" ht="10.9" hidden="1" customHeight="1" x14ac:dyDescent="0.25">
      <c r="A447" s="89" t="s">
        <v>1438</v>
      </c>
      <c r="B447" s="102" t="s">
        <v>1439</v>
      </c>
      <c r="C447" s="101" t="s">
        <v>5349</v>
      </c>
      <c r="D447" s="101" t="s">
        <v>1355</v>
      </c>
      <c r="E447" s="73" t="s">
        <v>1440</v>
      </c>
      <c r="F447" s="100" t="s">
        <v>81</v>
      </c>
      <c r="G447" s="72" t="e">
        <f>_xlfn.TEXTJOIN(", ",TRUE,B447,#REF!,#REF!,#REF!,D447,E447)</f>
        <v>#REF!</v>
      </c>
      <c r="H447" s="99">
        <v>44926</v>
      </c>
      <c r="I447" s="99"/>
      <c r="J447" s="99"/>
      <c r="K447" s="99"/>
      <c r="L447" s="99"/>
      <c r="M447" s="77" t="s">
        <v>1441</v>
      </c>
    </row>
    <row r="448" spans="1:13" s="103" customFormat="1" ht="10.9" hidden="1" customHeight="1" x14ac:dyDescent="0.25">
      <c r="A448" s="89" t="s">
        <v>1442</v>
      </c>
      <c r="B448" s="104" t="s">
        <v>1443</v>
      </c>
      <c r="C448" s="101" t="s">
        <v>5349</v>
      </c>
      <c r="D448" s="101" t="s">
        <v>1355</v>
      </c>
      <c r="E448" s="73" t="s">
        <v>1444</v>
      </c>
      <c r="F448" s="100" t="s">
        <v>98</v>
      </c>
      <c r="G448" s="72" t="e">
        <f>_xlfn.TEXTJOIN(", ",TRUE,B448,#REF!,#REF!,#REF!,D448,E448)</f>
        <v>#REF!</v>
      </c>
      <c r="H448" s="99"/>
      <c r="I448" s="99"/>
      <c r="J448" s="99"/>
      <c r="K448" s="99"/>
      <c r="L448" s="99"/>
      <c r="M448" s="77" t="s">
        <v>88</v>
      </c>
    </row>
    <row r="449" spans="1:13" s="103" customFormat="1" ht="10.9" hidden="1" customHeight="1" x14ac:dyDescent="0.25">
      <c r="A449" s="89" t="s">
        <v>1445</v>
      </c>
      <c r="B449" s="104" t="s">
        <v>1446</v>
      </c>
      <c r="C449" s="101" t="s">
        <v>5349</v>
      </c>
      <c r="D449" s="101" t="s">
        <v>1355</v>
      </c>
      <c r="E449" s="73" t="s">
        <v>88</v>
      </c>
      <c r="F449" s="100" t="s">
        <v>98</v>
      </c>
      <c r="G449" s="72" t="e">
        <f>_xlfn.TEXTJOIN(", ",TRUE,B449,#REF!,#REF!,#REF!,D449,E449)</f>
        <v>#REF!</v>
      </c>
      <c r="H449" s="99"/>
      <c r="I449" s="99"/>
      <c r="J449" s="99"/>
      <c r="K449" s="99"/>
      <c r="L449" s="99"/>
      <c r="M449" s="77" t="s">
        <v>88</v>
      </c>
    </row>
    <row r="450" spans="1:13" s="103" customFormat="1" ht="10.9" hidden="1" customHeight="1" x14ac:dyDescent="0.25">
      <c r="A450" s="89" t="s">
        <v>1447</v>
      </c>
      <c r="B450" s="104" t="s">
        <v>1448</v>
      </c>
      <c r="C450" s="101" t="s">
        <v>5349</v>
      </c>
      <c r="D450" s="101" t="s">
        <v>1355</v>
      </c>
      <c r="E450" s="73" t="s">
        <v>88</v>
      </c>
      <c r="F450" s="100"/>
      <c r="G450" s="72" t="e">
        <f>_xlfn.TEXTJOIN(", ",TRUE,B450,#REF!,#REF!,#REF!,D450,E450)</f>
        <v>#REF!</v>
      </c>
      <c r="H450" s="99"/>
      <c r="I450" s="99"/>
      <c r="J450" s="99"/>
      <c r="K450" s="99"/>
      <c r="L450" s="99"/>
      <c r="M450" s="77">
        <v>0</v>
      </c>
    </row>
    <row r="451" spans="1:13" s="103" customFormat="1" ht="10.9" hidden="1" customHeight="1" x14ac:dyDescent="0.25">
      <c r="A451" s="89" t="s">
        <v>1449</v>
      </c>
      <c r="B451" s="98" t="s">
        <v>1450</v>
      </c>
      <c r="C451" s="101" t="s">
        <v>5349</v>
      </c>
      <c r="D451" s="101" t="s">
        <v>1355</v>
      </c>
      <c r="E451" s="73" t="s">
        <v>1355</v>
      </c>
      <c r="F451" s="100" t="s">
        <v>81</v>
      </c>
      <c r="G451" s="72" t="e">
        <f>_xlfn.TEXTJOIN(", ",TRUE,B451,#REF!,#REF!,#REF!,D451,E451)</f>
        <v>#REF!</v>
      </c>
      <c r="H451" s="99"/>
      <c r="I451" s="99"/>
      <c r="J451" s="99"/>
      <c r="K451" s="99"/>
      <c r="L451" s="99"/>
      <c r="M451" s="77">
        <v>0</v>
      </c>
    </row>
    <row r="452" spans="1:13" s="103" customFormat="1" ht="10.9" hidden="1" customHeight="1" x14ac:dyDescent="0.25">
      <c r="A452" s="89" t="s">
        <v>1451</v>
      </c>
      <c r="B452" s="98" t="s">
        <v>1452</v>
      </c>
      <c r="C452" s="101" t="s">
        <v>5349</v>
      </c>
      <c r="D452" s="101" t="s">
        <v>1355</v>
      </c>
      <c r="E452" s="73" t="s">
        <v>1453</v>
      </c>
      <c r="F452" s="100" t="s">
        <v>98</v>
      </c>
      <c r="G452" s="72" t="e">
        <f>_xlfn.TEXTJOIN(", ",TRUE,B452,#REF!,#REF!,#REF!,D452,E452)</f>
        <v>#REF!</v>
      </c>
      <c r="H452" s="99">
        <v>45081</v>
      </c>
      <c r="I452" s="99"/>
      <c r="J452" s="99"/>
      <c r="K452" s="99"/>
      <c r="L452" s="99"/>
      <c r="M452" s="77" t="s">
        <v>1454</v>
      </c>
    </row>
    <row r="453" spans="1:13" s="103" customFormat="1" ht="10.9" hidden="1" customHeight="1" x14ac:dyDescent="0.25">
      <c r="A453" s="89" t="s">
        <v>1455</v>
      </c>
      <c r="B453" s="98" t="s">
        <v>1456</v>
      </c>
      <c r="C453" s="101" t="s">
        <v>5349</v>
      </c>
      <c r="D453" s="101" t="s">
        <v>1355</v>
      </c>
      <c r="E453" s="73" t="s">
        <v>1355</v>
      </c>
      <c r="F453" s="100" t="s">
        <v>282</v>
      </c>
      <c r="G453" s="72" t="e">
        <f>_xlfn.TEXTJOIN(", ",TRUE,B453,#REF!,#REF!,#REF!,D453,E453)</f>
        <v>#REF!</v>
      </c>
      <c r="H453" s="99">
        <v>45320</v>
      </c>
      <c r="I453" s="99"/>
      <c r="J453" s="99"/>
      <c r="K453" s="99"/>
      <c r="L453" s="99"/>
      <c r="M453" s="77">
        <v>0</v>
      </c>
    </row>
    <row r="454" spans="1:13" s="103" customFormat="1" ht="10.9" hidden="1" customHeight="1" x14ac:dyDescent="0.25">
      <c r="A454" s="89" t="s">
        <v>1457</v>
      </c>
      <c r="B454" s="98" t="s">
        <v>1458</v>
      </c>
      <c r="C454" s="101" t="s">
        <v>5349</v>
      </c>
      <c r="D454" s="101" t="s">
        <v>1355</v>
      </c>
      <c r="E454" s="73" t="s">
        <v>1453</v>
      </c>
      <c r="F454" s="100" t="s">
        <v>1459</v>
      </c>
      <c r="G454" s="72" t="e">
        <f>_xlfn.TEXTJOIN(", ",TRUE,B454,#REF!,#REF!,#REF!,D454,E454)</f>
        <v>#REF!</v>
      </c>
      <c r="H454" s="99">
        <v>45090</v>
      </c>
      <c r="I454" s="99">
        <v>45156</v>
      </c>
      <c r="J454" s="99"/>
      <c r="K454" s="99"/>
      <c r="L454" s="99"/>
      <c r="M454" s="77" t="s">
        <v>1460</v>
      </c>
    </row>
    <row r="455" spans="1:13" s="103" customFormat="1" ht="10.9" hidden="1" customHeight="1" x14ac:dyDescent="0.25">
      <c r="A455" s="89" t="s">
        <v>1461</v>
      </c>
      <c r="B455" s="98" t="s">
        <v>1462</v>
      </c>
      <c r="C455" s="101" t="s">
        <v>5349</v>
      </c>
      <c r="D455" s="101" t="s">
        <v>1355</v>
      </c>
      <c r="E455" s="73" t="s">
        <v>1463</v>
      </c>
      <c r="F455" s="100" t="s">
        <v>81</v>
      </c>
      <c r="G455" s="72" t="e">
        <f>_xlfn.TEXTJOIN(", ",TRUE,B455,#REF!,#REF!,#REF!,D455,E455)</f>
        <v>#REF!</v>
      </c>
      <c r="H455" s="99"/>
      <c r="I455" s="99"/>
      <c r="J455" s="99"/>
      <c r="K455" s="99"/>
      <c r="L455" s="99"/>
      <c r="M455" s="77" t="s">
        <v>88</v>
      </c>
    </row>
    <row r="456" spans="1:13" s="103" customFormat="1" ht="10.9" hidden="1" customHeight="1" x14ac:dyDescent="0.25">
      <c r="A456" s="89" t="s">
        <v>1464</v>
      </c>
      <c r="B456" s="98" t="s">
        <v>1465</v>
      </c>
      <c r="C456" s="101" t="s">
        <v>5349</v>
      </c>
      <c r="D456" s="101" t="s">
        <v>1355</v>
      </c>
      <c r="E456" s="73" t="s">
        <v>1375</v>
      </c>
      <c r="F456" s="100" t="s">
        <v>81</v>
      </c>
      <c r="G456" s="72" t="e">
        <f>_xlfn.TEXTJOIN(", ",TRUE,B456,#REF!,#REF!,#REF!,D456,E456)</f>
        <v>#REF!</v>
      </c>
      <c r="H456" s="99"/>
      <c r="I456" s="99"/>
      <c r="J456" s="99"/>
      <c r="K456" s="99"/>
      <c r="L456" s="99"/>
      <c r="M456" s="77">
        <v>0</v>
      </c>
    </row>
    <row r="457" spans="1:13" s="103" customFormat="1" ht="10.9" hidden="1" customHeight="1" x14ac:dyDescent="0.25">
      <c r="A457" s="89" t="s">
        <v>1466</v>
      </c>
      <c r="B457" s="102" t="s">
        <v>1467</v>
      </c>
      <c r="C457" s="101" t="s">
        <v>5349</v>
      </c>
      <c r="D457" s="101" t="s">
        <v>1355</v>
      </c>
      <c r="E457" s="73" t="s">
        <v>1355</v>
      </c>
      <c r="F457" s="100" t="s">
        <v>98</v>
      </c>
      <c r="G457" s="72" t="e">
        <f>_xlfn.TEXTJOIN(", ",TRUE,B457,#REF!,#REF!,#REF!,D457,E457)</f>
        <v>#REF!</v>
      </c>
      <c r="H457" s="99">
        <v>44444</v>
      </c>
      <c r="I457" s="99"/>
      <c r="J457" s="99"/>
      <c r="K457" s="99"/>
      <c r="L457" s="99"/>
      <c r="M457" s="77" t="s">
        <v>861</v>
      </c>
    </row>
    <row r="458" spans="1:13" s="103" customFormat="1" ht="10.9" hidden="1" customHeight="1" x14ac:dyDescent="0.25">
      <c r="A458" s="89" t="s">
        <v>1468</v>
      </c>
      <c r="B458" s="105" t="s">
        <v>1469</v>
      </c>
      <c r="C458" s="101" t="s">
        <v>5349</v>
      </c>
      <c r="D458" s="101" t="s">
        <v>1355</v>
      </c>
      <c r="E458" s="73" t="s">
        <v>1355</v>
      </c>
      <c r="F458" s="100" t="s">
        <v>98</v>
      </c>
      <c r="G458" s="72" t="e">
        <f>_xlfn.TEXTJOIN(", ",TRUE,B458,#REF!,#REF!,#REF!,D458,E458)</f>
        <v>#REF!</v>
      </c>
      <c r="H458" s="99"/>
      <c r="I458" s="99"/>
      <c r="J458" s="99"/>
      <c r="K458" s="99"/>
      <c r="L458" s="99"/>
      <c r="M458" s="77">
        <v>0</v>
      </c>
    </row>
    <row r="459" spans="1:13" s="103" customFormat="1" ht="10.9" hidden="1" customHeight="1" x14ac:dyDescent="0.25">
      <c r="A459" s="89" t="s">
        <v>1470</v>
      </c>
      <c r="B459" s="102" t="s">
        <v>1471</v>
      </c>
      <c r="C459" s="101" t="s">
        <v>5349</v>
      </c>
      <c r="D459" s="101" t="s">
        <v>1355</v>
      </c>
      <c r="E459" s="73" t="s">
        <v>1355</v>
      </c>
      <c r="F459" s="100" t="s">
        <v>81</v>
      </c>
      <c r="G459" s="72" t="e">
        <f>_xlfn.TEXTJOIN(", ",TRUE,B459,#REF!,#REF!,#REF!,D459,E459)</f>
        <v>#REF!</v>
      </c>
      <c r="H459" s="99">
        <v>45152</v>
      </c>
      <c r="I459" s="99"/>
      <c r="J459" s="99"/>
      <c r="K459" s="99"/>
      <c r="L459" s="99">
        <v>45123</v>
      </c>
      <c r="M459" s="77" t="s">
        <v>1472</v>
      </c>
    </row>
    <row r="460" spans="1:13" s="103" customFormat="1" ht="10.9" hidden="1" customHeight="1" x14ac:dyDescent="0.25">
      <c r="A460" s="89" t="s">
        <v>1473</v>
      </c>
      <c r="B460" s="102" t="s">
        <v>1474</v>
      </c>
      <c r="C460" s="101" t="s">
        <v>5349</v>
      </c>
      <c r="D460" s="101" t="s">
        <v>1355</v>
      </c>
      <c r="E460" s="73" t="s">
        <v>1463</v>
      </c>
      <c r="F460" s="100" t="s">
        <v>81</v>
      </c>
      <c r="G460" s="72" t="e">
        <f>_xlfn.TEXTJOIN(", ",TRUE,B460,#REF!,#REF!,#REF!,D460,E460)</f>
        <v>#REF!</v>
      </c>
      <c r="H460" s="99"/>
      <c r="I460" s="99"/>
      <c r="J460" s="99"/>
      <c r="K460" s="99"/>
      <c r="L460" s="99"/>
      <c r="M460" s="77" t="s">
        <v>1475</v>
      </c>
    </row>
    <row r="461" spans="1:13" s="103" customFormat="1" ht="10.9" hidden="1" customHeight="1" x14ac:dyDescent="0.25">
      <c r="A461" s="89" t="s">
        <v>1476</v>
      </c>
      <c r="B461" s="102" t="s">
        <v>1477</v>
      </c>
      <c r="C461" s="101" t="s">
        <v>5349</v>
      </c>
      <c r="D461" s="101" t="s">
        <v>1355</v>
      </c>
      <c r="E461" s="73" t="s">
        <v>1478</v>
      </c>
      <c r="F461" s="100" t="s">
        <v>118</v>
      </c>
      <c r="G461" s="72" t="e">
        <f>_xlfn.TEXTJOIN(", ",TRUE,B461,#REF!,#REF!,#REF!,D461,E461)</f>
        <v>#REF!</v>
      </c>
      <c r="H461" s="99"/>
      <c r="I461" s="99"/>
      <c r="J461" s="99"/>
      <c r="K461" s="99"/>
      <c r="L461" s="99"/>
      <c r="M461" s="77" t="s">
        <v>1479</v>
      </c>
    </row>
    <row r="462" spans="1:13" s="103" customFormat="1" ht="10.9" hidden="1" customHeight="1" x14ac:dyDescent="0.25">
      <c r="A462" s="89" t="s">
        <v>1480</v>
      </c>
      <c r="B462" s="102" t="s">
        <v>1481</v>
      </c>
      <c r="C462" s="101" t="s">
        <v>5349</v>
      </c>
      <c r="D462" s="101" t="s">
        <v>1355</v>
      </c>
      <c r="E462" s="73" t="s">
        <v>1482</v>
      </c>
      <c r="F462" s="100" t="s">
        <v>1483</v>
      </c>
      <c r="G462" s="72" t="e">
        <f>_xlfn.TEXTJOIN(", ",TRUE,B462,#REF!,#REF!,#REF!,D462,E462)</f>
        <v>#REF!</v>
      </c>
      <c r="H462" s="99"/>
      <c r="I462" s="99"/>
      <c r="J462" s="99"/>
      <c r="K462" s="99"/>
      <c r="L462" s="99"/>
      <c r="M462" s="77" t="s">
        <v>1484</v>
      </c>
    </row>
    <row r="463" spans="1:13" s="103" customFormat="1" ht="10.9" hidden="1" customHeight="1" x14ac:dyDescent="0.25">
      <c r="A463" s="89" t="s">
        <v>1485</v>
      </c>
      <c r="B463" s="102" t="s">
        <v>1486</v>
      </c>
      <c r="C463" s="101" t="s">
        <v>5349</v>
      </c>
      <c r="D463" s="101" t="s">
        <v>1487</v>
      </c>
      <c r="E463" s="73" t="s">
        <v>88</v>
      </c>
      <c r="F463" s="100" t="s">
        <v>98</v>
      </c>
      <c r="G463" s="72" t="e">
        <f>_xlfn.TEXTJOIN(", ",TRUE,B463,#REF!,#REF!,#REF!,D463,E463)</f>
        <v>#REF!</v>
      </c>
      <c r="H463" s="99"/>
      <c r="I463" s="99"/>
      <c r="J463" s="99"/>
      <c r="K463" s="99"/>
      <c r="L463" s="99"/>
      <c r="M463" s="77" t="s">
        <v>159</v>
      </c>
    </row>
    <row r="464" spans="1:13" s="103" customFormat="1" ht="10.9" hidden="1" customHeight="1" x14ac:dyDescent="0.25">
      <c r="A464" s="89" t="s">
        <v>1490</v>
      </c>
      <c r="B464" s="98" t="s">
        <v>1491</v>
      </c>
      <c r="C464" s="101" t="s">
        <v>5349</v>
      </c>
      <c r="D464" s="101" t="s">
        <v>1489</v>
      </c>
      <c r="E464" s="73" t="s">
        <v>1489</v>
      </c>
      <c r="F464" s="100" t="s">
        <v>81</v>
      </c>
      <c r="G464" s="72" t="e">
        <f>_xlfn.TEXTJOIN(", ",TRUE,B464,#REF!,#REF!,#REF!,D464,E464)</f>
        <v>#REF!</v>
      </c>
      <c r="H464" s="99"/>
      <c r="I464" s="99"/>
      <c r="J464" s="99"/>
      <c r="K464" s="99"/>
      <c r="L464" s="99"/>
      <c r="M464" s="77" t="s">
        <v>1492</v>
      </c>
    </row>
    <row r="465" spans="1:13" s="103" customFormat="1" ht="10.9" hidden="1" customHeight="1" x14ac:dyDescent="0.25">
      <c r="A465" s="89" t="s">
        <v>1493</v>
      </c>
      <c r="B465" s="98" t="s">
        <v>1494</v>
      </c>
      <c r="C465" s="101" t="s">
        <v>5349</v>
      </c>
      <c r="D465" s="101" t="s">
        <v>1495</v>
      </c>
      <c r="E465" s="73" t="s">
        <v>1496</v>
      </c>
      <c r="F465" s="100" t="s">
        <v>81</v>
      </c>
      <c r="G465" s="72" t="e">
        <f>_xlfn.TEXTJOIN(", ",TRUE,B465,#REF!,#REF!,#REF!,D465,E465)</f>
        <v>#REF!</v>
      </c>
      <c r="H465" s="99">
        <v>45694</v>
      </c>
      <c r="I465" s="99">
        <v>45567</v>
      </c>
      <c r="J465" s="99"/>
      <c r="K465" s="99"/>
      <c r="L465" s="99"/>
      <c r="M465" s="77" t="s">
        <v>1497</v>
      </c>
    </row>
    <row r="466" spans="1:13" s="103" customFormat="1" ht="10.9" hidden="1" customHeight="1" x14ac:dyDescent="0.25">
      <c r="A466" s="89" t="s">
        <v>1498</v>
      </c>
      <c r="B466" s="98" t="s">
        <v>1499</v>
      </c>
      <c r="C466" s="101" t="s">
        <v>5349</v>
      </c>
      <c r="D466" s="101" t="s">
        <v>1495</v>
      </c>
      <c r="E466" s="73" t="s">
        <v>1500</v>
      </c>
      <c r="F466" s="100" t="s">
        <v>98</v>
      </c>
      <c r="G466" s="72" t="e">
        <f>_xlfn.TEXTJOIN(", ",TRUE,B466,#REF!,#REF!,#REF!,D466,E466)</f>
        <v>#REF!</v>
      </c>
      <c r="H466" s="99"/>
      <c r="I466" s="99"/>
      <c r="J466" s="99"/>
      <c r="K466" s="99"/>
      <c r="L466" s="99"/>
      <c r="M466" s="77" t="s">
        <v>1501</v>
      </c>
    </row>
    <row r="467" spans="1:13" s="103" customFormat="1" ht="10.9" hidden="1" customHeight="1" x14ac:dyDescent="0.25">
      <c r="A467" s="89" t="s">
        <v>1502</v>
      </c>
      <c r="B467" s="98" t="s">
        <v>1503</v>
      </c>
      <c r="C467" s="101" t="s">
        <v>5349</v>
      </c>
      <c r="D467" s="101" t="s">
        <v>1495</v>
      </c>
      <c r="E467" s="73" t="s">
        <v>1504</v>
      </c>
      <c r="F467" s="100" t="s">
        <v>81</v>
      </c>
      <c r="G467" s="72" t="e">
        <f>_xlfn.TEXTJOIN(", ",TRUE,B467,#REF!,#REF!,#REF!,D467,E467)</f>
        <v>#REF!</v>
      </c>
      <c r="H467" s="99"/>
      <c r="I467" s="99"/>
      <c r="J467" s="99"/>
      <c r="K467" s="99"/>
      <c r="L467" s="99"/>
      <c r="M467" s="77" t="s">
        <v>1505</v>
      </c>
    </row>
    <row r="468" spans="1:13" s="103" customFormat="1" ht="10.9" hidden="1" customHeight="1" x14ac:dyDescent="0.25">
      <c r="A468" s="89" t="s">
        <v>1506</v>
      </c>
      <c r="B468" s="98" t="s">
        <v>1507</v>
      </c>
      <c r="C468" s="101" t="s">
        <v>5349</v>
      </c>
      <c r="D468" s="101" t="s">
        <v>1495</v>
      </c>
      <c r="E468" s="73" t="s">
        <v>1508</v>
      </c>
      <c r="F468" s="100" t="s">
        <v>81</v>
      </c>
      <c r="G468" s="72" t="e">
        <f>_xlfn.TEXTJOIN(", ",TRUE,B468,#REF!,#REF!,#REF!,D468,E468)</f>
        <v>#REF!</v>
      </c>
      <c r="H468" s="99"/>
      <c r="I468" s="99"/>
      <c r="J468" s="99" t="s">
        <v>316</v>
      </c>
      <c r="K468" s="99"/>
      <c r="L468" s="99"/>
      <c r="M468" s="77" t="s">
        <v>1509</v>
      </c>
    </row>
    <row r="469" spans="1:13" s="103" customFormat="1" ht="10.9" hidden="1" customHeight="1" x14ac:dyDescent="0.25">
      <c r="A469" s="89" t="s">
        <v>1510</v>
      </c>
      <c r="B469" s="98" t="s">
        <v>1511</v>
      </c>
      <c r="C469" s="101" t="s">
        <v>5349</v>
      </c>
      <c r="D469" s="101" t="s">
        <v>1495</v>
      </c>
      <c r="E469" s="73" t="s">
        <v>1495</v>
      </c>
      <c r="F469" s="100" t="s">
        <v>282</v>
      </c>
      <c r="G469" s="72" t="e">
        <f>_xlfn.TEXTJOIN(", ",TRUE,B469,#REF!,#REF!,#REF!,D469,E469)</f>
        <v>#REF!</v>
      </c>
      <c r="H469" s="99">
        <v>44305</v>
      </c>
      <c r="I469" s="99">
        <v>44314</v>
      </c>
      <c r="J469" s="99"/>
      <c r="K469" s="99" t="s">
        <v>88</v>
      </c>
      <c r="L469" s="99" t="s">
        <v>88</v>
      </c>
      <c r="M469" s="77">
        <v>0</v>
      </c>
    </row>
    <row r="470" spans="1:13" s="103" customFormat="1" ht="10.9" hidden="1" customHeight="1" x14ac:dyDescent="0.25">
      <c r="A470" s="89" t="s">
        <v>1512</v>
      </c>
      <c r="B470" s="98" t="s">
        <v>1513</v>
      </c>
      <c r="C470" s="101" t="s">
        <v>5349</v>
      </c>
      <c r="D470" s="101" t="s">
        <v>1495</v>
      </c>
      <c r="E470" s="73" t="s">
        <v>88</v>
      </c>
      <c r="F470" s="100"/>
      <c r="G470" s="72" t="e">
        <f>_xlfn.TEXTJOIN(", ",TRUE,B470,#REF!,#REF!,#REF!,D470,E470)</f>
        <v>#REF!</v>
      </c>
      <c r="H470" s="99"/>
      <c r="I470" s="99"/>
      <c r="J470" s="99"/>
      <c r="K470" s="99"/>
      <c r="L470" s="99"/>
      <c r="M470" s="77" t="s">
        <v>88</v>
      </c>
    </row>
    <row r="471" spans="1:13" s="103" customFormat="1" ht="10.9" hidden="1" customHeight="1" x14ac:dyDescent="0.25">
      <c r="A471" s="89" t="s">
        <v>1514</v>
      </c>
      <c r="B471" s="98" t="s">
        <v>1515</v>
      </c>
      <c r="C471" s="101" t="s">
        <v>5349</v>
      </c>
      <c r="D471" s="101" t="s">
        <v>1495</v>
      </c>
      <c r="E471" s="73" t="s">
        <v>1516</v>
      </c>
      <c r="F471" s="100" t="s">
        <v>81</v>
      </c>
      <c r="G471" s="72" t="e">
        <f>_xlfn.TEXTJOIN(", ",TRUE,B471,#REF!,#REF!,#REF!,D471,E471)</f>
        <v>#REF!</v>
      </c>
      <c r="H471" s="99"/>
      <c r="I471" s="99"/>
      <c r="J471" s="99"/>
      <c r="K471" s="99"/>
      <c r="L471" s="99"/>
      <c r="M471" s="77" t="s">
        <v>1517</v>
      </c>
    </row>
    <row r="472" spans="1:13" s="103" customFormat="1" ht="10.9" hidden="1" customHeight="1" x14ac:dyDescent="0.25">
      <c r="A472" s="89" t="s">
        <v>1518</v>
      </c>
      <c r="B472" s="98" t="s">
        <v>1519</v>
      </c>
      <c r="C472" s="101" t="s">
        <v>5349</v>
      </c>
      <c r="D472" s="101" t="s">
        <v>1495</v>
      </c>
      <c r="E472" s="73" t="s">
        <v>1520</v>
      </c>
      <c r="F472" s="100" t="s">
        <v>81</v>
      </c>
      <c r="G472" s="72" t="e">
        <f>_xlfn.TEXTJOIN(", ",TRUE,B472,#REF!,#REF!,#REF!,D472,E472)</f>
        <v>#REF!</v>
      </c>
      <c r="H472" s="99">
        <v>44841</v>
      </c>
      <c r="I472" s="99"/>
      <c r="J472" s="99"/>
      <c r="K472" s="99"/>
      <c r="L472" s="99"/>
      <c r="M472" s="77" t="s">
        <v>1521</v>
      </c>
    </row>
    <row r="473" spans="1:13" s="103" customFormat="1" ht="10.9" hidden="1" customHeight="1" x14ac:dyDescent="0.25">
      <c r="A473" s="89" t="s">
        <v>1522</v>
      </c>
      <c r="B473" s="98" t="s">
        <v>1523</v>
      </c>
      <c r="C473" s="101" t="s">
        <v>5349</v>
      </c>
      <c r="D473" s="101" t="s">
        <v>1495</v>
      </c>
      <c r="E473" s="73" t="s">
        <v>1524</v>
      </c>
      <c r="F473" s="100" t="s">
        <v>81</v>
      </c>
      <c r="G473" s="72" t="e">
        <f>_xlfn.TEXTJOIN(", ",TRUE,B473,#REF!,#REF!,#REF!,D473,E473)</f>
        <v>#REF!</v>
      </c>
      <c r="H473" s="99">
        <v>45979</v>
      </c>
      <c r="I473" s="99"/>
      <c r="J473" s="99" t="s">
        <v>652</v>
      </c>
      <c r="K473" s="99"/>
      <c r="L473" s="99"/>
      <c r="M473" s="77" t="s">
        <v>1525</v>
      </c>
    </row>
    <row r="474" spans="1:13" s="103" customFormat="1" ht="10.9" hidden="1" customHeight="1" x14ac:dyDescent="0.25">
      <c r="A474" s="89" t="s">
        <v>1502</v>
      </c>
      <c r="B474" s="102" t="s">
        <v>1526</v>
      </c>
      <c r="C474" s="101" t="s">
        <v>5349</v>
      </c>
      <c r="D474" s="101" t="s">
        <v>1495</v>
      </c>
      <c r="E474" s="73" t="s">
        <v>1527</v>
      </c>
      <c r="F474" s="100" t="s">
        <v>98</v>
      </c>
      <c r="G474" s="72" t="e">
        <f>_xlfn.TEXTJOIN(", ",TRUE,B474,#REF!,#REF!,#REF!,D474,E474)</f>
        <v>#REF!</v>
      </c>
      <c r="H474" s="99"/>
      <c r="I474" s="99"/>
      <c r="J474" s="99"/>
      <c r="K474" s="99"/>
      <c r="L474" s="99"/>
      <c r="M474" s="77" t="s">
        <v>1528</v>
      </c>
    </row>
    <row r="475" spans="1:13" s="103" customFormat="1" ht="10.9" hidden="1" customHeight="1" x14ac:dyDescent="0.25">
      <c r="A475" s="89" t="s">
        <v>1529</v>
      </c>
      <c r="B475" s="98" t="s">
        <v>1530</v>
      </c>
      <c r="C475" s="101" t="s">
        <v>5349</v>
      </c>
      <c r="D475" s="101" t="s">
        <v>1495</v>
      </c>
      <c r="E475" s="73" t="s">
        <v>88</v>
      </c>
      <c r="F475" s="100" t="s">
        <v>98</v>
      </c>
      <c r="G475" s="72" t="e">
        <f>_xlfn.TEXTJOIN(", ",TRUE,B475,#REF!,#REF!,#REF!,D475,E475)</f>
        <v>#REF!</v>
      </c>
      <c r="H475" s="99"/>
      <c r="I475" s="99"/>
      <c r="J475" s="99"/>
      <c r="K475" s="99"/>
      <c r="L475" s="99"/>
      <c r="M475" s="77" t="s">
        <v>1531</v>
      </c>
    </row>
    <row r="476" spans="1:13" s="103" customFormat="1" ht="10.9" hidden="1" customHeight="1" x14ac:dyDescent="0.25">
      <c r="A476" s="89" t="s">
        <v>1532</v>
      </c>
      <c r="B476" s="98" t="s">
        <v>1533</v>
      </c>
      <c r="C476" s="101" t="s">
        <v>5349</v>
      </c>
      <c r="D476" s="101" t="s">
        <v>1495</v>
      </c>
      <c r="E476" s="73" t="s">
        <v>1534</v>
      </c>
      <c r="F476" s="100" t="s">
        <v>81</v>
      </c>
      <c r="G476" s="72" t="e">
        <f>_xlfn.TEXTJOIN(", ",TRUE,B476,#REF!,#REF!,#REF!,D476,E476)</f>
        <v>#REF!</v>
      </c>
      <c r="H476" s="99">
        <v>45470</v>
      </c>
      <c r="I476" s="99"/>
      <c r="J476" s="99"/>
      <c r="K476" s="99"/>
      <c r="L476" s="99"/>
      <c r="M476" s="77">
        <v>0</v>
      </c>
    </row>
    <row r="477" spans="1:13" s="103" customFormat="1" ht="10.9" hidden="1" customHeight="1" x14ac:dyDescent="0.25">
      <c r="A477" s="89" t="s">
        <v>1535</v>
      </c>
      <c r="B477" s="98" t="s">
        <v>1536</v>
      </c>
      <c r="C477" s="101" t="s">
        <v>5349</v>
      </c>
      <c r="D477" s="101" t="s">
        <v>1495</v>
      </c>
      <c r="E477" s="73" t="s">
        <v>1537</v>
      </c>
      <c r="F477" s="100" t="s">
        <v>81</v>
      </c>
      <c r="G477" s="72" t="e">
        <f>_xlfn.TEXTJOIN(", ",TRUE,B477,#REF!,#REF!,#REF!,D477,E477)</f>
        <v>#REF!</v>
      </c>
      <c r="H477" s="99">
        <v>45174</v>
      </c>
      <c r="I477" s="99"/>
      <c r="J477" s="99"/>
      <c r="K477" s="99"/>
      <c r="L477" s="99"/>
      <c r="M477" s="77" t="s">
        <v>1538</v>
      </c>
    </row>
    <row r="478" spans="1:13" s="103" customFormat="1" ht="10.9" hidden="1" customHeight="1" x14ac:dyDescent="0.25">
      <c r="A478" s="89" t="s">
        <v>1539</v>
      </c>
      <c r="B478" s="98" t="s">
        <v>1540</v>
      </c>
      <c r="C478" s="101" t="s">
        <v>5349</v>
      </c>
      <c r="D478" s="101" t="s">
        <v>1495</v>
      </c>
      <c r="E478" s="73" t="s">
        <v>88</v>
      </c>
      <c r="F478" s="100" t="s">
        <v>98</v>
      </c>
      <c r="G478" s="72" t="e">
        <f>_xlfn.TEXTJOIN(", ",TRUE,B478,#REF!,#REF!,#REF!,D478,E478)</f>
        <v>#REF!</v>
      </c>
      <c r="H478" s="99"/>
      <c r="I478" s="99"/>
      <c r="J478" s="99"/>
      <c r="K478" s="99"/>
      <c r="L478" s="99"/>
      <c r="M478" s="77" t="s">
        <v>88</v>
      </c>
    </row>
    <row r="479" spans="1:13" s="103" customFormat="1" ht="10.9" hidden="1" customHeight="1" x14ac:dyDescent="0.25">
      <c r="A479" s="89" t="s">
        <v>1541</v>
      </c>
      <c r="B479" s="98" t="s">
        <v>1542</v>
      </c>
      <c r="C479" s="101" t="s">
        <v>5349</v>
      </c>
      <c r="D479" s="101" t="s">
        <v>1495</v>
      </c>
      <c r="E479" s="73" t="s">
        <v>88</v>
      </c>
      <c r="F479" s="100" t="s">
        <v>98</v>
      </c>
      <c r="G479" s="72" t="e">
        <f>_xlfn.TEXTJOIN(", ",TRUE,B479,#REF!,#REF!,#REF!,D479,E479)</f>
        <v>#REF!</v>
      </c>
      <c r="H479" s="99"/>
      <c r="I479" s="99"/>
      <c r="J479" s="99"/>
      <c r="K479" s="99"/>
      <c r="L479" s="99"/>
      <c r="M479" s="77" t="s">
        <v>1543</v>
      </c>
    </row>
    <row r="480" spans="1:13" s="103" customFormat="1" ht="10.9" hidden="1" customHeight="1" x14ac:dyDescent="0.25">
      <c r="A480" s="89" t="s">
        <v>1544</v>
      </c>
      <c r="B480" s="98" t="s">
        <v>1545</v>
      </c>
      <c r="C480" s="101" t="s">
        <v>5349</v>
      </c>
      <c r="D480" s="101" t="s">
        <v>1495</v>
      </c>
      <c r="E480" s="73" t="s">
        <v>88</v>
      </c>
      <c r="F480" s="100"/>
      <c r="G480" s="72" t="e">
        <f>_xlfn.TEXTJOIN(", ",TRUE,B480,#REF!,#REF!,#REF!,D480,E480)</f>
        <v>#REF!</v>
      </c>
      <c r="H480" s="99"/>
      <c r="I480" s="99"/>
      <c r="J480" s="99"/>
      <c r="K480" s="99"/>
      <c r="L480" s="99"/>
      <c r="M480" s="77" t="s">
        <v>88</v>
      </c>
    </row>
    <row r="481" spans="1:13" s="103" customFormat="1" ht="10.9" hidden="1" customHeight="1" x14ac:dyDescent="0.25">
      <c r="A481" s="89" t="s">
        <v>1546</v>
      </c>
      <c r="B481" s="104" t="s">
        <v>1547</v>
      </c>
      <c r="C481" s="101" t="s">
        <v>5349</v>
      </c>
      <c r="D481" s="101" t="s">
        <v>1495</v>
      </c>
      <c r="E481" s="73" t="s">
        <v>1548</v>
      </c>
      <c r="F481" s="100" t="s">
        <v>98</v>
      </c>
      <c r="G481" s="72" t="e">
        <f>_xlfn.TEXTJOIN(", ",TRUE,B481,#REF!,#REF!,#REF!,D481,E481)</f>
        <v>#REF!</v>
      </c>
      <c r="H481" s="99"/>
      <c r="I481" s="99"/>
      <c r="J481" s="99"/>
      <c r="K481" s="99"/>
      <c r="L481" s="99"/>
      <c r="M481" s="77" t="s">
        <v>1549</v>
      </c>
    </row>
    <row r="482" spans="1:13" s="103" customFormat="1" ht="10.9" hidden="1" customHeight="1" x14ac:dyDescent="0.25">
      <c r="A482" s="89" t="s">
        <v>1550</v>
      </c>
      <c r="B482" s="98" t="s">
        <v>1551</v>
      </c>
      <c r="C482" s="101" t="s">
        <v>5349</v>
      </c>
      <c r="D482" s="101" t="s">
        <v>1495</v>
      </c>
      <c r="E482" s="73" t="s">
        <v>1495</v>
      </c>
      <c r="F482" s="100" t="s">
        <v>81</v>
      </c>
      <c r="G482" s="72" t="e">
        <f>_xlfn.TEXTJOIN(", ",TRUE,B482,#REF!,#REF!,#REF!,D482,E482)</f>
        <v>#REF!</v>
      </c>
      <c r="H482" s="99"/>
      <c r="I482" s="99"/>
      <c r="J482" s="99" t="s">
        <v>316</v>
      </c>
      <c r="K482" s="99"/>
      <c r="L482" s="99"/>
      <c r="M482" s="77" t="s">
        <v>88</v>
      </c>
    </row>
    <row r="483" spans="1:13" s="103" customFormat="1" ht="10.9" hidden="1" customHeight="1" x14ac:dyDescent="0.25">
      <c r="A483" s="89" t="s">
        <v>1552</v>
      </c>
      <c r="B483" s="98" t="s">
        <v>1553</v>
      </c>
      <c r="C483" s="101" t="s">
        <v>5349</v>
      </c>
      <c r="D483" s="101" t="s">
        <v>1495</v>
      </c>
      <c r="E483" s="73" t="s">
        <v>88</v>
      </c>
      <c r="F483" s="100" t="s">
        <v>98</v>
      </c>
      <c r="G483" s="72" t="e">
        <f>_xlfn.TEXTJOIN(", ",TRUE,B483,#REF!,#REF!,#REF!,D483,E483)</f>
        <v>#REF!</v>
      </c>
      <c r="H483" s="99"/>
      <c r="I483" s="99"/>
      <c r="J483" s="99"/>
      <c r="K483" s="99"/>
      <c r="L483" s="99"/>
      <c r="M483" s="77" t="s">
        <v>1554</v>
      </c>
    </row>
    <row r="484" spans="1:13" s="103" customFormat="1" ht="10.9" hidden="1" customHeight="1" x14ac:dyDescent="0.25">
      <c r="A484" s="89" t="s">
        <v>1555</v>
      </c>
      <c r="B484" s="98" t="s">
        <v>1556</v>
      </c>
      <c r="C484" s="101" t="s">
        <v>5349</v>
      </c>
      <c r="D484" s="101" t="s">
        <v>1495</v>
      </c>
      <c r="E484" s="73" t="s">
        <v>1557</v>
      </c>
      <c r="F484" s="100" t="s">
        <v>81</v>
      </c>
      <c r="G484" s="72" t="e">
        <f>_xlfn.TEXTJOIN(", ",TRUE,B484,#REF!,#REF!,#REF!,D484,E484)</f>
        <v>#REF!</v>
      </c>
      <c r="H484" s="99">
        <v>45053</v>
      </c>
      <c r="I484" s="99"/>
      <c r="J484" s="99"/>
      <c r="K484" s="99"/>
      <c r="L484" s="99"/>
      <c r="M484" s="77" t="s">
        <v>1558</v>
      </c>
    </row>
    <row r="485" spans="1:13" s="103" customFormat="1" ht="10.9" hidden="1" customHeight="1" x14ac:dyDescent="0.25">
      <c r="A485" s="89" t="s">
        <v>1559</v>
      </c>
      <c r="B485" s="102" t="s">
        <v>1560</v>
      </c>
      <c r="C485" s="101" t="s">
        <v>5349</v>
      </c>
      <c r="D485" s="101" t="s">
        <v>1495</v>
      </c>
      <c r="E485" s="73" t="s">
        <v>1495</v>
      </c>
      <c r="F485" s="100" t="s">
        <v>81</v>
      </c>
      <c r="G485" s="72" t="e">
        <f>_xlfn.TEXTJOIN(", ",TRUE,B485,#REF!,#REF!,#REF!,D485,E485)</f>
        <v>#REF!</v>
      </c>
      <c r="H485" s="99"/>
      <c r="I485" s="99"/>
      <c r="J485" s="99"/>
      <c r="K485" s="99"/>
      <c r="L485" s="99"/>
      <c r="M485" s="77">
        <v>0</v>
      </c>
    </row>
    <row r="486" spans="1:13" s="103" customFormat="1" ht="10.9" hidden="1" customHeight="1" x14ac:dyDescent="0.25">
      <c r="A486" s="89" t="s">
        <v>1561</v>
      </c>
      <c r="B486" s="104" t="s">
        <v>1562</v>
      </c>
      <c r="C486" s="101" t="s">
        <v>5349</v>
      </c>
      <c r="D486" s="101" t="s">
        <v>1495</v>
      </c>
      <c r="E486" s="73" t="s">
        <v>88</v>
      </c>
      <c r="F486" s="100" t="s">
        <v>98</v>
      </c>
      <c r="G486" s="72" t="e">
        <f>_xlfn.TEXTJOIN(", ",TRUE,B486,#REF!,#REF!,#REF!,D486,E486)</f>
        <v>#REF!</v>
      </c>
      <c r="H486" s="99"/>
      <c r="I486" s="99"/>
      <c r="J486" s="99"/>
      <c r="K486" s="99"/>
      <c r="L486" s="99"/>
      <c r="M486" s="77">
        <v>0</v>
      </c>
    </row>
    <row r="487" spans="1:13" s="103" customFormat="1" ht="10.9" hidden="1" customHeight="1" x14ac:dyDescent="0.25">
      <c r="A487" s="89" t="s">
        <v>1563</v>
      </c>
      <c r="B487" s="104" t="s">
        <v>1564</v>
      </c>
      <c r="C487" s="101" t="s">
        <v>5349</v>
      </c>
      <c r="D487" s="101" t="s">
        <v>1495</v>
      </c>
      <c r="E487" s="73" t="s">
        <v>88</v>
      </c>
      <c r="F487" s="100" t="s">
        <v>98</v>
      </c>
      <c r="G487" s="72" t="e">
        <f>_xlfn.TEXTJOIN(", ",TRUE,B487,#REF!,#REF!,#REF!,D487,E487)</f>
        <v>#REF!</v>
      </c>
      <c r="H487" s="99"/>
      <c r="I487" s="99"/>
      <c r="J487" s="99"/>
      <c r="K487" s="99"/>
      <c r="L487" s="99"/>
      <c r="M487" s="77" t="s">
        <v>1565</v>
      </c>
    </row>
    <row r="488" spans="1:13" s="103" customFormat="1" ht="10.9" hidden="1" customHeight="1" x14ac:dyDescent="0.25">
      <c r="A488" s="89" t="s">
        <v>1566</v>
      </c>
      <c r="B488" s="102" t="s">
        <v>1567</v>
      </c>
      <c r="C488" s="101" t="s">
        <v>5348</v>
      </c>
      <c r="D488" s="101" t="s">
        <v>1568</v>
      </c>
      <c r="E488" s="73" t="s">
        <v>88</v>
      </c>
      <c r="F488" s="100" t="s">
        <v>98</v>
      </c>
      <c r="G488" s="72" t="e">
        <f>_xlfn.TEXTJOIN(", ",TRUE,B488,#REF!,#REF!,#REF!,D488,E488)</f>
        <v>#REF!</v>
      </c>
      <c r="H488" s="99"/>
      <c r="I488" s="99"/>
      <c r="J488" s="99"/>
      <c r="K488" s="99"/>
      <c r="L488" s="99"/>
      <c r="M488" s="77">
        <v>0</v>
      </c>
    </row>
    <row r="489" spans="1:13" s="103" customFormat="1" ht="10.9" hidden="1" customHeight="1" x14ac:dyDescent="0.25">
      <c r="A489" s="89" t="s">
        <v>1569</v>
      </c>
      <c r="B489" s="98" t="s">
        <v>1570</v>
      </c>
      <c r="C489" s="101" t="s">
        <v>5349</v>
      </c>
      <c r="D489" s="101" t="s">
        <v>1571</v>
      </c>
      <c r="E489" s="73" t="s">
        <v>1572</v>
      </c>
      <c r="F489" s="100" t="s">
        <v>81</v>
      </c>
      <c r="G489" s="72" t="e">
        <f>_xlfn.TEXTJOIN(", ",TRUE,B489,#REF!,#REF!,#REF!,D489,E489)</f>
        <v>#REF!</v>
      </c>
      <c r="H489" s="99">
        <v>44829</v>
      </c>
      <c r="I489" s="99"/>
      <c r="J489" s="99"/>
      <c r="K489" s="99"/>
      <c r="L489" s="99"/>
      <c r="M489" s="77" t="s">
        <v>1573</v>
      </c>
    </row>
    <row r="490" spans="1:13" s="103" customFormat="1" ht="10.9" hidden="1" customHeight="1" x14ac:dyDescent="0.25">
      <c r="A490" s="89" t="s">
        <v>1574</v>
      </c>
      <c r="B490" s="98" t="s">
        <v>1575</v>
      </c>
      <c r="C490" s="101" t="s">
        <v>5349</v>
      </c>
      <c r="D490" s="101" t="s">
        <v>1576</v>
      </c>
      <c r="E490" s="73" t="s">
        <v>88</v>
      </c>
      <c r="F490" s="100" t="s">
        <v>282</v>
      </c>
      <c r="G490" s="72" t="e">
        <f>_xlfn.TEXTJOIN(", ",TRUE,B490,#REF!,#REF!,#REF!,D490,E490)</f>
        <v>#REF!</v>
      </c>
      <c r="H490" s="99"/>
      <c r="I490" s="99"/>
      <c r="J490" s="99"/>
      <c r="K490" s="99"/>
      <c r="L490" s="99"/>
      <c r="M490" s="77" t="s">
        <v>1497</v>
      </c>
    </row>
    <row r="491" spans="1:13" s="103" customFormat="1" ht="10.9" hidden="1" customHeight="1" x14ac:dyDescent="0.25">
      <c r="A491" s="89" t="s">
        <v>1283</v>
      </c>
      <c r="B491" s="98" t="s">
        <v>1577</v>
      </c>
      <c r="C491" s="101" t="s">
        <v>5349</v>
      </c>
      <c r="D491" s="101" t="s">
        <v>1576</v>
      </c>
      <c r="E491" s="73" t="s">
        <v>88</v>
      </c>
      <c r="F491" s="100" t="s">
        <v>98</v>
      </c>
      <c r="G491" s="72" t="e">
        <f>_xlfn.TEXTJOIN(", ",TRUE,B491,#REF!,#REF!,#REF!,D491,E491)</f>
        <v>#REF!</v>
      </c>
      <c r="H491" s="99"/>
      <c r="I491" s="99"/>
      <c r="J491" s="99"/>
      <c r="K491" s="99"/>
      <c r="L491" s="99"/>
      <c r="M491" s="77">
        <v>0</v>
      </c>
    </row>
    <row r="492" spans="1:13" s="103" customFormat="1" ht="10.9" hidden="1" customHeight="1" x14ac:dyDescent="0.25">
      <c r="A492" s="89" t="s">
        <v>1578</v>
      </c>
      <c r="B492" s="98" t="s">
        <v>1579</v>
      </c>
      <c r="C492" s="101" t="s">
        <v>5349</v>
      </c>
      <c r="D492" s="101" t="s">
        <v>1576</v>
      </c>
      <c r="E492" s="73" t="s">
        <v>88</v>
      </c>
      <c r="F492" s="100" t="s">
        <v>98</v>
      </c>
      <c r="G492" s="72" t="e">
        <f>_xlfn.TEXTJOIN(", ",TRUE,B492,#REF!,#REF!,#REF!,D492,E492)</f>
        <v>#REF!</v>
      </c>
      <c r="H492" s="99"/>
      <c r="I492" s="99"/>
      <c r="J492" s="99"/>
      <c r="K492" s="99"/>
      <c r="L492" s="99"/>
      <c r="M492" s="77" t="s">
        <v>1580</v>
      </c>
    </row>
    <row r="493" spans="1:13" s="103" customFormat="1" ht="10.9" hidden="1" customHeight="1" x14ac:dyDescent="0.25">
      <c r="A493" s="89" t="s">
        <v>1581</v>
      </c>
      <c r="B493" s="98" t="s">
        <v>1582</v>
      </c>
      <c r="C493" s="101" t="s">
        <v>5349</v>
      </c>
      <c r="D493" s="101" t="s">
        <v>1576</v>
      </c>
      <c r="E493" s="73" t="s">
        <v>1583</v>
      </c>
      <c r="F493" s="100" t="s">
        <v>81</v>
      </c>
      <c r="G493" s="72" t="e">
        <f>_xlfn.TEXTJOIN(", ",TRUE,B493,#REF!,#REF!,#REF!,D493,E493)</f>
        <v>#REF!</v>
      </c>
      <c r="H493" s="99">
        <v>44834</v>
      </c>
      <c r="I493" s="99"/>
      <c r="J493" s="99"/>
      <c r="K493" s="99"/>
      <c r="L493" s="99"/>
      <c r="M493" s="77" t="s">
        <v>88</v>
      </c>
    </row>
    <row r="494" spans="1:13" s="103" customFormat="1" ht="10.9" hidden="1" customHeight="1" x14ac:dyDescent="0.25">
      <c r="A494" s="89" t="s">
        <v>1584</v>
      </c>
      <c r="B494" s="98" t="s">
        <v>1585</v>
      </c>
      <c r="C494" s="101" t="s">
        <v>5348</v>
      </c>
      <c r="D494" s="101" t="s">
        <v>1586</v>
      </c>
      <c r="E494" s="73" t="s">
        <v>88</v>
      </c>
      <c r="F494" s="100" t="s">
        <v>98</v>
      </c>
      <c r="G494" s="72" t="e">
        <f>_xlfn.TEXTJOIN(", ",TRUE,B494,#REF!,#REF!,#REF!,D494,E494)</f>
        <v>#REF!</v>
      </c>
      <c r="H494" s="99"/>
      <c r="I494" s="99"/>
      <c r="J494" s="99"/>
      <c r="K494" s="99"/>
      <c r="L494" s="99"/>
      <c r="M494" s="77" t="s">
        <v>1587</v>
      </c>
    </row>
    <row r="495" spans="1:13" s="103" customFormat="1" ht="10.9" hidden="1" customHeight="1" x14ac:dyDescent="0.25">
      <c r="A495" s="89" t="s">
        <v>1588</v>
      </c>
      <c r="B495" s="98" t="s">
        <v>1589</v>
      </c>
      <c r="C495" s="101" t="s">
        <v>5348</v>
      </c>
      <c r="D495" s="101" t="s">
        <v>1586</v>
      </c>
      <c r="E495" s="73" t="s">
        <v>88</v>
      </c>
      <c r="F495" s="100" t="s">
        <v>98</v>
      </c>
      <c r="G495" s="72" t="e">
        <f>_xlfn.TEXTJOIN(", ",TRUE,B495,#REF!,#REF!,#REF!,D495,E495)</f>
        <v>#REF!</v>
      </c>
      <c r="H495" s="99"/>
      <c r="I495" s="99"/>
      <c r="J495" s="99"/>
      <c r="K495" s="99"/>
      <c r="L495" s="99"/>
      <c r="M495" s="77" t="s">
        <v>1590</v>
      </c>
    </row>
    <row r="496" spans="1:13" s="103" customFormat="1" ht="10.9" hidden="1" customHeight="1" x14ac:dyDescent="0.25">
      <c r="A496" s="89" t="s">
        <v>1591</v>
      </c>
      <c r="B496" s="98" t="s">
        <v>1592</v>
      </c>
      <c r="C496" s="101" t="s">
        <v>5348</v>
      </c>
      <c r="D496" s="101" t="s">
        <v>1586</v>
      </c>
      <c r="E496" s="73" t="s">
        <v>1586</v>
      </c>
      <c r="F496" s="100" t="s">
        <v>81</v>
      </c>
      <c r="G496" s="72" t="e">
        <f>_xlfn.TEXTJOIN(", ",TRUE,B496,#REF!,#REF!,#REF!,D496,E496)</f>
        <v>#REF!</v>
      </c>
      <c r="H496" s="99">
        <v>45062</v>
      </c>
      <c r="I496" s="99"/>
      <c r="J496" s="99"/>
      <c r="K496" s="99"/>
      <c r="L496" s="99"/>
      <c r="M496" s="77" t="s">
        <v>1593</v>
      </c>
    </row>
    <row r="497" spans="1:13" s="103" customFormat="1" ht="10.9" hidden="1" customHeight="1" x14ac:dyDescent="0.25">
      <c r="A497" s="89" t="s">
        <v>1594</v>
      </c>
      <c r="B497" s="102" t="s">
        <v>1595</v>
      </c>
      <c r="C497" s="101" t="s">
        <v>5348</v>
      </c>
      <c r="D497" s="101" t="s">
        <v>1586</v>
      </c>
      <c r="E497" s="73" t="s">
        <v>1586</v>
      </c>
      <c r="F497" s="100" t="s">
        <v>98</v>
      </c>
      <c r="G497" s="72" t="e">
        <f>_xlfn.TEXTJOIN(", ",TRUE,B497,#REF!,#REF!,#REF!,D497,E497)</f>
        <v>#REF!</v>
      </c>
      <c r="H497" s="99"/>
      <c r="I497" s="99"/>
      <c r="J497" s="99"/>
      <c r="K497" s="99"/>
      <c r="L497" s="99"/>
      <c r="M497" s="77" t="s">
        <v>88</v>
      </c>
    </row>
    <row r="498" spans="1:13" s="103" customFormat="1" ht="10.9" hidden="1" customHeight="1" x14ac:dyDescent="0.25">
      <c r="A498" s="89" t="s">
        <v>1596</v>
      </c>
      <c r="B498" s="98" t="s">
        <v>1597</v>
      </c>
      <c r="C498" s="101" t="s">
        <v>5349</v>
      </c>
      <c r="D498" s="101" t="s">
        <v>1586</v>
      </c>
      <c r="E498" s="73" t="s">
        <v>1586</v>
      </c>
      <c r="F498" s="100" t="s">
        <v>81</v>
      </c>
      <c r="G498" s="72" t="e">
        <f>_xlfn.TEXTJOIN(", ",TRUE,B498,#REF!,#REF!,#REF!,D498,E498)</f>
        <v>#REF!</v>
      </c>
      <c r="H498" s="99"/>
      <c r="I498" s="99"/>
      <c r="J498" s="99"/>
      <c r="K498" s="99"/>
      <c r="L498" s="99"/>
      <c r="M498" s="77">
        <v>0</v>
      </c>
    </row>
    <row r="499" spans="1:13" s="103" customFormat="1" ht="10.9" hidden="1" customHeight="1" x14ac:dyDescent="0.25">
      <c r="A499" s="89" t="s">
        <v>1596</v>
      </c>
      <c r="B499" s="102" t="s">
        <v>1598</v>
      </c>
      <c r="C499" s="101" t="s">
        <v>5349</v>
      </c>
      <c r="D499" s="101" t="s">
        <v>1586</v>
      </c>
      <c r="E499" s="73" t="s">
        <v>1586</v>
      </c>
      <c r="F499" s="100" t="s">
        <v>81</v>
      </c>
      <c r="G499" s="72" t="e">
        <f>_xlfn.TEXTJOIN(", ",TRUE,B499,#REF!,#REF!,#REF!,D499,E499)</f>
        <v>#REF!</v>
      </c>
      <c r="H499" s="99"/>
      <c r="I499" s="99"/>
      <c r="J499" s="99"/>
      <c r="K499" s="99"/>
      <c r="L499" s="99"/>
      <c r="M499" s="77" t="s">
        <v>643</v>
      </c>
    </row>
    <row r="500" spans="1:13" s="103" customFormat="1" ht="10.9" customHeight="1" x14ac:dyDescent="0.25">
      <c r="A500" s="89" t="s">
        <v>1599</v>
      </c>
      <c r="B500" s="98" t="s">
        <v>1600</v>
      </c>
      <c r="C500" s="101" t="s">
        <v>5347</v>
      </c>
      <c r="D500" s="101" t="s">
        <v>1601</v>
      </c>
      <c r="E500" s="73" t="s">
        <v>1601</v>
      </c>
      <c r="F500" s="100" t="s">
        <v>81</v>
      </c>
      <c r="G500" s="72" t="e">
        <f>_xlfn.TEXTJOIN(", ",TRUE,B500,#REF!,#REF!,#REF!,D500,E500)</f>
        <v>#REF!</v>
      </c>
      <c r="H500" s="99"/>
      <c r="I500" s="99"/>
      <c r="J500" s="99"/>
      <c r="K500" s="99"/>
      <c r="L500" s="99"/>
      <c r="M500" s="77" t="s">
        <v>1602</v>
      </c>
    </row>
    <row r="501" spans="1:13" s="103" customFormat="1" ht="10.9" customHeight="1" x14ac:dyDescent="0.25">
      <c r="A501" s="89" t="s">
        <v>1603</v>
      </c>
      <c r="B501" s="98" t="s">
        <v>1604</v>
      </c>
      <c r="C501" s="101" t="s">
        <v>5347</v>
      </c>
      <c r="D501" s="101" t="s">
        <v>1601</v>
      </c>
      <c r="E501" s="73" t="s">
        <v>1601</v>
      </c>
      <c r="F501" s="100" t="s">
        <v>81</v>
      </c>
      <c r="G501" s="72" t="e">
        <f>_xlfn.TEXTJOIN(", ",TRUE,B501,#REF!,#REF!,#REF!,D501,E501)</f>
        <v>#REF!</v>
      </c>
      <c r="H501" s="99"/>
      <c r="I501" s="99"/>
      <c r="J501" s="99"/>
      <c r="K501" s="99"/>
      <c r="L501" s="99"/>
      <c r="M501" s="77" t="s">
        <v>1605</v>
      </c>
    </row>
    <row r="502" spans="1:13" s="103" customFormat="1" ht="10.9" customHeight="1" x14ac:dyDescent="0.25">
      <c r="A502" s="89" t="s">
        <v>1606</v>
      </c>
      <c r="B502" s="104" t="s">
        <v>1607</v>
      </c>
      <c r="C502" s="101" t="s">
        <v>5347</v>
      </c>
      <c r="D502" s="101" t="s">
        <v>1601</v>
      </c>
      <c r="E502" s="73" t="s">
        <v>1601</v>
      </c>
      <c r="F502" s="100" t="s">
        <v>81</v>
      </c>
      <c r="G502" s="72" t="e">
        <f>_xlfn.TEXTJOIN(", ",TRUE,B502,#REF!,#REF!,#REF!,D502,E502)</f>
        <v>#REF!</v>
      </c>
      <c r="H502" s="99"/>
      <c r="I502" s="99"/>
      <c r="J502" s="99"/>
      <c r="K502" s="99"/>
      <c r="L502" s="99"/>
      <c r="M502" s="77" t="s">
        <v>88</v>
      </c>
    </row>
    <row r="503" spans="1:13" s="103" customFormat="1" ht="10.9" customHeight="1" x14ac:dyDescent="0.25">
      <c r="A503" s="89" t="s">
        <v>1608</v>
      </c>
      <c r="B503" s="102" t="s">
        <v>1609</v>
      </c>
      <c r="C503" s="101" t="s">
        <v>5347</v>
      </c>
      <c r="D503" s="101" t="s">
        <v>1601</v>
      </c>
      <c r="E503" s="73" t="s">
        <v>1601</v>
      </c>
      <c r="F503" s="100" t="s">
        <v>98</v>
      </c>
      <c r="G503" s="72" t="e">
        <f>_xlfn.TEXTJOIN(", ",TRUE,B503,#REF!,#REF!,#REF!,D503,E503)</f>
        <v>#REF!</v>
      </c>
      <c r="H503" s="99"/>
      <c r="I503" s="99"/>
      <c r="J503" s="99"/>
      <c r="K503" s="99"/>
      <c r="L503" s="99"/>
      <c r="M503" s="77" t="s">
        <v>1610</v>
      </c>
    </row>
    <row r="504" spans="1:13" s="103" customFormat="1" ht="10.9" customHeight="1" x14ac:dyDescent="0.25">
      <c r="A504" s="89" t="s">
        <v>1611</v>
      </c>
      <c r="B504" s="98" t="s">
        <v>1612</v>
      </c>
      <c r="C504" s="101" t="s">
        <v>5347</v>
      </c>
      <c r="D504" s="101" t="s">
        <v>1601</v>
      </c>
      <c r="E504" s="73" t="s">
        <v>1601</v>
      </c>
      <c r="F504" s="100" t="s">
        <v>118</v>
      </c>
      <c r="G504" s="72" t="e">
        <f>_xlfn.TEXTJOIN(", ",TRUE,B504,#REF!,#REF!,#REF!,D504,E504)</f>
        <v>#REF!</v>
      </c>
      <c r="H504" s="99">
        <v>45707</v>
      </c>
      <c r="I504" s="99"/>
      <c r="J504" s="99"/>
      <c r="K504" s="99"/>
      <c r="L504" s="99"/>
      <c r="M504" s="77" t="s">
        <v>88</v>
      </c>
    </row>
    <row r="505" spans="1:13" s="103" customFormat="1" ht="10.9" customHeight="1" x14ac:dyDescent="0.25">
      <c r="A505" s="89" t="s">
        <v>1613</v>
      </c>
      <c r="B505" s="98" t="s">
        <v>1614</v>
      </c>
      <c r="C505" s="101" t="s">
        <v>5347</v>
      </c>
      <c r="D505" s="101" t="s">
        <v>1601</v>
      </c>
      <c r="E505" s="73" t="s">
        <v>1615</v>
      </c>
      <c r="F505" s="100" t="s">
        <v>81</v>
      </c>
      <c r="G505" s="72" t="e">
        <f>_xlfn.TEXTJOIN(", ",TRUE,B505,#REF!,#REF!,#REF!,D505,E505)</f>
        <v>#REF!</v>
      </c>
      <c r="H505" s="99"/>
      <c r="I505" s="99"/>
      <c r="J505" s="99"/>
      <c r="K505" s="99"/>
      <c r="L505" s="99"/>
      <c r="M505" s="77" t="s">
        <v>1616</v>
      </c>
    </row>
    <row r="506" spans="1:13" s="103" customFormat="1" ht="10.9" customHeight="1" x14ac:dyDescent="0.25">
      <c r="A506" s="89" t="s">
        <v>1617</v>
      </c>
      <c r="B506" s="98" t="s">
        <v>1618</v>
      </c>
      <c r="C506" s="101" t="s">
        <v>5347</v>
      </c>
      <c r="D506" s="101" t="s">
        <v>1601</v>
      </c>
      <c r="E506" s="73" t="s">
        <v>1601</v>
      </c>
      <c r="F506" s="100" t="s">
        <v>81</v>
      </c>
      <c r="G506" s="72" t="e">
        <f>_xlfn.TEXTJOIN(", ",TRUE,B506,#REF!,#REF!,#REF!,D506,E506)</f>
        <v>#REF!</v>
      </c>
      <c r="H506" s="99"/>
      <c r="I506" s="99"/>
      <c r="J506" s="99"/>
      <c r="K506" s="99"/>
      <c r="L506" s="99"/>
      <c r="M506" s="77" t="s">
        <v>1619</v>
      </c>
    </row>
    <row r="507" spans="1:13" s="103" customFormat="1" ht="10.9" customHeight="1" x14ac:dyDescent="0.25">
      <c r="A507" s="89" t="s">
        <v>1620</v>
      </c>
      <c r="B507" s="98" t="s">
        <v>1621</v>
      </c>
      <c r="C507" s="101" t="s">
        <v>5347</v>
      </c>
      <c r="D507" s="101" t="s">
        <v>1601</v>
      </c>
      <c r="E507" s="73" t="s">
        <v>1601</v>
      </c>
      <c r="F507" s="100" t="s">
        <v>81</v>
      </c>
      <c r="G507" s="72" t="e">
        <f>_xlfn.TEXTJOIN(", ",TRUE,B507,#REF!,#REF!,#REF!,D507,E507)</f>
        <v>#REF!</v>
      </c>
      <c r="H507" s="99"/>
      <c r="I507" s="99"/>
      <c r="J507" s="99"/>
      <c r="K507" s="99"/>
      <c r="L507" s="99"/>
      <c r="M507" s="77" t="s">
        <v>1622</v>
      </c>
    </row>
    <row r="508" spans="1:13" s="103" customFormat="1" ht="10.9" customHeight="1" x14ac:dyDescent="0.25">
      <c r="A508" s="89" t="s">
        <v>1623</v>
      </c>
      <c r="B508" s="98" t="s">
        <v>1624</v>
      </c>
      <c r="C508" s="101" t="s">
        <v>5347</v>
      </c>
      <c r="D508" s="101" t="s">
        <v>1601</v>
      </c>
      <c r="E508" s="73" t="s">
        <v>1625</v>
      </c>
      <c r="F508" s="100" t="s">
        <v>81</v>
      </c>
      <c r="G508" s="72" t="e">
        <f>_xlfn.TEXTJOIN(", ",TRUE,B508,#REF!,#REF!,#REF!,D508,E508)</f>
        <v>#REF!</v>
      </c>
      <c r="H508" s="99">
        <v>45212</v>
      </c>
      <c r="I508" s="99"/>
      <c r="J508" s="99"/>
      <c r="K508" s="99">
        <v>45212</v>
      </c>
      <c r="L508" s="99">
        <v>45212</v>
      </c>
      <c r="M508" s="77" t="s">
        <v>88</v>
      </c>
    </row>
    <row r="509" spans="1:13" s="103" customFormat="1" ht="10.9" customHeight="1" x14ac:dyDescent="0.25">
      <c r="A509" s="89" t="s">
        <v>1626</v>
      </c>
      <c r="B509" s="98" t="s">
        <v>1627</v>
      </c>
      <c r="C509" s="101" t="s">
        <v>5347</v>
      </c>
      <c r="D509" s="101" t="s">
        <v>1601</v>
      </c>
      <c r="E509" s="73" t="s">
        <v>1601</v>
      </c>
      <c r="F509" s="100" t="s">
        <v>81</v>
      </c>
      <c r="G509" s="72" t="e">
        <f>_xlfn.TEXTJOIN(", ",TRUE,B509,#REF!,#REF!,#REF!,D509,E509)</f>
        <v>#REF!</v>
      </c>
      <c r="H509" s="99">
        <v>45103</v>
      </c>
      <c r="I509" s="99"/>
      <c r="J509" s="99"/>
      <c r="K509" s="99"/>
      <c r="L509" s="99"/>
      <c r="M509" s="77" t="s">
        <v>88</v>
      </c>
    </row>
    <row r="510" spans="1:13" s="103" customFormat="1" ht="10.9" hidden="1" customHeight="1" x14ac:dyDescent="0.25">
      <c r="A510" s="89" t="s">
        <v>1628</v>
      </c>
      <c r="B510" s="98" t="s">
        <v>1629</v>
      </c>
      <c r="C510" s="101" t="s">
        <v>5348</v>
      </c>
      <c r="D510" s="101" t="s">
        <v>1630</v>
      </c>
      <c r="E510" s="73" t="s">
        <v>1630</v>
      </c>
      <c r="F510" s="100" t="s">
        <v>81</v>
      </c>
      <c r="G510" s="72" t="e">
        <f>_xlfn.TEXTJOIN(", ",TRUE,B510,#REF!,#REF!,#REF!,D510,E510)</f>
        <v>#REF!</v>
      </c>
      <c r="H510" s="99"/>
      <c r="I510" s="99"/>
      <c r="J510" s="99"/>
      <c r="K510" s="99"/>
      <c r="L510" s="99"/>
      <c r="M510" s="77" t="s">
        <v>1631</v>
      </c>
    </row>
    <row r="511" spans="1:13" s="103" customFormat="1" ht="10.9" hidden="1" customHeight="1" x14ac:dyDescent="0.25">
      <c r="A511" s="89" t="s">
        <v>1632</v>
      </c>
      <c r="B511" s="98" t="s">
        <v>1633</v>
      </c>
      <c r="C511" s="101" t="s">
        <v>5348</v>
      </c>
      <c r="D511" s="101" t="s">
        <v>1634</v>
      </c>
      <c r="E511" s="73" t="s">
        <v>1635</v>
      </c>
      <c r="F511" s="100" t="s">
        <v>449</v>
      </c>
      <c r="G511" s="72" t="e">
        <f>_xlfn.TEXTJOIN(", ",TRUE,B511,#REF!,#REF!,#REF!,D511,E511)</f>
        <v>#REF!</v>
      </c>
      <c r="H511" s="99">
        <v>45136</v>
      </c>
      <c r="I511" s="99"/>
      <c r="J511" s="99"/>
      <c r="K511" s="99"/>
      <c r="L511" s="99"/>
      <c r="M511" s="77" t="s">
        <v>88</v>
      </c>
    </row>
    <row r="512" spans="1:13" s="103" customFormat="1" ht="10.9" hidden="1" customHeight="1" x14ac:dyDescent="0.25">
      <c r="A512" s="89" t="s">
        <v>1636</v>
      </c>
      <c r="B512" s="102" t="s">
        <v>1637</v>
      </c>
      <c r="C512" s="101" t="s">
        <v>5348</v>
      </c>
      <c r="D512" s="101" t="s">
        <v>1634</v>
      </c>
      <c r="E512" s="73" t="s">
        <v>1634</v>
      </c>
      <c r="F512" s="100" t="s">
        <v>221</v>
      </c>
      <c r="G512" s="72" t="e">
        <f>_xlfn.TEXTJOIN(", ",TRUE,B512,#REF!,#REF!,#REF!,D512,E512)</f>
        <v>#REF!</v>
      </c>
      <c r="H512" s="99"/>
      <c r="I512" s="99"/>
      <c r="J512" s="99"/>
      <c r="K512" s="99"/>
      <c r="L512" s="99"/>
      <c r="M512" s="77" t="s">
        <v>88</v>
      </c>
    </row>
    <row r="513" spans="1:13" s="103" customFormat="1" ht="10.9" hidden="1" customHeight="1" x14ac:dyDescent="0.25">
      <c r="A513" s="89" t="s">
        <v>1638</v>
      </c>
      <c r="B513" s="102" t="s">
        <v>1639</v>
      </c>
      <c r="C513" s="101" t="s">
        <v>5348</v>
      </c>
      <c r="D513" s="101" t="s">
        <v>1634</v>
      </c>
      <c r="E513" s="73" t="s">
        <v>1634</v>
      </c>
      <c r="F513" s="100" t="s">
        <v>98</v>
      </c>
      <c r="G513" s="72" t="e">
        <f>_xlfn.TEXTJOIN(", ",TRUE,B513,#REF!,#REF!,#REF!,D513,E513)</f>
        <v>#REF!</v>
      </c>
      <c r="H513" s="99"/>
      <c r="I513" s="99"/>
      <c r="J513" s="99"/>
      <c r="K513" s="99"/>
      <c r="L513" s="99"/>
      <c r="M513" s="77">
        <v>0</v>
      </c>
    </row>
    <row r="514" spans="1:13" s="103" customFormat="1" ht="10.9" hidden="1" customHeight="1" x14ac:dyDescent="0.25">
      <c r="A514" s="89" t="s">
        <v>1640</v>
      </c>
      <c r="B514" s="98" t="s">
        <v>1641</v>
      </c>
      <c r="C514" s="101" t="s">
        <v>5348</v>
      </c>
      <c r="D514" s="101" t="s">
        <v>1642</v>
      </c>
      <c r="E514" s="73" t="s">
        <v>1642</v>
      </c>
      <c r="F514" s="100" t="s">
        <v>130</v>
      </c>
      <c r="G514" s="72" t="e">
        <f>_xlfn.TEXTJOIN(", ",TRUE,B514,#REF!,#REF!,#REF!,D514,E514)</f>
        <v>#REF!</v>
      </c>
      <c r="H514" s="99"/>
      <c r="I514" s="99"/>
      <c r="J514" s="99"/>
      <c r="K514" s="99"/>
      <c r="L514" s="99"/>
      <c r="M514" s="77">
        <v>0</v>
      </c>
    </row>
    <row r="515" spans="1:13" s="103" customFormat="1" ht="10.9" hidden="1" customHeight="1" x14ac:dyDescent="0.25">
      <c r="A515" s="89" t="s">
        <v>1643</v>
      </c>
      <c r="B515" s="104" t="s">
        <v>1644</v>
      </c>
      <c r="C515" s="101" t="s">
        <v>5348</v>
      </c>
      <c r="D515" s="101" t="s">
        <v>1645</v>
      </c>
      <c r="E515" s="73" t="s">
        <v>88</v>
      </c>
      <c r="F515" s="100" t="s">
        <v>98</v>
      </c>
      <c r="G515" s="72" t="e">
        <f>_xlfn.TEXTJOIN(", ",TRUE,B515,#REF!,#REF!,#REF!,D515,E515)</f>
        <v>#REF!</v>
      </c>
      <c r="H515" s="99"/>
      <c r="I515" s="99"/>
      <c r="J515" s="99"/>
      <c r="K515" s="99"/>
      <c r="L515" s="99"/>
      <c r="M515" s="77" t="s">
        <v>88</v>
      </c>
    </row>
    <row r="516" spans="1:13" s="103" customFormat="1" ht="10.9" hidden="1" customHeight="1" x14ac:dyDescent="0.25">
      <c r="A516" s="89" t="s">
        <v>1646</v>
      </c>
      <c r="B516" s="98" t="s">
        <v>1647</v>
      </c>
      <c r="C516" s="101" t="s">
        <v>5349</v>
      </c>
      <c r="D516" s="101" t="s">
        <v>1645</v>
      </c>
      <c r="E516" s="73" t="s">
        <v>88</v>
      </c>
      <c r="F516" s="100" t="s">
        <v>98</v>
      </c>
      <c r="G516" s="72" t="e">
        <f>_xlfn.TEXTJOIN(", ",TRUE,B516,#REF!,#REF!,#REF!,D516,E516)</f>
        <v>#REF!</v>
      </c>
      <c r="H516" s="99"/>
      <c r="I516" s="99"/>
      <c r="J516" s="99"/>
      <c r="K516" s="99"/>
      <c r="L516" s="99"/>
      <c r="M516" s="77" t="s">
        <v>1648</v>
      </c>
    </row>
    <row r="517" spans="1:13" s="103" customFormat="1" ht="10.9" hidden="1" customHeight="1" x14ac:dyDescent="0.25">
      <c r="A517" s="89" t="s">
        <v>1649</v>
      </c>
      <c r="B517" s="98" t="s">
        <v>1650</v>
      </c>
      <c r="C517" s="101" t="s">
        <v>5349</v>
      </c>
      <c r="D517" s="101" t="s">
        <v>1651</v>
      </c>
      <c r="E517" s="73" t="s">
        <v>1652</v>
      </c>
      <c r="F517" s="100" t="s">
        <v>81</v>
      </c>
      <c r="G517" s="72" t="e">
        <f>_xlfn.TEXTJOIN(", ",TRUE,B517,#REF!,#REF!,#REF!,D517,E517)</f>
        <v>#REF!</v>
      </c>
      <c r="H517" s="99">
        <v>44855</v>
      </c>
      <c r="I517" s="99"/>
      <c r="J517" s="99"/>
      <c r="K517" s="99"/>
      <c r="L517" s="99"/>
      <c r="M517" s="77" t="s">
        <v>88</v>
      </c>
    </row>
    <row r="518" spans="1:13" s="103" customFormat="1" ht="10.9" hidden="1" customHeight="1" x14ac:dyDescent="0.25">
      <c r="A518" s="89" t="s">
        <v>1653</v>
      </c>
      <c r="B518" s="102" t="s">
        <v>1654</v>
      </c>
      <c r="C518" s="101" t="s">
        <v>5349</v>
      </c>
      <c r="D518" s="101" t="s">
        <v>1651</v>
      </c>
      <c r="E518" s="73" t="s">
        <v>88</v>
      </c>
      <c r="F518" s="100" t="s">
        <v>98</v>
      </c>
      <c r="G518" s="72" t="e">
        <f>_xlfn.TEXTJOIN(", ",TRUE,B518,#REF!,#REF!,#REF!,D518,E518)</f>
        <v>#REF!</v>
      </c>
      <c r="H518" s="99"/>
      <c r="I518" s="99"/>
      <c r="J518" s="99"/>
      <c r="K518" s="99"/>
      <c r="L518" s="99"/>
      <c r="M518" s="77" t="s">
        <v>88</v>
      </c>
    </row>
    <row r="519" spans="1:13" s="103" customFormat="1" ht="10.9" hidden="1" customHeight="1" x14ac:dyDescent="0.25">
      <c r="A519" s="89" t="s">
        <v>1655</v>
      </c>
      <c r="B519" s="98" t="s">
        <v>1656</v>
      </c>
      <c r="C519" s="101" t="s">
        <v>5349</v>
      </c>
      <c r="D519" s="101" t="s">
        <v>1651</v>
      </c>
      <c r="E519" s="73" t="s">
        <v>1657</v>
      </c>
      <c r="F519" s="100" t="s">
        <v>98</v>
      </c>
      <c r="G519" s="72" t="e">
        <f>_xlfn.TEXTJOIN(", ",TRUE,B519,#REF!,#REF!,#REF!,D519,E519)</f>
        <v>#REF!</v>
      </c>
      <c r="H519" s="99">
        <v>45172</v>
      </c>
      <c r="I519" s="99"/>
      <c r="J519" s="99"/>
      <c r="K519" s="99"/>
      <c r="L519" s="99"/>
      <c r="M519" s="77" t="s">
        <v>88</v>
      </c>
    </row>
    <row r="520" spans="1:13" s="103" customFormat="1" ht="10.9" hidden="1" customHeight="1" x14ac:dyDescent="0.25">
      <c r="A520" s="89" t="s">
        <v>1658</v>
      </c>
      <c r="B520" s="98" t="s">
        <v>1659</v>
      </c>
      <c r="C520" s="101" t="s">
        <v>5349</v>
      </c>
      <c r="D520" s="101" t="s">
        <v>1651</v>
      </c>
      <c r="E520" s="73" t="s">
        <v>1660</v>
      </c>
      <c r="F520" s="100" t="s">
        <v>81</v>
      </c>
      <c r="G520" s="72" t="e">
        <f>_xlfn.TEXTJOIN(", ",TRUE,B520,#REF!,#REF!,#REF!,D520,E520)</f>
        <v>#REF!</v>
      </c>
      <c r="H520" s="99">
        <v>44895</v>
      </c>
      <c r="I520" s="99" t="s">
        <v>79</v>
      </c>
      <c r="J520" s="99"/>
      <c r="K520" s="99"/>
      <c r="L520" s="99"/>
      <c r="M520" s="77">
        <v>0</v>
      </c>
    </row>
    <row r="521" spans="1:13" s="103" customFormat="1" ht="10.9" hidden="1" customHeight="1" x14ac:dyDescent="0.25">
      <c r="A521" s="89" t="s">
        <v>1661</v>
      </c>
      <c r="B521" s="98" t="s">
        <v>1662</v>
      </c>
      <c r="C521" s="101" t="s">
        <v>5349</v>
      </c>
      <c r="D521" s="101" t="s">
        <v>1651</v>
      </c>
      <c r="E521" s="73" t="s">
        <v>1663</v>
      </c>
      <c r="F521" s="100" t="s">
        <v>81</v>
      </c>
      <c r="G521" s="72" t="e">
        <f>_xlfn.TEXTJOIN(", ",TRUE,B521,#REF!,#REF!,#REF!,D521,E521)</f>
        <v>#REF!</v>
      </c>
      <c r="H521" s="99"/>
      <c r="I521" s="99"/>
      <c r="J521" s="99"/>
      <c r="K521" s="99"/>
      <c r="L521" s="99"/>
      <c r="M521" s="77" t="s">
        <v>88</v>
      </c>
    </row>
    <row r="522" spans="1:13" s="103" customFormat="1" ht="10.9" hidden="1" customHeight="1" x14ac:dyDescent="0.25">
      <c r="A522" s="89" t="s">
        <v>1664</v>
      </c>
      <c r="B522" s="98" t="s">
        <v>1665</v>
      </c>
      <c r="C522" s="101" t="s">
        <v>5349</v>
      </c>
      <c r="D522" s="101" t="s">
        <v>1651</v>
      </c>
      <c r="E522" s="73" t="s">
        <v>1666</v>
      </c>
      <c r="F522" s="100" t="s">
        <v>98</v>
      </c>
      <c r="G522" s="72" t="e">
        <f>_xlfn.TEXTJOIN(", ",TRUE,B522,#REF!,#REF!,#REF!,D522,E522)</f>
        <v>#REF!</v>
      </c>
      <c r="H522" s="99">
        <v>45163</v>
      </c>
      <c r="I522" s="99"/>
      <c r="J522" s="99"/>
      <c r="K522" s="99"/>
      <c r="L522" s="99"/>
      <c r="M522" s="77" t="s">
        <v>88</v>
      </c>
    </row>
    <row r="523" spans="1:13" s="103" customFormat="1" ht="10.9" hidden="1" customHeight="1" x14ac:dyDescent="0.25">
      <c r="A523" s="89" t="s">
        <v>1667</v>
      </c>
      <c r="B523" s="102" t="s">
        <v>1668</v>
      </c>
      <c r="C523" s="101" t="s">
        <v>5349</v>
      </c>
      <c r="D523" s="101" t="s">
        <v>1651</v>
      </c>
      <c r="E523" s="73" t="s">
        <v>88</v>
      </c>
      <c r="F523" s="100" t="s">
        <v>98</v>
      </c>
      <c r="G523" s="72" t="e">
        <f>_xlfn.TEXTJOIN(", ",TRUE,B523,#REF!,#REF!,#REF!,D523,E523)</f>
        <v>#REF!</v>
      </c>
      <c r="H523" s="99"/>
      <c r="I523" s="99"/>
      <c r="J523" s="99"/>
      <c r="K523" s="99"/>
      <c r="L523" s="99"/>
      <c r="M523" s="77" t="s">
        <v>88</v>
      </c>
    </row>
    <row r="524" spans="1:13" s="103" customFormat="1" ht="10.9" hidden="1" customHeight="1" x14ac:dyDescent="0.25">
      <c r="A524" s="89" t="s">
        <v>1669</v>
      </c>
      <c r="B524" s="98" t="s">
        <v>1670</v>
      </c>
      <c r="C524" s="101" t="s">
        <v>5349</v>
      </c>
      <c r="D524" s="101" t="s">
        <v>1651</v>
      </c>
      <c r="E524" s="73" t="s">
        <v>1671</v>
      </c>
      <c r="F524" s="100" t="s">
        <v>98</v>
      </c>
      <c r="G524" s="72" t="e">
        <f>_xlfn.TEXTJOIN(", ",TRUE,B524,#REF!,#REF!,#REF!,D524,E524)</f>
        <v>#REF!</v>
      </c>
      <c r="H524" s="99"/>
      <c r="I524" s="99"/>
      <c r="J524" s="99"/>
      <c r="K524" s="99"/>
      <c r="L524" s="99"/>
      <c r="M524" s="77">
        <v>0</v>
      </c>
    </row>
    <row r="525" spans="1:13" s="103" customFormat="1" ht="10.9" hidden="1" customHeight="1" x14ac:dyDescent="0.25">
      <c r="A525" s="89" t="s">
        <v>1672</v>
      </c>
      <c r="B525" s="98" t="s">
        <v>1673</v>
      </c>
      <c r="C525" s="101" t="s">
        <v>5349</v>
      </c>
      <c r="D525" s="101" t="s">
        <v>1651</v>
      </c>
      <c r="E525" s="73" t="s">
        <v>1674</v>
      </c>
      <c r="F525" s="100" t="s">
        <v>98</v>
      </c>
      <c r="G525" s="72" t="e">
        <f>_xlfn.TEXTJOIN(", ",TRUE,B525,#REF!,#REF!,#REF!,D525,E525)</f>
        <v>#REF!</v>
      </c>
      <c r="H525" s="99"/>
      <c r="I525" s="99"/>
      <c r="J525" s="99">
        <v>44519</v>
      </c>
      <c r="K525" s="99"/>
      <c r="L525" s="99"/>
      <c r="M525" s="77" t="s">
        <v>88</v>
      </c>
    </row>
    <row r="526" spans="1:13" s="103" customFormat="1" ht="10.9" hidden="1" customHeight="1" x14ac:dyDescent="0.25">
      <c r="A526" s="89" t="s">
        <v>1675</v>
      </c>
      <c r="B526" s="98" t="s">
        <v>1676</v>
      </c>
      <c r="C526" s="101" t="s">
        <v>5349</v>
      </c>
      <c r="D526" s="101" t="s">
        <v>1651</v>
      </c>
      <c r="E526" s="73" t="s">
        <v>1677</v>
      </c>
      <c r="F526" s="100" t="s">
        <v>81</v>
      </c>
      <c r="G526" s="72" t="e">
        <f>_xlfn.TEXTJOIN(", ",TRUE,B526,#REF!,#REF!,#REF!,D526,E526)</f>
        <v>#REF!</v>
      </c>
      <c r="H526" s="99"/>
      <c r="I526" s="99"/>
      <c r="J526" s="99"/>
      <c r="K526" s="99"/>
      <c r="L526" s="99"/>
      <c r="M526" s="77" t="s">
        <v>88</v>
      </c>
    </row>
    <row r="527" spans="1:13" s="103" customFormat="1" ht="10.9" hidden="1" customHeight="1" x14ac:dyDescent="0.25">
      <c r="A527" s="89" t="s">
        <v>1678</v>
      </c>
      <c r="B527" s="98" t="s">
        <v>1679</v>
      </c>
      <c r="C527" s="101" t="s">
        <v>5349</v>
      </c>
      <c r="D527" s="101" t="s">
        <v>1651</v>
      </c>
      <c r="E527" s="73" t="s">
        <v>88</v>
      </c>
      <c r="F527" s="100" t="s">
        <v>282</v>
      </c>
      <c r="G527" s="72" t="e">
        <f>_xlfn.TEXTJOIN(", ",TRUE,B527,#REF!,#REF!,#REF!,D527,E527)</f>
        <v>#REF!</v>
      </c>
      <c r="H527" s="99"/>
      <c r="I527" s="99"/>
      <c r="J527" s="99"/>
      <c r="K527" s="99"/>
      <c r="L527" s="99"/>
      <c r="M527" s="77" t="s">
        <v>945</v>
      </c>
    </row>
    <row r="528" spans="1:13" s="103" customFormat="1" ht="10.9" hidden="1" customHeight="1" x14ac:dyDescent="0.25">
      <c r="A528" s="89" t="s">
        <v>1680</v>
      </c>
      <c r="B528" s="102" t="s">
        <v>1681</v>
      </c>
      <c r="C528" s="101" t="s">
        <v>5349</v>
      </c>
      <c r="D528" s="101" t="s">
        <v>1651</v>
      </c>
      <c r="E528" s="73" t="s">
        <v>88</v>
      </c>
      <c r="F528" s="100"/>
      <c r="G528" s="72" t="e">
        <f>_xlfn.TEXTJOIN(", ",TRUE,B528,#REF!,#REF!,#REF!,D528,E528)</f>
        <v>#REF!</v>
      </c>
      <c r="H528" s="99"/>
      <c r="I528" s="99"/>
      <c r="J528" s="99"/>
      <c r="K528" s="99"/>
      <c r="L528" s="99"/>
      <c r="M528" s="77" t="s">
        <v>1682</v>
      </c>
    </row>
    <row r="529" spans="1:13" s="103" customFormat="1" ht="10.9" hidden="1" customHeight="1" x14ac:dyDescent="0.25">
      <c r="A529" s="89" t="s">
        <v>1683</v>
      </c>
      <c r="B529" s="98" t="s">
        <v>1684</v>
      </c>
      <c r="C529" s="101" t="s">
        <v>5349</v>
      </c>
      <c r="D529" s="101" t="s">
        <v>1651</v>
      </c>
      <c r="E529" s="73" t="s">
        <v>1677</v>
      </c>
      <c r="F529" s="100" t="s">
        <v>118</v>
      </c>
      <c r="G529" s="72" t="e">
        <f>_xlfn.TEXTJOIN(", ",TRUE,B529,#REF!,#REF!,#REF!,D529,E529)</f>
        <v>#REF!</v>
      </c>
      <c r="H529" s="99"/>
      <c r="I529" s="99">
        <v>45447</v>
      </c>
      <c r="J529" s="99"/>
      <c r="K529" s="99"/>
      <c r="L529" s="99"/>
      <c r="M529" s="77" t="s">
        <v>1682</v>
      </c>
    </row>
    <row r="530" spans="1:13" s="103" customFormat="1" ht="10.9" hidden="1" customHeight="1" x14ac:dyDescent="0.25">
      <c r="A530" s="89" t="s">
        <v>1685</v>
      </c>
      <c r="B530" s="98" t="s">
        <v>1686</v>
      </c>
      <c r="C530" s="101" t="s">
        <v>5349</v>
      </c>
      <c r="D530" s="101" t="s">
        <v>1651</v>
      </c>
      <c r="E530" s="73" t="s">
        <v>1687</v>
      </c>
      <c r="F530" s="100" t="s">
        <v>81</v>
      </c>
      <c r="G530" s="72" t="e">
        <f>_xlfn.TEXTJOIN(", ",TRUE,B530,#REF!,#REF!,#REF!,D530,E530)</f>
        <v>#REF!</v>
      </c>
      <c r="H530" s="99"/>
      <c r="I530" s="99"/>
      <c r="J530" s="99" t="s">
        <v>316</v>
      </c>
      <c r="K530" s="99"/>
      <c r="L530" s="99"/>
      <c r="M530" s="77" t="s">
        <v>1688</v>
      </c>
    </row>
    <row r="531" spans="1:13" s="103" customFormat="1" ht="10.9" hidden="1" customHeight="1" x14ac:dyDescent="0.25">
      <c r="A531" s="89" t="s">
        <v>1689</v>
      </c>
      <c r="B531" s="98" t="s">
        <v>1690</v>
      </c>
      <c r="C531" s="101" t="s">
        <v>5349</v>
      </c>
      <c r="D531" s="101" t="s">
        <v>1651</v>
      </c>
      <c r="E531" s="73" t="s">
        <v>1691</v>
      </c>
      <c r="F531" s="100" t="s">
        <v>98</v>
      </c>
      <c r="G531" s="72" t="e">
        <f>_xlfn.TEXTJOIN(", ",TRUE,B531,#REF!,#REF!,#REF!,D531,E531)</f>
        <v>#REF!</v>
      </c>
      <c r="H531" s="99"/>
      <c r="I531" s="99"/>
      <c r="J531" s="99"/>
      <c r="K531" s="99"/>
      <c r="L531" s="99"/>
      <c r="M531" s="77" t="s">
        <v>1692</v>
      </c>
    </row>
    <row r="532" spans="1:13" s="103" customFormat="1" ht="10.9" hidden="1" customHeight="1" x14ac:dyDescent="0.25">
      <c r="A532" s="89" t="s">
        <v>1693</v>
      </c>
      <c r="B532" s="98" t="s">
        <v>1694</v>
      </c>
      <c r="C532" s="101" t="s">
        <v>5349</v>
      </c>
      <c r="D532" s="101" t="s">
        <v>1651</v>
      </c>
      <c r="E532" s="73" t="s">
        <v>1695</v>
      </c>
      <c r="F532" s="100" t="s">
        <v>282</v>
      </c>
      <c r="G532" s="72" t="e">
        <f>_xlfn.TEXTJOIN(", ",TRUE,B532,#REF!,#REF!,#REF!,D532,E532)</f>
        <v>#REF!</v>
      </c>
      <c r="H532" s="99">
        <v>45253</v>
      </c>
      <c r="I532" s="99"/>
      <c r="J532" s="99"/>
      <c r="K532" s="99"/>
      <c r="L532" s="99"/>
      <c r="M532" s="77">
        <v>0</v>
      </c>
    </row>
    <row r="533" spans="1:13" s="103" customFormat="1" ht="10.9" hidden="1" customHeight="1" x14ac:dyDescent="0.25">
      <c r="A533" s="89" t="s">
        <v>1696</v>
      </c>
      <c r="B533" s="104" t="s">
        <v>1697</v>
      </c>
      <c r="C533" s="101" t="s">
        <v>5349</v>
      </c>
      <c r="D533" s="101" t="s">
        <v>1651</v>
      </c>
      <c r="E533" s="73" t="s">
        <v>88</v>
      </c>
      <c r="F533" s="100" t="s">
        <v>98</v>
      </c>
      <c r="G533" s="72" t="e">
        <f>_xlfn.TEXTJOIN(", ",TRUE,B533,#REF!,#REF!,#REF!,D533,E533)</f>
        <v>#REF!</v>
      </c>
      <c r="H533" s="99"/>
      <c r="I533" s="99"/>
      <c r="J533" s="99"/>
      <c r="K533" s="99"/>
      <c r="L533" s="99"/>
      <c r="M533" s="77" t="s">
        <v>1698</v>
      </c>
    </row>
    <row r="534" spans="1:13" s="103" customFormat="1" ht="10.9" hidden="1" customHeight="1" x14ac:dyDescent="0.25">
      <c r="A534" s="89" t="s">
        <v>1699</v>
      </c>
      <c r="B534" s="102" t="s">
        <v>1700</v>
      </c>
      <c r="C534" s="101" t="s">
        <v>5349</v>
      </c>
      <c r="D534" s="101" t="s">
        <v>1651</v>
      </c>
      <c r="E534" s="73" t="s">
        <v>1695</v>
      </c>
      <c r="F534" s="100" t="s">
        <v>81</v>
      </c>
      <c r="G534" s="72" t="e">
        <f>_xlfn.TEXTJOIN(", ",TRUE,B534,#REF!,#REF!,#REF!,D534,E534)</f>
        <v>#REF!</v>
      </c>
      <c r="H534" s="99">
        <v>45067</v>
      </c>
      <c r="I534" s="99">
        <v>45228</v>
      </c>
      <c r="J534" s="99"/>
      <c r="K534" s="99"/>
      <c r="L534" s="99">
        <v>44728</v>
      </c>
      <c r="M534" s="77" t="s">
        <v>1701</v>
      </c>
    </row>
    <row r="535" spans="1:13" s="103" customFormat="1" ht="10.9" hidden="1" customHeight="1" x14ac:dyDescent="0.25">
      <c r="A535" s="89" t="s">
        <v>1703</v>
      </c>
      <c r="B535" s="98" t="s">
        <v>5346</v>
      </c>
      <c r="C535" s="101" t="s">
        <v>5349</v>
      </c>
      <c r="D535" s="101" t="s">
        <v>1651</v>
      </c>
      <c r="E535" s="73" t="s">
        <v>1704</v>
      </c>
      <c r="F535" s="100" t="s">
        <v>98</v>
      </c>
      <c r="G535" s="72" t="e">
        <f>_xlfn.TEXTJOIN(", ",TRUE,B535,#REF!,#REF!,#REF!,D535,E535)</f>
        <v>#REF!</v>
      </c>
      <c r="H535" s="99">
        <v>45690</v>
      </c>
      <c r="I535" s="99"/>
      <c r="J535" s="99"/>
      <c r="K535" s="99"/>
      <c r="L535" s="99"/>
      <c r="M535" s="77">
        <v>0</v>
      </c>
    </row>
    <row r="536" spans="1:13" s="103" customFormat="1" ht="10.9" hidden="1" customHeight="1" x14ac:dyDescent="0.25">
      <c r="A536" s="89" t="s">
        <v>1693</v>
      </c>
      <c r="B536" s="102" t="s">
        <v>1705</v>
      </c>
      <c r="C536" s="101" t="s">
        <v>5349</v>
      </c>
      <c r="D536" s="101" t="s">
        <v>1651</v>
      </c>
      <c r="E536" s="73" t="s">
        <v>1695</v>
      </c>
      <c r="F536" s="100" t="s">
        <v>98</v>
      </c>
      <c r="G536" s="72" t="e">
        <f>_xlfn.TEXTJOIN(", ",TRUE,B536,#REF!,#REF!,#REF!,D536,E536)</f>
        <v>#REF!</v>
      </c>
      <c r="H536" s="99">
        <v>45253</v>
      </c>
      <c r="I536" s="99"/>
      <c r="J536" s="99"/>
      <c r="K536" s="99"/>
      <c r="L536" s="99"/>
      <c r="M536" s="77" t="s">
        <v>1706</v>
      </c>
    </row>
    <row r="537" spans="1:13" s="103" customFormat="1" ht="10.9" hidden="1" customHeight="1" x14ac:dyDescent="0.25">
      <c r="A537" s="89" t="s">
        <v>1707</v>
      </c>
      <c r="B537" s="98" t="s">
        <v>1708</v>
      </c>
      <c r="C537" s="101" t="s">
        <v>5349</v>
      </c>
      <c r="D537" s="101" t="s">
        <v>1651</v>
      </c>
      <c r="E537" s="73" t="s">
        <v>1695</v>
      </c>
      <c r="F537" s="100" t="s">
        <v>81</v>
      </c>
      <c r="G537" s="72" t="e">
        <f>_xlfn.TEXTJOIN(", ",TRUE,B537,#REF!,#REF!,#REF!,D537,E537)</f>
        <v>#REF!</v>
      </c>
      <c r="H537" s="99">
        <v>45355</v>
      </c>
      <c r="I537" s="99">
        <v>45355</v>
      </c>
      <c r="J537" s="99"/>
      <c r="K537" s="99"/>
      <c r="L537" s="99">
        <v>45433</v>
      </c>
      <c r="M537" s="77">
        <v>0</v>
      </c>
    </row>
    <row r="538" spans="1:13" s="103" customFormat="1" ht="10.9" hidden="1" customHeight="1" x14ac:dyDescent="0.25">
      <c r="A538" s="89" t="s">
        <v>1709</v>
      </c>
      <c r="B538" s="102" t="s">
        <v>1710</v>
      </c>
      <c r="C538" s="101" t="s">
        <v>5349</v>
      </c>
      <c r="D538" s="101" t="s">
        <v>1651</v>
      </c>
      <c r="E538" s="73" t="s">
        <v>1711</v>
      </c>
      <c r="F538" s="100" t="s">
        <v>81</v>
      </c>
      <c r="G538" s="72" t="e">
        <f>_xlfn.TEXTJOIN(", ",TRUE,B538,#REF!,#REF!,#REF!,D538,E538)</f>
        <v>#REF!</v>
      </c>
      <c r="H538" s="99">
        <v>45054</v>
      </c>
      <c r="I538" s="99"/>
      <c r="J538" s="99"/>
      <c r="K538" s="99"/>
      <c r="L538" s="99"/>
      <c r="M538" s="77">
        <v>0</v>
      </c>
    </row>
    <row r="539" spans="1:13" s="103" customFormat="1" ht="10.9" hidden="1" customHeight="1" x14ac:dyDescent="0.25">
      <c r="A539" s="89" t="s">
        <v>1712</v>
      </c>
      <c r="B539" s="102" t="s">
        <v>1713</v>
      </c>
      <c r="C539" s="101" t="s">
        <v>5349</v>
      </c>
      <c r="D539" s="101" t="s">
        <v>1651</v>
      </c>
      <c r="E539" s="73" t="s">
        <v>1711</v>
      </c>
      <c r="F539" s="100" t="s">
        <v>81</v>
      </c>
      <c r="G539" s="72" t="e">
        <f>_xlfn.TEXTJOIN(", ",TRUE,B539,#REF!,#REF!,#REF!,D539,E539)</f>
        <v>#REF!</v>
      </c>
      <c r="H539" s="99"/>
      <c r="I539" s="99"/>
      <c r="J539" s="99" t="s">
        <v>316</v>
      </c>
      <c r="K539" s="99"/>
      <c r="L539" s="99"/>
      <c r="M539" s="77">
        <v>0</v>
      </c>
    </row>
    <row r="540" spans="1:13" s="103" customFormat="1" ht="10.9" hidden="1" customHeight="1" x14ac:dyDescent="0.25">
      <c r="A540" s="89" t="s">
        <v>1714</v>
      </c>
      <c r="B540" s="98" t="s">
        <v>1715</v>
      </c>
      <c r="C540" s="101" t="s">
        <v>5349</v>
      </c>
      <c r="D540" s="101" t="s">
        <v>1651</v>
      </c>
      <c r="E540" s="73" t="s">
        <v>1711</v>
      </c>
      <c r="F540" s="100" t="s">
        <v>81</v>
      </c>
      <c r="G540" s="72" t="e">
        <f>_xlfn.TEXTJOIN(", ",TRUE,B540,#REF!,#REF!,#REF!,D540,E540)</f>
        <v>#REF!</v>
      </c>
      <c r="H540" s="99"/>
      <c r="I540" s="99"/>
      <c r="J540" s="99"/>
      <c r="K540" s="99"/>
      <c r="L540" s="99"/>
      <c r="M540" s="77" t="s">
        <v>1716</v>
      </c>
    </row>
    <row r="541" spans="1:13" s="103" customFormat="1" ht="10.9" hidden="1" customHeight="1" x14ac:dyDescent="0.25">
      <c r="A541" s="89" t="s">
        <v>1717</v>
      </c>
      <c r="B541" s="98" t="s">
        <v>1718</v>
      </c>
      <c r="C541" s="101" t="s">
        <v>5349</v>
      </c>
      <c r="D541" s="101" t="s">
        <v>1651</v>
      </c>
      <c r="E541" s="73" t="s">
        <v>1711</v>
      </c>
      <c r="F541" s="100" t="s">
        <v>98</v>
      </c>
      <c r="G541" s="72" t="e">
        <f>_xlfn.TEXTJOIN(", ",TRUE,B541,#REF!,#REF!,#REF!,D541,E541)</f>
        <v>#REF!</v>
      </c>
      <c r="H541" s="99"/>
      <c r="I541" s="99"/>
      <c r="J541" s="99"/>
      <c r="K541" s="99"/>
      <c r="L541" s="99"/>
      <c r="M541" s="77">
        <v>0</v>
      </c>
    </row>
    <row r="542" spans="1:13" s="103" customFormat="1" ht="10.9" hidden="1" customHeight="1" x14ac:dyDescent="0.25">
      <c r="A542" s="89" t="s">
        <v>1719</v>
      </c>
      <c r="B542" s="98" t="s">
        <v>1720</v>
      </c>
      <c r="C542" s="101" t="s">
        <v>5349</v>
      </c>
      <c r="D542" s="101" t="s">
        <v>1721</v>
      </c>
      <c r="E542" s="73" t="s">
        <v>1722</v>
      </c>
      <c r="F542" s="100" t="s">
        <v>1032</v>
      </c>
      <c r="G542" s="72" t="e">
        <f>_xlfn.TEXTJOIN(", ",TRUE,B542,#REF!,#REF!,#REF!,D542,E542)</f>
        <v>#REF!</v>
      </c>
      <c r="H542" s="99"/>
      <c r="I542" s="99"/>
      <c r="J542" s="99"/>
      <c r="K542" s="99"/>
      <c r="L542" s="99"/>
      <c r="M542" s="77">
        <v>0</v>
      </c>
    </row>
    <row r="543" spans="1:13" s="103" customFormat="1" ht="10.9" hidden="1" customHeight="1" x14ac:dyDescent="0.25">
      <c r="A543" s="89" t="s">
        <v>1723</v>
      </c>
      <c r="B543" s="98" t="s">
        <v>1724</v>
      </c>
      <c r="C543" s="101" t="s">
        <v>5349</v>
      </c>
      <c r="D543" s="101" t="s">
        <v>1725</v>
      </c>
      <c r="E543" s="73" t="s">
        <v>1726</v>
      </c>
      <c r="F543" s="100" t="s">
        <v>81</v>
      </c>
      <c r="G543" s="72" t="e">
        <f>_xlfn.TEXTJOIN(", ",TRUE,B543,#REF!,#REF!,#REF!,D543,E543)</f>
        <v>#REF!</v>
      </c>
      <c r="H543" s="99">
        <v>45022</v>
      </c>
      <c r="I543" s="99"/>
      <c r="J543" s="99"/>
      <c r="K543" s="99"/>
      <c r="L543" s="99"/>
      <c r="M543" s="77" t="s">
        <v>1727</v>
      </c>
    </row>
    <row r="544" spans="1:13" s="103" customFormat="1" ht="10.9" hidden="1" customHeight="1" x14ac:dyDescent="0.25">
      <c r="A544" s="89" t="s">
        <v>1728</v>
      </c>
      <c r="B544" s="102" t="s">
        <v>1729</v>
      </c>
      <c r="C544" s="101" t="s">
        <v>5348</v>
      </c>
      <c r="D544" s="101" t="s">
        <v>1725</v>
      </c>
      <c r="E544" s="73" t="s">
        <v>1725</v>
      </c>
      <c r="F544" s="100" t="s">
        <v>130</v>
      </c>
      <c r="G544" s="72" t="e">
        <f>_xlfn.TEXTJOIN(", ",TRUE,B544,#REF!,#REF!,#REF!,D544,E544)</f>
        <v>#REF!</v>
      </c>
      <c r="H544" s="99"/>
      <c r="I544" s="99"/>
      <c r="J544" s="99"/>
      <c r="K544" s="99"/>
      <c r="L544" s="99"/>
      <c r="M544" s="77" t="s">
        <v>88</v>
      </c>
    </row>
    <row r="545" spans="1:13" s="103" customFormat="1" ht="10.9" hidden="1" customHeight="1" x14ac:dyDescent="0.25">
      <c r="A545" s="89" t="s">
        <v>1730</v>
      </c>
      <c r="B545" s="98" t="s">
        <v>1731</v>
      </c>
      <c r="C545" s="101" t="s">
        <v>5348</v>
      </c>
      <c r="D545" s="101" t="s">
        <v>1725</v>
      </c>
      <c r="E545" s="73" t="s">
        <v>1725</v>
      </c>
      <c r="F545" s="100" t="s">
        <v>130</v>
      </c>
      <c r="G545" s="72" t="e">
        <f>_xlfn.TEXTJOIN(", ",TRUE,B545,#REF!,#REF!,#REF!,D545,E545)</f>
        <v>#REF!</v>
      </c>
      <c r="H545" s="99">
        <v>46160</v>
      </c>
      <c r="I545" s="99"/>
      <c r="J545" s="99"/>
      <c r="K545" s="99">
        <v>45781</v>
      </c>
      <c r="L545" s="99">
        <v>46160</v>
      </c>
      <c r="M545" s="77" t="s">
        <v>88</v>
      </c>
    </row>
    <row r="546" spans="1:13" s="103" customFormat="1" ht="10.9" hidden="1" customHeight="1" x14ac:dyDescent="0.25">
      <c r="A546" s="89" t="s">
        <v>1732</v>
      </c>
      <c r="B546" s="98" t="s">
        <v>1733</v>
      </c>
      <c r="C546" s="101" t="s">
        <v>5348</v>
      </c>
      <c r="D546" s="101" t="s">
        <v>1725</v>
      </c>
      <c r="E546" s="73" t="s">
        <v>1725</v>
      </c>
      <c r="F546" s="100" t="s">
        <v>1032</v>
      </c>
      <c r="G546" s="72" t="e">
        <f>_xlfn.TEXTJOIN(", ",TRUE,B546,#REF!,#REF!,#REF!,D546,E546)</f>
        <v>#REF!</v>
      </c>
      <c r="H546" s="99"/>
      <c r="I546" s="99"/>
      <c r="J546" s="99"/>
      <c r="K546" s="99"/>
      <c r="L546" s="99"/>
      <c r="M546" s="77">
        <v>0</v>
      </c>
    </row>
    <row r="547" spans="1:13" s="103" customFormat="1" ht="10.9" hidden="1" customHeight="1" x14ac:dyDescent="0.25">
      <c r="A547" s="89" t="s">
        <v>1734</v>
      </c>
      <c r="B547" s="98" t="s">
        <v>1735</v>
      </c>
      <c r="C547" s="101" t="s">
        <v>5349</v>
      </c>
      <c r="D547" s="101" t="s">
        <v>1725</v>
      </c>
      <c r="E547" s="73" t="s">
        <v>1725</v>
      </c>
      <c r="F547" s="100" t="s">
        <v>81</v>
      </c>
      <c r="G547" s="72" t="e">
        <f>_xlfn.TEXTJOIN(", ",TRUE,B547,#REF!,#REF!,#REF!,D547,E547)</f>
        <v>#REF!</v>
      </c>
      <c r="H547" s="99"/>
      <c r="I547" s="99"/>
      <c r="J547" s="99"/>
      <c r="K547" s="99"/>
      <c r="L547" s="99"/>
      <c r="M547" s="77" t="s">
        <v>88</v>
      </c>
    </row>
    <row r="548" spans="1:13" s="103" customFormat="1" ht="10.9" hidden="1" customHeight="1" x14ac:dyDescent="0.25">
      <c r="A548" s="89" t="s">
        <v>1736</v>
      </c>
      <c r="B548" s="98" t="s">
        <v>1737</v>
      </c>
      <c r="C548" s="101" t="s">
        <v>5349</v>
      </c>
      <c r="D548" s="101" t="s">
        <v>1738</v>
      </c>
      <c r="E548" s="73" t="s">
        <v>1738</v>
      </c>
      <c r="F548" s="100" t="s">
        <v>81</v>
      </c>
      <c r="G548" s="72" t="e">
        <f>_xlfn.TEXTJOIN(", ",TRUE,B548,#REF!,#REF!,#REF!,D548,E548)</f>
        <v>#REF!</v>
      </c>
      <c r="H548" s="99"/>
      <c r="I548" s="99"/>
      <c r="J548" s="99"/>
      <c r="K548" s="99"/>
      <c r="L548" s="99"/>
      <c r="M548" s="77" t="s">
        <v>88</v>
      </c>
    </row>
    <row r="549" spans="1:13" s="103" customFormat="1" ht="10.9" hidden="1" customHeight="1" x14ac:dyDescent="0.25">
      <c r="A549" s="89" t="s">
        <v>1739</v>
      </c>
      <c r="B549" s="102" t="s">
        <v>1740</v>
      </c>
      <c r="C549" s="101" t="s">
        <v>5348</v>
      </c>
      <c r="D549" s="101" t="s">
        <v>1741</v>
      </c>
      <c r="E549" s="73" t="s">
        <v>1741</v>
      </c>
      <c r="F549" s="100" t="s">
        <v>98</v>
      </c>
      <c r="G549" s="72" t="e">
        <f>_xlfn.TEXTJOIN(", ",TRUE,B549,#REF!,#REF!,#REF!,D549,E549)</f>
        <v>#REF!</v>
      </c>
      <c r="H549" s="99"/>
      <c r="I549" s="99"/>
      <c r="J549" s="99"/>
      <c r="K549" s="99"/>
      <c r="L549" s="99"/>
      <c r="M549" s="77" t="s">
        <v>1742</v>
      </c>
    </row>
    <row r="550" spans="1:13" s="103" customFormat="1" ht="10.9" hidden="1" customHeight="1" x14ac:dyDescent="0.25">
      <c r="A550" s="89" t="s">
        <v>1743</v>
      </c>
      <c r="B550" s="102" t="s">
        <v>1744</v>
      </c>
      <c r="C550" s="101" t="s">
        <v>5349</v>
      </c>
      <c r="D550" s="101" t="s">
        <v>1745</v>
      </c>
      <c r="E550" s="73" t="s">
        <v>88</v>
      </c>
      <c r="F550" s="100" t="s">
        <v>98</v>
      </c>
      <c r="G550" s="72" t="e">
        <f>_xlfn.TEXTJOIN(", ",TRUE,B550,#REF!,#REF!,#REF!,D550,E550)</f>
        <v>#REF!</v>
      </c>
      <c r="H550" s="99"/>
      <c r="I550" s="99"/>
      <c r="J550" s="99"/>
      <c r="K550" s="99"/>
      <c r="L550" s="99"/>
      <c r="M550" s="77" t="s">
        <v>1746</v>
      </c>
    </row>
    <row r="551" spans="1:13" s="103" customFormat="1" ht="10.9" hidden="1" customHeight="1" x14ac:dyDescent="0.25">
      <c r="A551" s="89" t="s">
        <v>1747</v>
      </c>
      <c r="B551" s="102" t="s">
        <v>1748</v>
      </c>
      <c r="C551" s="101" t="s">
        <v>5349</v>
      </c>
      <c r="D551" s="101" t="s">
        <v>1745</v>
      </c>
      <c r="E551" s="73" t="s">
        <v>1749</v>
      </c>
      <c r="F551" s="100" t="s">
        <v>81</v>
      </c>
      <c r="G551" s="72" t="e">
        <f>_xlfn.TEXTJOIN(", ",TRUE,B551,#REF!,#REF!,#REF!,D551,E551)</f>
        <v>#REF!</v>
      </c>
      <c r="H551" s="99"/>
      <c r="I551" s="99"/>
      <c r="J551" s="99"/>
      <c r="K551" s="99"/>
      <c r="L551" s="99"/>
      <c r="M551" s="77">
        <v>0</v>
      </c>
    </row>
    <row r="552" spans="1:13" s="103" customFormat="1" ht="10.9" hidden="1" customHeight="1" x14ac:dyDescent="0.25">
      <c r="A552" s="89" t="s">
        <v>1750</v>
      </c>
      <c r="B552" s="98" t="s">
        <v>1751</v>
      </c>
      <c r="C552" s="101" t="s">
        <v>5349</v>
      </c>
      <c r="D552" s="101" t="s">
        <v>1745</v>
      </c>
      <c r="E552" s="73" t="s">
        <v>1745</v>
      </c>
      <c r="F552" s="100" t="s">
        <v>81</v>
      </c>
      <c r="G552" s="72" t="e">
        <f>_xlfn.TEXTJOIN(", ",TRUE,B552,#REF!,#REF!,#REF!,D552,E552)</f>
        <v>#REF!</v>
      </c>
      <c r="H552" s="99"/>
      <c r="I552" s="99"/>
      <c r="J552" s="99"/>
      <c r="K552" s="99"/>
      <c r="L552" s="99"/>
      <c r="M552" s="77" t="s">
        <v>1752</v>
      </c>
    </row>
    <row r="553" spans="1:13" s="103" customFormat="1" ht="10.9" hidden="1" customHeight="1" x14ac:dyDescent="0.25">
      <c r="A553" s="89" t="s">
        <v>1753</v>
      </c>
      <c r="B553" s="98" t="s">
        <v>1754</v>
      </c>
      <c r="C553" s="101" t="s">
        <v>5349</v>
      </c>
      <c r="D553" s="101" t="s">
        <v>1745</v>
      </c>
      <c r="E553" s="73" t="s">
        <v>88</v>
      </c>
      <c r="F553" s="100" t="s">
        <v>98</v>
      </c>
      <c r="G553" s="72" t="e">
        <f>_xlfn.TEXTJOIN(", ",TRUE,B553,#REF!,#REF!,#REF!,D553,E553)</f>
        <v>#REF!</v>
      </c>
      <c r="H553" s="99"/>
      <c r="I553" s="99"/>
      <c r="J553" s="99"/>
      <c r="K553" s="99"/>
      <c r="L553" s="99"/>
      <c r="M553" s="77">
        <v>0</v>
      </c>
    </row>
    <row r="554" spans="1:13" s="103" customFormat="1" ht="10.9" hidden="1" customHeight="1" x14ac:dyDescent="0.25">
      <c r="A554" s="89" t="s">
        <v>1755</v>
      </c>
      <c r="B554" s="98" t="s">
        <v>1756</v>
      </c>
      <c r="C554" s="101" t="s">
        <v>5349</v>
      </c>
      <c r="D554" s="101" t="s">
        <v>1745</v>
      </c>
      <c r="E554" s="73" t="s">
        <v>1757</v>
      </c>
      <c r="F554" s="100" t="s">
        <v>81</v>
      </c>
      <c r="G554" s="72" t="e">
        <f>_xlfn.TEXTJOIN(", ",TRUE,B554,#REF!,#REF!,#REF!,D554,E554)</f>
        <v>#REF!</v>
      </c>
      <c r="H554" s="99"/>
      <c r="I554" s="99"/>
      <c r="J554" s="99"/>
      <c r="K554" s="99"/>
      <c r="L554" s="99"/>
      <c r="M554" s="77" t="s">
        <v>88</v>
      </c>
    </row>
    <row r="555" spans="1:13" s="103" customFormat="1" ht="10.9" hidden="1" customHeight="1" x14ac:dyDescent="0.25">
      <c r="A555" s="89" t="s">
        <v>1758</v>
      </c>
      <c r="B555" s="98" t="s">
        <v>1759</v>
      </c>
      <c r="C555" s="101" t="s">
        <v>5349</v>
      </c>
      <c r="D555" s="101" t="s">
        <v>1745</v>
      </c>
      <c r="E555" s="73" t="s">
        <v>1745</v>
      </c>
      <c r="F555" s="100" t="s">
        <v>81</v>
      </c>
      <c r="G555" s="72" t="e">
        <f>_xlfn.TEXTJOIN(", ",TRUE,B555,#REF!,#REF!,#REF!,D555,E555)</f>
        <v>#REF!</v>
      </c>
      <c r="H555" s="99"/>
      <c r="I555" s="99"/>
      <c r="J555" s="99"/>
      <c r="K555" s="99"/>
      <c r="L555" s="99"/>
      <c r="M555" s="77">
        <v>0</v>
      </c>
    </row>
    <row r="556" spans="1:13" s="103" customFormat="1" ht="10.9" hidden="1" customHeight="1" x14ac:dyDescent="0.25">
      <c r="A556" s="89" t="s">
        <v>1760</v>
      </c>
      <c r="B556" s="98" t="s">
        <v>1761</v>
      </c>
      <c r="C556" s="101" t="s">
        <v>5349</v>
      </c>
      <c r="D556" s="101" t="s">
        <v>1745</v>
      </c>
      <c r="E556" s="73" t="s">
        <v>88</v>
      </c>
      <c r="F556" s="100" t="s">
        <v>98</v>
      </c>
      <c r="G556" s="72" t="e">
        <f>_xlfn.TEXTJOIN(", ",TRUE,B556,#REF!,#REF!,#REF!,D556,E556)</f>
        <v>#REF!</v>
      </c>
      <c r="H556" s="99"/>
      <c r="I556" s="99"/>
      <c r="J556" s="99"/>
      <c r="K556" s="99"/>
      <c r="L556" s="99"/>
      <c r="M556" s="77" t="s">
        <v>1762</v>
      </c>
    </row>
    <row r="557" spans="1:13" s="103" customFormat="1" ht="10.9" hidden="1" customHeight="1" x14ac:dyDescent="0.25">
      <c r="A557" s="89" t="s">
        <v>1763</v>
      </c>
      <c r="B557" s="98" t="s">
        <v>1764</v>
      </c>
      <c r="C557" s="101" t="s">
        <v>5349</v>
      </c>
      <c r="D557" s="101" t="s">
        <v>1745</v>
      </c>
      <c r="E557" s="73" t="s">
        <v>1745</v>
      </c>
      <c r="F557" s="100" t="s">
        <v>81</v>
      </c>
      <c r="G557" s="72" t="e">
        <f>_xlfn.TEXTJOIN(", ",TRUE,B557,#REF!,#REF!,#REF!,D557,E557)</f>
        <v>#REF!</v>
      </c>
      <c r="H557" s="99"/>
      <c r="I557" s="99"/>
      <c r="J557" s="99"/>
      <c r="K557" s="99"/>
      <c r="L557" s="99"/>
      <c r="M557" s="77" t="s">
        <v>1765</v>
      </c>
    </row>
    <row r="558" spans="1:13" s="103" customFormat="1" ht="10.9" hidden="1" customHeight="1" x14ac:dyDescent="0.25">
      <c r="A558" s="89" t="s">
        <v>1766</v>
      </c>
      <c r="B558" s="104" t="s">
        <v>1767</v>
      </c>
      <c r="C558" s="101" t="s">
        <v>5349</v>
      </c>
      <c r="D558" s="101" t="s">
        <v>1745</v>
      </c>
      <c r="E558" s="73" t="s">
        <v>88</v>
      </c>
      <c r="F558" s="100" t="s">
        <v>98</v>
      </c>
      <c r="G558" s="72" t="e">
        <f>_xlfn.TEXTJOIN(", ",TRUE,B558,#REF!,#REF!,#REF!,D558,E558)</f>
        <v>#REF!</v>
      </c>
      <c r="H558" s="99"/>
      <c r="I558" s="99"/>
      <c r="J558" s="99"/>
      <c r="K558" s="99"/>
      <c r="L558" s="99"/>
      <c r="M558" s="77" t="s">
        <v>1768</v>
      </c>
    </row>
    <row r="559" spans="1:13" s="103" customFormat="1" ht="10.9" hidden="1" customHeight="1" x14ac:dyDescent="0.25">
      <c r="A559" s="89" t="s">
        <v>1769</v>
      </c>
      <c r="B559" s="98" t="s">
        <v>1770</v>
      </c>
      <c r="C559" s="101" t="s">
        <v>5349</v>
      </c>
      <c r="D559" s="101" t="s">
        <v>1771</v>
      </c>
      <c r="E559" s="73" t="s">
        <v>1771</v>
      </c>
      <c r="F559" s="100" t="s">
        <v>81</v>
      </c>
      <c r="G559" s="72" t="e">
        <f>_xlfn.TEXTJOIN(", ",TRUE,B559,#REF!,#REF!,#REF!,D559,E559)</f>
        <v>#REF!</v>
      </c>
      <c r="H559" s="99">
        <v>45303</v>
      </c>
      <c r="I559" s="99"/>
      <c r="J559" s="99"/>
      <c r="K559" s="99">
        <v>45303</v>
      </c>
      <c r="L559" s="99">
        <v>45323</v>
      </c>
      <c r="M559" s="77" t="s">
        <v>88</v>
      </c>
    </row>
    <row r="560" spans="1:13" s="103" customFormat="1" ht="10.9" customHeight="1" x14ac:dyDescent="0.25">
      <c r="A560" s="89" t="s">
        <v>1772</v>
      </c>
      <c r="B560" s="98" t="s">
        <v>1773</v>
      </c>
      <c r="C560" s="101" t="s">
        <v>5347</v>
      </c>
      <c r="D560" s="101" t="s">
        <v>1778</v>
      </c>
      <c r="E560" s="74" t="s">
        <v>1775</v>
      </c>
      <c r="F560" s="100" t="s">
        <v>81</v>
      </c>
      <c r="G560" s="72" t="e">
        <f>_xlfn.TEXTJOIN(", ",TRUE,B560,#REF!,#REF!,#REF!,D560,E560)</f>
        <v>#REF!</v>
      </c>
      <c r="H560" s="99"/>
      <c r="I560" s="99"/>
      <c r="J560" s="99"/>
      <c r="K560" s="99"/>
      <c r="L560" s="99"/>
      <c r="M560" s="77">
        <v>0</v>
      </c>
    </row>
    <row r="561" spans="1:13" s="103" customFormat="1" ht="10.9" customHeight="1" x14ac:dyDescent="0.25">
      <c r="A561" s="89" t="s">
        <v>1776</v>
      </c>
      <c r="B561" s="98" t="s">
        <v>1777</v>
      </c>
      <c r="C561" s="101" t="s">
        <v>5347</v>
      </c>
      <c r="D561" s="101" t="s">
        <v>1778</v>
      </c>
      <c r="E561" s="74" t="s">
        <v>1778</v>
      </c>
      <c r="F561" s="100" t="s">
        <v>98</v>
      </c>
      <c r="G561" s="72" t="e">
        <f>_xlfn.TEXTJOIN(", ",TRUE,B561,#REF!,#REF!,#REF!,D561,E561)</f>
        <v>#REF!</v>
      </c>
      <c r="H561" s="99"/>
      <c r="I561" s="99"/>
      <c r="J561" s="99"/>
      <c r="K561" s="99"/>
      <c r="L561" s="99"/>
      <c r="M561" s="77">
        <v>0</v>
      </c>
    </row>
    <row r="562" spans="1:13" s="103" customFormat="1" ht="10.9" customHeight="1" x14ac:dyDescent="0.25">
      <c r="A562" s="89" t="s">
        <v>1779</v>
      </c>
      <c r="B562" s="98" t="s">
        <v>1780</v>
      </c>
      <c r="C562" s="101" t="s">
        <v>5347</v>
      </c>
      <c r="D562" s="101" t="s">
        <v>1778</v>
      </c>
      <c r="E562" s="74" t="s">
        <v>1778</v>
      </c>
      <c r="F562" s="100" t="s">
        <v>130</v>
      </c>
      <c r="G562" s="72" t="e">
        <f>_xlfn.TEXTJOIN(", ",TRUE,B562,#REF!,#REF!,#REF!,D562,E562)</f>
        <v>#REF!</v>
      </c>
      <c r="H562" s="99" t="s">
        <v>88</v>
      </c>
      <c r="I562" s="99" t="s">
        <v>88</v>
      </c>
      <c r="J562" s="99" t="s">
        <v>88</v>
      </c>
      <c r="K562" s="99" t="s">
        <v>88</v>
      </c>
      <c r="L562" s="99" t="s">
        <v>88</v>
      </c>
      <c r="M562" s="77" t="s">
        <v>1781</v>
      </c>
    </row>
    <row r="563" spans="1:13" s="103" customFormat="1" ht="10.9" customHeight="1" x14ac:dyDescent="0.25">
      <c r="A563" s="89" t="s">
        <v>1782</v>
      </c>
      <c r="B563" s="98" t="s">
        <v>1783</v>
      </c>
      <c r="C563" s="101" t="s">
        <v>5347</v>
      </c>
      <c r="D563" s="101" t="s">
        <v>1778</v>
      </c>
      <c r="E563" s="74" t="s">
        <v>1778</v>
      </c>
      <c r="F563" s="100" t="s">
        <v>98</v>
      </c>
      <c r="G563" s="72" t="e">
        <f>_xlfn.TEXTJOIN(", ",TRUE,B563,#REF!,#REF!,#REF!,D563,E563)</f>
        <v>#REF!</v>
      </c>
      <c r="H563" s="99"/>
      <c r="I563" s="99"/>
      <c r="J563" s="99"/>
      <c r="K563" s="99"/>
      <c r="L563" s="99"/>
      <c r="M563" s="77" t="s">
        <v>1784</v>
      </c>
    </row>
    <row r="564" spans="1:13" s="103" customFormat="1" ht="10.9" customHeight="1" x14ac:dyDescent="0.25">
      <c r="A564" s="89" t="s">
        <v>1785</v>
      </c>
      <c r="B564" s="104" t="s">
        <v>1786</v>
      </c>
      <c r="C564" s="101" t="s">
        <v>5347</v>
      </c>
      <c r="D564" s="101" t="s">
        <v>1778</v>
      </c>
      <c r="E564" s="74" t="s">
        <v>1787</v>
      </c>
      <c r="F564" s="100" t="s">
        <v>98</v>
      </c>
      <c r="G564" s="72" t="e">
        <f>_xlfn.TEXTJOIN(", ",TRUE,B564,#REF!,#REF!,#REF!,D564,E564)</f>
        <v>#REF!</v>
      </c>
      <c r="H564" s="99"/>
      <c r="I564" s="99"/>
      <c r="J564" s="99"/>
      <c r="K564" s="99"/>
      <c r="L564" s="99"/>
      <c r="M564" s="77">
        <v>0</v>
      </c>
    </row>
    <row r="565" spans="1:13" s="103" customFormat="1" ht="10.9" customHeight="1" x14ac:dyDescent="0.25">
      <c r="A565" s="89" t="s">
        <v>1788</v>
      </c>
      <c r="B565" s="109" t="s">
        <v>1789</v>
      </c>
      <c r="C565" s="101" t="s">
        <v>5347</v>
      </c>
      <c r="D565" s="101" t="s">
        <v>1778</v>
      </c>
      <c r="E565" s="74" t="s">
        <v>1778</v>
      </c>
      <c r="F565" s="100" t="s">
        <v>98</v>
      </c>
      <c r="G565" s="72" t="e">
        <f>_xlfn.TEXTJOIN(", ",TRUE,B565,#REF!,#REF!,#REF!,D565,E565)</f>
        <v>#REF!</v>
      </c>
      <c r="H565" s="99">
        <v>44770</v>
      </c>
      <c r="I565" s="99"/>
      <c r="J565" s="99"/>
      <c r="K565" s="99"/>
      <c r="L565" s="99"/>
      <c r="M565" s="77" t="s">
        <v>1790</v>
      </c>
    </row>
    <row r="566" spans="1:13" s="103" customFormat="1" ht="10.9" customHeight="1" x14ac:dyDescent="0.25">
      <c r="A566" s="89" t="s">
        <v>1791</v>
      </c>
      <c r="B566" s="98" t="s">
        <v>1792</v>
      </c>
      <c r="C566" s="101" t="s">
        <v>5347</v>
      </c>
      <c r="D566" s="101" t="s">
        <v>1778</v>
      </c>
      <c r="E566" s="74" t="s">
        <v>1793</v>
      </c>
      <c r="F566" s="100"/>
      <c r="G566" s="72" t="e">
        <f>_xlfn.TEXTJOIN(", ",TRUE,B566,#REF!,#REF!,#REF!,D566,E566)</f>
        <v>#REF!</v>
      </c>
      <c r="H566" s="99"/>
      <c r="I566" s="99"/>
      <c r="J566" s="99"/>
      <c r="K566" s="99"/>
      <c r="L566" s="99"/>
      <c r="M566" s="77" t="s">
        <v>1794</v>
      </c>
    </row>
    <row r="567" spans="1:13" s="103" customFormat="1" ht="10.9" customHeight="1" x14ac:dyDescent="0.25">
      <c r="A567" s="89"/>
      <c r="B567" s="98" t="s">
        <v>1795</v>
      </c>
      <c r="C567" s="101" t="s">
        <v>5347</v>
      </c>
      <c r="D567" s="101" t="s">
        <v>1778</v>
      </c>
      <c r="E567" s="73" t="s">
        <v>1774</v>
      </c>
      <c r="F567" s="100" t="s">
        <v>81</v>
      </c>
      <c r="G567" s="72" t="e">
        <f>_xlfn.TEXTJOIN(", ",TRUE,B567,#REF!,#REF!,#REF!,D567,E567)</f>
        <v>#REF!</v>
      </c>
      <c r="H567" s="99">
        <v>45094</v>
      </c>
      <c r="I567" s="99"/>
      <c r="J567" s="99"/>
      <c r="K567" s="99"/>
      <c r="L567" s="99"/>
      <c r="M567" s="77" t="s">
        <v>88</v>
      </c>
    </row>
    <row r="568" spans="1:13" s="103" customFormat="1" ht="10.9" customHeight="1" x14ac:dyDescent="0.25">
      <c r="A568" s="89" t="s">
        <v>1796</v>
      </c>
      <c r="B568" s="98" t="s">
        <v>1797</v>
      </c>
      <c r="C568" s="101" t="s">
        <v>5347</v>
      </c>
      <c r="D568" s="101" t="s">
        <v>1778</v>
      </c>
      <c r="E568" s="74" t="s">
        <v>1778</v>
      </c>
      <c r="F568" s="100" t="s">
        <v>98</v>
      </c>
      <c r="G568" s="72" t="e">
        <f>_xlfn.TEXTJOIN(", ",TRUE,B568,#REF!,#REF!,#REF!,D568,E568)</f>
        <v>#REF!</v>
      </c>
      <c r="H568" s="99"/>
      <c r="I568" s="99"/>
      <c r="J568" s="99"/>
      <c r="K568" s="99"/>
      <c r="L568" s="99"/>
      <c r="M568" s="77" t="s">
        <v>1798</v>
      </c>
    </row>
    <row r="569" spans="1:13" s="103" customFormat="1" ht="10.9" customHeight="1" x14ac:dyDescent="0.25">
      <c r="A569" s="89" t="s">
        <v>1799</v>
      </c>
      <c r="B569" s="98" t="s">
        <v>1800</v>
      </c>
      <c r="C569" s="101" t="s">
        <v>5347</v>
      </c>
      <c r="D569" s="101" t="s">
        <v>1778</v>
      </c>
      <c r="E569" s="74" t="s">
        <v>1801</v>
      </c>
      <c r="F569" s="100" t="s">
        <v>81</v>
      </c>
      <c r="G569" s="72" t="e">
        <f>_xlfn.TEXTJOIN(", ",TRUE,B569,#REF!,#REF!,#REF!,D569,E569)</f>
        <v>#REF!</v>
      </c>
      <c r="H569" s="99">
        <v>45894</v>
      </c>
      <c r="I569" s="99"/>
      <c r="J569" s="99"/>
      <c r="K569" s="99"/>
      <c r="L569" s="99"/>
      <c r="M569" s="77" t="s">
        <v>1802</v>
      </c>
    </row>
    <row r="570" spans="1:13" s="103" customFormat="1" ht="10.9" customHeight="1" x14ac:dyDescent="0.25">
      <c r="A570" s="89" t="s">
        <v>1803</v>
      </c>
      <c r="B570" s="98" t="s">
        <v>1804</v>
      </c>
      <c r="C570" s="101" t="s">
        <v>5347</v>
      </c>
      <c r="D570" s="101" t="s">
        <v>1778</v>
      </c>
      <c r="E570" s="74" t="s">
        <v>1805</v>
      </c>
      <c r="F570" s="100" t="s">
        <v>81</v>
      </c>
      <c r="G570" s="72" t="e">
        <f>_xlfn.TEXTJOIN(", ",TRUE,B570,#REF!,#REF!,#REF!,D570,E570)</f>
        <v>#REF!</v>
      </c>
      <c r="H570" s="99">
        <v>45462</v>
      </c>
      <c r="I570" s="99"/>
      <c r="J570" s="99"/>
      <c r="K570" s="99"/>
      <c r="L570" s="99">
        <v>45621</v>
      </c>
      <c r="M570" s="77" t="s">
        <v>1806</v>
      </c>
    </row>
    <row r="571" spans="1:13" s="103" customFormat="1" ht="10.9" customHeight="1" x14ac:dyDescent="0.25">
      <c r="A571" s="89" t="s">
        <v>1807</v>
      </c>
      <c r="B571" s="98" t="s">
        <v>1808</v>
      </c>
      <c r="C571" s="101" t="s">
        <v>5347</v>
      </c>
      <c r="D571" s="101" t="s">
        <v>1778</v>
      </c>
      <c r="E571" s="74" t="s">
        <v>1778</v>
      </c>
      <c r="F571" s="100" t="s">
        <v>98</v>
      </c>
      <c r="G571" s="72" t="e">
        <f>_xlfn.TEXTJOIN(", ",TRUE,B571,#REF!,#REF!,#REF!,D571,E571)</f>
        <v>#REF!</v>
      </c>
      <c r="H571" s="99"/>
      <c r="I571" s="99"/>
      <c r="J571" s="99"/>
      <c r="K571" s="99"/>
      <c r="L571" s="99"/>
      <c r="M571" s="77">
        <v>0</v>
      </c>
    </row>
    <row r="572" spans="1:13" s="103" customFormat="1" ht="10.9" customHeight="1" x14ac:dyDescent="0.25">
      <c r="A572" s="89" t="s">
        <v>1809</v>
      </c>
      <c r="B572" s="104" t="s">
        <v>1810</v>
      </c>
      <c r="C572" s="101" t="s">
        <v>5347</v>
      </c>
      <c r="D572" s="101" t="s">
        <v>1778</v>
      </c>
      <c r="E572" s="74" t="s">
        <v>1778</v>
      </c>
      <c r="F572" s="100" t="s">
        <v>98</v>
      </c>
      <c r="G572" s="72" t="e">
        <f>_xlfn.TEXTJOIN(", ",TRUE,B572,#REF!,#REF!,#REF!,D572,E572)</f>
        <v>#REF!</v>
      </c>
      <c r="H572" s="99"/>
      <c r="I572" s="99"/>
      <c r="J572" s="99"/>
      <c r="K572" s="99"/>
      <c r="L572" s="99"/>
      <c r="M572" s="77" t="s">
        <v>945</v>
      </c>
    </row>
    <row r="573" spans="1:13" s="103" customFormat="1" ht="10.9" customHeight="1" x14ac:dyDescent="0.25">
      <c r="A573" s="89" t="s">
        <v>1811</v>
      </c>
      <c r="B573" s="102" t="s">
        <v>1812</v>
      </c>
      <c r="C573" s="101" t="s">
        <v>5347</v>
      </c>
      <c r="D573" s="101" t="s">
        <v>1778</v>
      </c>
      <c r="E573" s="74" t="s">
        <v>1778</v>
      </c>
      <c r="F573" s="100" t="s">
        <v>81</v>
      </c>
      <c r="G573" s="72" t="e">
        <f>_xlfn.TEXTJOIN(", ",TRUE,B573,#REF!,#REF!,#REF!,D573,E573)</f>
        <v>#REF!</v>
      </c>
      <c r="H573" s="99"/>
      <c r="I573" s="99"/>
      <c r="J573" s="99"/>
      <c r="K573" s="99"/>
      <c r="L573" s="99"/>
      <c r="M573" s="77" t="s">
        <v>1813</v>
      </c>
    </row>
    <row r="574" spans="1:13" s="103" customFormat="1" ht="10.9" customHeight="1" x14ac:dyDescent="0.25">
      <c r="A574" s="89" t="s">
        <v>1814</v>
      </c>
      <c r="B574" s="98" t="s">
        <v>1815</v>
      </c>
      <c r="C574" s="101" t="s">
        <v>5347</v>
      </c>
      <c r="D574" s="101" t="s">
        <v>1778</v>
      </c>
      <c r="E574" s="74" t="s">
        <v>1778</v>
      </c>
      <c r="F574" s="100" t="s">
        <v>98</v>
      </c>
      <c r="G574" s="72" t="e">
        <f>_xlfn.TEXTJOIN(", ",TRUE,B574,#REF!,#REF!,#REF!,D574,E574)</f>
        <v>#REF!</v>
      </c>
      <c r="H574" s="99"/>
      <c r="I574" s="99"/>
      <c r="J574" s="99"/>
      <c r="K574" s="99"/>
      <c r="L574" s="99"/>
      <c r="M574" s="77">
        <v>0</v>
      </c>
    </row>
    <row r="575" spans="1:13" s="103" customFormat="1" ht="10.9" customHeight="1" x14ac:dyDescent="0.25">
      <c r="A575" s="89" t="s">
        <v>1816</v>
      </c>
      <c r="B575" s="98" t="s">
        <v>1817</v>
      </c>
      <c r="C575" s="101" t="s">
        <v>5347</v>
      </c>
      <c r="D575" s="101" t="s">
        <v>1778</v>
      </c>
      <c r="E575" s="74" t="s">
        <v>1778</v>
      </c>
      <c r="F575" s="100" t="s">
        <v>1201</v>
      </c>
      <c r="G575" s="72" t="e">
        <f>_xlfn.TEXTJOIN(", ",TRUE,B575,#REF!,#REF!,#REF!,D575,E575)</f>
        <v>#REF!</v>
      </c>
      <c r="H575" s="99"/>
      <c r="I575" s="99"/>
      <c r="J575" s="99"/>
      <c r="K575" s="99"/>
      <c r="L575" s="99"/>
      <c r="M575" s="77">
        <v>0</v>
      </c>
    </row>
    <row r="576" spans="1:13" s="103" customFormat="1" ht="10.9" customHeight="1" x14ac:dyDescent="0.25">
      <c r="A576" s="89" t="s">
        <v>1818</v>
      </c>
      <c r="B576" s="98" t="s">
        <v>1819</v>
      </c>
      <c r="C576" s="101" t="s">
        <v>5347</v>
      </c>
      <c r="D576" s="101" t="s">
        <v>1778</v>
      </c>
      <c r="E576" s="74" t="s">
        <v>1778</v>
      </c>
      <c r="F576" s="100" t="s">
        <v>81</v>
      </c>
      <c r="G576" s="72" t="e">
        <f>_xlfn.TEXTJOIN(", ",TRUE,B576,#REF!,#REF!,#REF!,D576,E576)</f>
        <v>#REF!</v>
      </c>
      <c r="H576" s="99">
        <v>44738</v>
      </c>
      <c r="I576" s="99"/>
      <c r="J576" s="99"/>
      <c r="K576" s="99"/>
      <c r="L576" s="99"/>
      <c r="M576" s="77" t="s">
        <v>1820</v>
      </c>
    </row>
    <row r="577" spans="1:13" s="103" customFormat="1" ht="10.9" customHeight="1" x14ac:dyDescent="0.25">
      <c r="A577" s="89" t="s">
        <v>655</v>
      </c>
      <c r="B577" s="98" t="s">
        <v>1821</v>
      </c>
      <c r="C577" s="101" t="s">
        <v>5347</v>
      </c>
      <c r="D577" s="101" t="s">
        <v>1778</v>
      </c>
      <c r="E577" s="73" t="s">
        <v>1822</v>
      </c>
      <c r="F577" s="100" t="s">
        <v>81</v>
      </c>
      <c r="G577" s="72" t="e">
        <f>_xlfn.TEXTJOIN(", ",TRUE,B577,#REF!,#REF!,#REF!,D577,E577)</f>
        <v>#REF!</v>
      </c>
      <c r="H577" s="99">
        <v>45603</v>
      </c>
      <c r="I577" s="99"/>
      <c r="J577" s="99"/>
      <c r="K577" s="99"/>
      <c r="L577" s="99"/>
      <c r="M577" s="77" t="s">
        <v>1823</v>
      </c>
    </row>
    <row r="578" spans="1:13" s="103" customFormat="1" ht="10.9" customHeight="1" x14ac:dyDescent="0.25">
      <c r="A578" s="89" t="s">
        <v>762</v>
      </c>
      <c r="B578" s="98" t="s">
        <v>1824</v>
      </c>
      <c r="C578" s="101" t="s">
        <v>5347</v>
      </c>
      <c r="D578" s="101" t="s">
        <v>1778</v>
      </c>
      <c r="E578" s="74" t="s">
        <v>1778</v>
      </c>
      <c r="F578" s="100" t="s">
        <v>81</v>
      </c>
      <c r="G578" s="72" t="e">
        <f>_xlfn.TEXTJOIN(", ",TRUE,B578,#REF!,#REF!,#REF!,D578,E578)</f>
        <v>#REF!</v>
      </c>
      <c r="H578" s="99">
        <v>45525</v>
      </c>
      <c r="I578" s="99"/>
      <c r="J578" s="99"/>
      <c r="K578" s="99"/>
      <c r="L578" s="99"/>
      <c r="M578" s="77">
        <v>0</v>
      </c>
    </row>
    <row r="579" spans="1:13" s="103" customFormat="1" ht="10.9" customHeight="1" x14ac:dyDescent="0.25">
      <c r="A579" s="89" t="s">
        <v>1825</v>
      </c>
      <c r="B579" s="98" t="s">
        <v>1826</v>
      </c>
      <c r="C579" s="101" t="s">
        <v>5347</v>
      </c>
      <c r="D579" s="101" t="s">
        <v>1778</v>
      </c>
      <c r="E579" s="74" t="s">
        <v>1778</v>
      </c>
      <c r="F579" s="100" t="s">
        <v>98</v>
      </c>
      <c r="G579" s="72" t="e">
        <f>_xlfn.TEXTJOIN(", ",TRUE,B579,#REF!,#REF!,#REF!,D579,E579)</f>
        <v>#REF!</v>
      </c>
      <c r="H579" s="99"/>
      <c r="I579" s="99"/>
      <c r="J579" s="99"/>
      <c r="K579" s="99"/>
      <c r="L579" s="99"/>
      <c r="M579" s="77">
        <v>0</v>
      </c>
    </row>
    <row r="580" spans="1:13" s="103" customFormat="1" ht="10.9" customHeight="1" x14ac:dyDescent="0.25">
      <c r="A580" s="89" t="s">
        <v>1827</v>
      </c>
      <c r="B580" s="102" t="s">
        <v>1828</v>
      </c>
      <c r="C580" s="101" t="s">
        <v>5347</v>
      </c>
      <c r="D580" s="101" t="s">
        <v>1778</v>
      </c>
      <c r="E580" s="74" t="s">
        <v>1778</v>
      </c>
      <c r="F580" s="100" t="s">
        <v>98</v>
      </c>
      <c r="G580" s="72" t="e">
        <f>_xlfn.TEXTJOIN(", ",TRUE,B580,#REF!,#REF!,#REF!,D580,E580)</f>
        <v>#REF!</v>
      </c>
      <c r="H580" s="99">
        <v>45035</v>
      </c>
      <c r="I580" s="99"/>
      <c r="J580" s="99"/>
      <c r="K580" s="99"/>
      <c r="L580" s="99"/>
      <c r="M580" s="77">
        <v>0</v>
      </c>
    </row>
    <row r="581" spans="1:13" s="103" customFormat="1" ht="10.9" customHeight="1" x14ac:dyDescent="0.25">
      <c r="A581" s="89" t="s">
        <v>1829</v>
      </c>
      <c r="B581" s="102" t="s">
        <v>1830</v>
      </c>
      <c r="C581" s="101" t="s">
        <v>5347</v>
      </c>
      <c r="D581" s="101" t="s">
        <v>1778</v>
      </c>
      <c r="E581" s="74" t="s">
        <v>1778</v>
      </c>
      <c r="F581" s="100" t="s">
        <v>81</v>
      </c>
      <c r="G581" s="72" t="e">
        <f>_xlfn.TEXTJOIN(", ",TRUE,B581,#REF!,#REF!,#REF!,D581,E581)</f>
        <v>#REF!</v>
      </c>
      <c r="H581" s="99"/>
      <c r="I581" s="99"/>
      <c r="J581" s="99"/>
      <c r="K581" s="99"/>
      <c r="L581" s="99"/>
      <c r="M581" s="77">
        <v>0</v>
      </c>
    </row>
    <row r="582" spans="1:13" s="103" customFormat="1" ht="10.9" customHeight="1" x14ac:dyDescent="0.25">
      <c r="A582" s="89" t="e">
        <v>#VALUE!</v>
      </c>
      <c r="B582" s="98" t="s">
        <v>1831</v>
      </c>
      <c r="C582" s="101" t="s">
        <v>5347</v>
      </c>
      <c r="D582" s="101" t="s">
        <v>1778</v>
      </c>
      <c r="E582" s="73" t="s">
        <v>1832</v>
      </c>
      <c r="F582" s="100" t="s">
        <v>130</v>
      </c>
      <c r="G582" s="72" t="e">
        <f>_xlfn.TEXTJOIN(", ",TRUE,B582,#REF!,#REF!,#REF!,D582,E582)</f>
        <v>#REF!</v>
      </c>
      <c r="H582" s="99">
        <v>45490</v>
      </c>
      <c r="I582" s="99">
        <v>45334</v>
      </c>
      <c r="J582" s="99"/>
      <c r="K582" s="99"/>
      <c r="L582" s="99"/>
      <c r="M582" s="77" t="s">
        <v>88</v>
      </c>
    </row>
    <row r="583" spans="1:13" s="103" customFormat="1" ht="10.9" customHeight="1" x14ac:dyDescent="0.25">
      <c r="A583" s="89" t="s">
        <v>1833</v>
      </c>
      <c r="B583" s="104" t="s">
        <v>1834</v>
      </c>
      <c r="C583" s="101" t="s">
        <v>5347</v>
      </c>
      <c r="D583" s="101" t="s">
        <v>1778</v>
      </c>
      <c r="E583" s="74" t="s">
        <v>1778</v>
      </c>
      <c r="F583" s="100" t="s">
        <v>98</v>
      </c>
      <c r="G583" s="72" t="e">
        <f>_xlfn.TEXTJOIN(", ",TRUE,B583,#REF!,#REF!,#REF!,D583,E583)</f>
        <v>#REF!</v>
      </c>
      <c r="H583" s="99"/>
      <c r="I583" s="99"/>
      <c r="J583" s="99"/>
      <c r="K583" s="99"/>
      <c r="L583" s="99"/>
      <c r="M583" s="77">
        <v>0</v>
      </c>
    </row>
    <row r="584" spans="1:13" s="103" customFormat="1" ht="10.9" customHeight="1" x14ac:dyDescent="0.25">
      <c r="A584" s="89" t="s">
        <v>1835</v>
      </c>
      <c r="B584" s="102" t="s">
        <v>1836</v>
      </c>
      <c r="C584" s="101" t="s">
        <v>5347</v>
      </c>
      <c r="D584" s="101" t="s">
        <v>1778</v>
      </c>
      <c r="E584" s="74" t="s">
        <v>1778</v>
      </c>
      <c r="F584" s="100" t="s">
        <v>187</v>
      </c>
      <c r="G584" s="72" t="e">
        <f>_xlfn.TEXTJOIN(", ",TRUE,B584,#REF!,#REF!,#REF!,D584,E584)</f>
        <v>#REF!</v>
      </c>
      <c r="H584" s="99">
        <v>45382</v>
      </c>
      <c r="I584" s="99"/>
      <c r="J584" s="99"/>
      <c r="K584" s="99"/>
      <c r="L584" s="99"/>
      <c r="M584" s="77" t="s">
        <v>88</v>
      </c>
    </row>
    <row r="585" spans="1:13" s="103" customFormat="1" ht="10.9" customHeight="1" x14ac:dyDescent="0.25">
      <c r="A585" s="89" t="s">
        <v>1837</v>
      </c>
      <c r="B585" s="98" t="s">
        <v>1838</v>
      </c>
      <c r="C585" s="101" t="s">
        <v>5347</v>
      </c>
      <c r="D585" s="101" t="s">
        <v>1778</v>
      </c>
      <c r="E585" s="74" t="s">
        <v>1778</v>
      </c>
      <c r="F585" s="100" t="s">
        <v>81</v>
      </c>
      <c r="G585" s="72" t="e">
        <f>_xlfn.TEXTJOIN(", ",TRUE,B585,#REF!,#REF!,#REF!,D585,E585)</f>
        <v>#REF!</v>
      </c>
      <c r="H585" s="99"/>
      <c r="I585" s="99"/>
      <c r="J585" s="99"/>
      <c r="K585" s="99"/>
      <c r="L585" s="99"/>
      <c r="M585" s="77">
        <v>0</v>
      </c>
    </row>
    <row r="586" spans="1:13" s="103" customFormat="1" ht="10.9" customHeight="1" x14ac:dyDescent="0.25">
      <c r="A586" s="89" t="s">
        <v>1839</v>
      </c>
      <c r="B586" s="104" t="s">
        <v>1840</v>
      </c>
      <c r="C586" s="101" t="s">
        <v>5347</v>
      </c>
      <c r="D586" s="101" t="s">
        <v>1778</v>
      </c>
      <c r="E586" s="74" t="s">
        <v>1778</v>
      </c>
      <c r="F586" s="100" t="s">
        <v>98</v>
      </c>
      <c r="G586" s="72" t="e">
        <f>_xlfn.TEXTJOIN(", ",TRUE,B586,#REF!,#REF!,#REF!,D586,E586)</f>
        <v>#REF!</v>
      </c>
      <c r="H586" s="99"/>
      <c r="I586" s="99"/>
      <c r="J586" s="99"/>
      <c r="K586" s="99"/>
      <c r="L586" s="99"/>
      <c r="M586" s="77">
        <v>0</v>
      </c>
    </row>
    <row r="587" spans="1:13" s="103" customFormat="1" ht="10.9" customHeight="1" x14ac:dyDescent="0.25">
      <c r="A587" s="89" t="s">
        <v>1841</v>
      </c>
      <c r="B587" s="102" t="s">
        <v>1842</v>
      </c>
      <c r="C587" s="101" t="s">
        <v>5347</v>
      </c>
      <c r="D587" s="101" t="s">
        <v>1778</v>
      </c>
      <c r="E587" s="74" t="s">
        <v>1778</v>
      </c>
      <c r="F587" s="100" t="s">
        <v>81</v>
      </c>
      <c r="G587" s="72" t="e">
        <f>_xlfn.TEXTJOIN(", ",TRUE,B587,#REF!,#REF!,#REF!,D587,E587)</f>
        <v>#REF!</v>
      </c>
      <c r="H587" s="99"/>
      <c r="I587" s="99"/>
      <c r="J587" s="99"/>
      <c r="K587" s="99"/>
      <c r="L587" s="99"/>
      <c r="M587" s="77" t="s">
        <v>88</v>
      </c>
    </row>
    <row r="588" spans="1:13" s="103" customFormat="1" ht="10.9" customHeight="1" x14ac:dyDescent="0.25">
      <c r="A588" s="89" t="s">
        <v>1843</v>
      </c>
      <c r="B588" s="98" t="s">
        <v>1844</v>
      </c>
      <c r="C588" s="101" t="s">
        <v>5347</v>
      </c>
      <c r="D588" s="101" t="s">
        <v>1778</v>
      </c>
      <c r="E588" s="74" t="s">
        <v>1778</v>
      </c>
      <c r="F588" s="100" t="s">
        <v>98</v>
      </c>
      <c r="G588" s="72" t="e">
        <f>_xlfn.TEXTJOIN(", ",TRUE,B588,#REF!,#REF!,#REF!,D588,E588)</f>
        <v>#REF!</v>
      </c>
      <c r="H588" s="99"/>
      <c r="I588" s="99"/>
      <c r="J588" s="99"/>
      <c r="K588" s="99"/>
      <c r="L588" s="99"/>
      <c r="M588" s="77" t="s">
        <v>1845</v>
      </c>
    </row>
    <row r="589" spans="1:13" s="103" customFormat="1" ht="10.9" customHeight="1" x14ac:dyDescent="0.25">
      <c r="A589" s="89" t="s">
        <v>1846</v>
      </c>
      <c r="B589" s="98" t="s">
        <v>1847</v>
      </c>
      <c r="C589" s="101" t="s">
        <v>5347</v>
      </c>
      <c r="D589" s="101" t="s">
        <v>1778</v>
      </c>
      <c r="E589" s="74" t="s">
        <v>1778</v>
      </c>
      <c r="F589" s="100" t="s">
        <v>81</v>
      </c>
      <c r="G589" s="72" t="e">
        <f>_xlfn.TEXTJOIN(", ",TRUE,B589,#REF!,#REF!,#REF!,D589,E589)</f>
        <v>#REF!</v>
      </c>
      <c r="H589" s="99">
        <v>45174</v>
      </c>
      <c r="I589" s="99"/>
      <c r="J589" s="99"/>
      <c r="K589" s="99"/>
      <c r="L589" s="99"/>
      <c r="M589" s="77" t="s">
        <v>88</v>
      </c>
    </row>
    <row r="590" spans="1:13" s="103" customFormat="1" ht="10.9" customHeight="1" x14ac:dyDescent="0.25">
      <c r="A590" s="89" t="s">
        <v>1848</v>
      </c>
      <c r="B590" s="102" t="s">
        <v>1849</v>
      </c>
      <c r="C590" s="101" t="s">
        <v>5347</v>
      </c>
      <c r="D590" s="101" t="s">
        <v>1778</v>
      </c>
      <c r="E590" s="74" t="s">
        <v>1778</v>
      </c>
      <c r="F590" s="100" t="s">
        <v>81</v>
      </c>
      <c r="G590" s="72" t="e">
        <f>_xlfn.TEXTJOIN(", ",TRUE,B590,#REF!,#REF!,#REF!,D590,E590)</f>
        <v>#REF!</v>
      </c>
      <c r="H590" s="99">
        <v>45143</v>
      </c>
      <c r="I590" s="99" t="s">
        <v>88</v>
      </c>
      <c r="J590" s="99" t="s">
        <v>88</v>
      </c>
      <c r="K590" s="99" t="s">
        <v>88</v>
      </c>
      <c r="L590" s="99" t="s">
        <v>88</v>
      </c>
      <c r="M590" s="77" t="s">
        <v>1850</v>
      </c>
    </row>
    <row r="591" spans="1:13" s="103" customFormat="1" ht="10.9" customHeight="1" x14ac:dyDescent="0.25">
      <c r="A591" s="89" t="s">
        <v>1851</v>
      </c>
      <c r="B591" s="102" t="s">
        <v>1852</v>
      </c>
      <c r="C591" s="101" t="s">
        <v>5347</v>
      </c>
      <c r="D591" s="101" t="s">
        <v>1778</v>
      </c>
      <c r="E591" s="74" t="s">
        <v>1778</v>
      </c>
      <c r="F591" s="100" t="s">
        <v>81</v>
      </c>
      <c r="G591" s="72" t="e">
        <f>_xlfn.TEXTJOIN(", ",TRUE,B591,#REF!,#REF!,#REF!,D591,E591)</f>
        <v>#REF!</v>
      </c>
      <c r="H591" s="99">
        <v>45537</v>
      </c>
      <c r="I591" s="99"/>
      <c r="J591" s="99"/>
      <c r="K591" s="99"/>
      <c r="L591" s="99"/>
      <c r="M591" s="77" t="s">
        <v>88</v>
      </c>
    </row>
    <row r="592" spans="1:13" s="103" customFormat="1" ht="10.9" customHeight="1" x14ac:dyDescent="0.25">
      <c r="A592" s="89" t="s">
        <v>1853</v>
      </c>
      <c r="B592" s="98" t="s">
        <v>1854</v>
      </c>
      <c r="C592" s="101" t="s">
        <v>5347</v>
      </c>
      <c r="D592" s="101" t="s">
        <v>1778</v>
      </c>
      <c r="E592" s="74" t="s">
        <v>1778</v>
      </c>
      <c r="F592" s="100" t="s">
        <v>187</v>
      </c>
      <c r="G592" s="72" t="e">
        <f>_xlfn.TEXTJOIN(", ",TRUE,B592,#REF!,#REF!,#REF!,D592,E592)</f>
        <v>#REF!</v>
      </c>
      <c r="H592" s="99">
        <v>45419</v>
      </c>
      <c r="I592" s="99">
        <v>45008</v>
      </c>
      <c r="J592" s="99"/>
      <c r="K592" s="99"/>
      <c r="L592" s="99">
        <v>45685</v>
      </c>
      <c r="M592" s="77">
        <v>0</v>
      </c>
    </row>
    <row r="593" spans="1:13" s="103" customFormat="1" ht="10.9" customHeight="1" x14ac:dyDescent="0.25">
      <c r="A593" s="89" t="s">
        <v>1853</v>
      </c>
      <c r="B593" s="98" t="s">
        <v>1855</v>
      </c>
      <c r="C593" s="101" t="s">
        <v>5347</v>
      </c>
      <c r="D593" s="101" t="s">
        <v>1778</v>
      </c>
      <c r="E593" s="74" t="s">
        <v>1778</v>
      </c>
      <c r="F593" s="100" t="s">
        <v>130</v>
      </c>
      <c r="G593" s="72" t="e">
        <f>_xlfn.TEXTJOIN(", ",TRUE,B593,#REF!,#REF!,#REF!,D593,E593)</f>
        <v>#REF!</v>
      </c>
      <c r="H593" s="99">
        <v>45208</v>
      </c>
      <c r="I593" s="99">
        <v>44993</v>
      </c>
      <c r="J593" s="99"/>
      <c r="K593" s="99"/>
      <c r="L593" s="99"/>
      <c r="M593" s="77" t="s">
        <v>88</v>
      </c>
    </row>
    <row r="594" spans="1:13" s="103" customFormat="1" ht="10.9" customHeight="1" x14ac:dyDescent="0.25">
      <c r="A594" s="89" t="s">
        <v>1856</v>
      </c>
      <c r="B594" s="98" t="s">
        <v>1857</v>
      </c>
      <c r="C594" s="101" t="s">
        <v>5347</v>
      </c>
      <c r="D594" s="101" t="s">
        <v>1778</v>
      </c>
      <c r="E594" s="74" t="s">
        <v>1778</v>
      </c>
      <c r="F594" s="100" t="s">
        <v>81</v>
      </c>
      <c r="G594" s="72" t="e">
        <f>_xlfn.TEXTJOIN(", ",TRUE,B594,#REF!,#REF!,#REF!,D594,E594)</f>
        <v>#REF!</v>
      </c>
      <c r="H594" s="99">
        <v>45280</v>
      </c>
      <c r="I594" s="99"/>
      <c r="J594" s="99"/>
      <c r="K594" s="99"/>
      <c r="L594" s="99">
        <v>45493</v>
      </c>
      <c r="M594" s="77" t="s">
        <v>1858</v>
      </c>
    </row>
    <row r="595" spans="1:13" s="103" customFormat="1" ht="10.9" customHeight="1" x14ac:dyDescent="0.25">
      <c r="A595" s="89" t="s">
        <v>1859</v>
      </c>
      <c r="B595" s="98" t="s">
        <v>1860</v>
      </c>
      <c r="C595" s="101" t="s">
        <v>5347</v>
      </c>
      <c r="D595" s="101" t="s">
        <v>1778</v>
      </c>
      <c r="E595" s="74" t="s">
        <v>1778</v>
      </c>
      <c r="F595" s="100" t="s">
        <v>81</v>
      </c>
      <c r="G595" s="72" t="e">
        <f>_xlfn.TEXTJOIN(", ",TRUE,B595,#REF!,#REF!,#REF!,D595,E595)</f>
        <v>#REF!</v>
      </c>
      <c r="H595" s="99">
        <v>45676</v>
      </c>
      <c r="I595" s="99"/>
      <c r="J595" s="99"/>
      <c r="K595" s="99"/>
      <c r="L595" s="99"/>
      <c r="M595" s="77">
        <v>0</v>
      </c>
    </row>
    <row r="596" spans="1:13" s="103" customFormat="1" ht="10.9" customHeight="1" x14ac:dyDescent="0.25">
      <c r="A596" s="89" t="s">
        <v>1861</v>
      </c>
      <c r="B596" s="98" t="s">
        <v>1862</v>
      </c>
      <c r="C596" s="101" t="s">
        <v>5347</v>
      </c>
      <c r="D596" s="101" t="s">
        <v>1778</v>
      </c>
      <c r="E596" s="73" t="s">
        <v>1863</v>
      </c>
      <c r="F596" s="100" t="s">
        <v>130</v>
      </c>
      <c r="G596" s="72" t="e">
        <f>_xlfn.TEXTJOIN(", ",TRUE,B596,#REF!,#REF!,#REF!,D596,E596)</f>
        <v>#REF!</v>
      </c>
      <c r="H596" s="99"/>
      <c r="I596" s="99"/>
      <c r="J596" s="99"/>
      <c r="K596" s="99"/>
      <c r="L596" s="99"/>
      <c r="M596" s="77">
        <v>0</v>
      </c>
    </row>
    <row r="597" spans="1:13" s="103" customFormat="1" ht="10.9" hidden="1" customHeight="1" x14ac:dyDescent="0.25">
      <c r="A597" s="89" t="s">
        <v>1864</v>
      </c>
      <c r="B597" s="98" t="s">
        <v>1865</v>
      </c>
      <c r="C597" s="101" t="s">
        <v>5348</v>
      </c>
      <c r="D597" s="101" t="s">
        <v>1866</v>
      </c>
      <c r="E597" s="73" t="s">
        <v>1866</v>
      </c>
      <c r="F597" s="100" t="s">
        <v>81</v>
      </c>
      <c r="G597" s="72" t="e">
        <f>_xlfn.TEXTJOIN(", ",TRUE,B597,#REF!,#REF!,#REF!,D597,E597)</f>
        <v>#REF!</v>
      </c>
      <c r="H597" s="99"/>
      <c r="I597" s="99"/>
      <c r="J597" s="99"/>
      <c r="K597" s="99"/>
      <c r="L597" s="99"/>
      <c r="M597" s="77" t="s">
        <v>88</v>
      </c>
    </row>
    <row r="598" spans="1:13" s="103" customFormat="1" ht="10.9" hidden="1" customHeight="1" x14ac:dyDescent="0.25">
      <c r="A598" s="89" t="s">
        <v>1867</v>
      </c>
      <c r="B598" s="98" t="s">
        <v>1868</v>
      </c>
      <c r="C598" s="101" t="s">
        <v>5348</v>
      </c>
      <c r="D598" s="101" t="s">
        <v>1866</v>
      </c>
      <c r="E598" s="73" t="s">
        <v>1866</v>
      </c>
      <c r="F598" s="100" t="s">
        <v>81</v>
      </c>
      <c r="G598" s="72" t="e">
        <f>_xlfn.TEXTJOIN(", ",TRUE,B598,#REF!,#REF!,#REF!,D598,E598)</f>
        <v>#REF!</v>
      </c>
      <c r="H598" s="99">
        <v>45543</v>
      </c>
      <c r="I598" s="99"/>
      <c r="J598" s="99"/>
      <c r="K598" s="99"/>
      <c r="L598" s="99"/>
      <c r="M598" s="77" t="s">
        <v>88</v>
      </c>
    </row>
    <row r="599" spans="1:13" s="103" customFormat="1" ht="10.9" hidden="1" customHeight="1" x14ac:dyDescent="0.25">
      <c r="A599" s="89" t="s">
        <v>1867</v>
      </c>
      <c r="B599" s="98" t="s">
        <v>1869</v>
      </c>
      <c r="C599" s="101" t="s">
        <v>5348</v>
      </c>
      <c r="D599" s="101" t="s">
        <v>1866</v>
      </c>
      <c r="E599" s="73" t="s">
        <v>1866</v>
      </c>
      <c r="F599" s="100" t="s">
        <v>81</v>
      </c>
      <c r="G599" s="72" t="e">
        <f>_xlfn.TEXTJOIN(", ",TRUE,B599,#REF!,#REF!,#REF!,D599,E599)</f>
        <v>#REF!</v>
      </c>
      <c r="H599" s="99"/>
      <c r="I599" s="99"/>
      <c r="J599" s="99"/>
      <c r="K599" s="99"/>
      <c r="L599" s="99"/>
      <c r="M599" s="77" t="s">
        <v>1870</v>
      </c>
    </row>
    <row r="600" spans="1:13" s="103" customFormat="1" ht="10.9" hidden="1" customHeight="1" x14ac:dyDescent="0.25">
      <c r="A600" s="89" t="s">
        <v>1871</v>
      </c>
      <c r="B600" s="98" t="s">
        <v>1872</v>
      </c>
      <c r="C600" s="101" t="s">
        <v>5348</v>
      </c>
      <c r="D600" s="101" t="s">
        <v>1866</v>
      </c>
      <c r="E600" s="73" t="s">
        <v>88</v>
      </c>
      <c r="F600" s="100" t="s">
        <v>98</v>
      </c>
      <c r="G600" s="72" t="e">
        <f>_xlfn.TEXTJOIN(", ",TRUE,B600,#REF!,#REF!,#REF!,D600,E600)</f>
        <v>#REF!</v>
      </c>
      <c r="H600" s="99"/>
      <c r="I600" s="99"/>
      <c r="J600" s="99"/>
      <c r="K600" s="99"/>
      <c r="L600" s="99"/>
      <c r="M600" s="77" t="s">
        <v>88</v>
      </c>
    </row>
    <row r="601" spans="1:13" s="103" customFormat="1" ht="10.9" hidden="1" customHeight="1" x14ac:dyDescent="0.25">
      <c r="A601" s="89" t="s">
        <v>1873</v>
      </c>
      <c r="B601" s="98" t="s">
        <v>1874</v>
      </c>
      <c r="C601" s="101" t="s">
        <v>5348</v>
      </c>
      <c r="D601" s="101" t="s">
        <v>1866</v>
      </c>
      <c r="E601" s="73" t="s">
        <v>1866</v>
      </c>
      <c r="F601" s="100" t="s">
        <v>98</v>
      </c>
      <c r="G601" s="72" t="e">
        <f>_xlfn.TEXTJOIN(", ",TRUE,B601,#REF!,#REF!,#REF!,D601,E601)</f>
        <v>#REF!</v>
      </c>
      <c r="H601" s="99">
        <v>45183</v>
      </c>
      <c r="I601" s="99"/>
      <c r="J601" s="99"/>
      <c r="K601" s="99"/>
      <c r="L601" s="99"/>
      <c r="M601" s="77" t="s">
        <v>1875</v>
      </c>
    </row>
    <row r="602" spans="1:13" s="103" customFormat="1" ht="10.9" hidden="1" customHeight="1" x14ac:dyDescent="0.25">
      <c r="A602" s="89" t="s">
        <v>1876</v>
      </c>
      <c r="B602" s="98" t="s">
        <v>1877</v>
      </c>
      <c r="C602" s="101" t="s">
        <v>5348</v>
      </c>
      <c r="D602" s="101" t="s">
        <v>1866</v>
      </c>
      <c r="E602" s="73" t="s">
        <v>1866</v>
      </c>
      <c r="F602" s="100" t="s">
        <v>98</v>
      </c>
      <c r="G602" s="72" t="e">
        <f>_xlfn.TEXTJOIN(", ",TRUE,B602,#REF!,#REF!,#REF!,D602,E602)</f>
        <v>#REF!</v>
      </c>
      <c r="H602" s="99"/>
      <c r="I602" s="99"/>
      <c r="J602" s="99"/>
      <c r="K602" s="99"/>
      <c r="L602" s="99"/>
      <c r="M602" s="77" t="s">
        <v>1878</v>
      </c>
    </row>
    <row r="603" spans="1:13" s="103" customFormat="1" ht="10.9" hidden="1" customHeight="1" x14ac:dyDescent="0.25">
      <c r="A603" s="89" t="s">
        <v>1876</v>
      </c>
      <c r="B603" s="98" t="s">
        <v>1879</v>
      </c>
      <c r="C603" s="101" t="s">
        <v>5348</v>
      </c>
      <c r="D603" s="101" t="s">
        <v>1866</v>
      </c>
      <c r="E603" s="73" t="s">
        <v>88</v>
      </c>
      <c r="F603" s="100" t="s">
        <v>98</v>
      </c>
      <c r="G603" s="72" t="e">
        <f>_xlfn.TEXTJOIN(", ",TRUE,B603,#REF!,#REF!,#REF!,D603,E603)</f>
        <v>#REF!</v>
      </c>
      <c r="H603" s="99"/>
      <c r="I603" s="99"/>
      <c r="J603" s="99"/>
      <c r="K603" s="99"/>
      <c r="L603" s="99"/>
      <c r="M603" s="77" t="s">
        <v>1880</v>
      </c>
    </row>
    <row r="604" spans="1:13" s="103" customFormat="1" ht="10.9" hidden="1" customHeight="1" x14ac:dyDescent="0.25">
      <c r="A604" s="89" t="s">
        <v>1881</v>
      </c>
      <c r="B604" s="104" t="s">
        <v>1882</v>
      </c>
      <c r="C604" s="101" t="s">
        <v>5348</v>
      </c>
      <c r="D604" s="101" t="s">
        <v>1866</v>
      </c>
      <c r="E604" s="73" t="s">
        <v>88</v>
      </c>
      <c r="F604" s="100" t="s">
        <v>98</v>
      </c>
      <c r="G604" s="72" t="e">
        <f>_xlfn.TEXTJOIN(", ",TRUE,B604,#REF!,#REF!,#REF!,D604,E604)</f>
        <v>#REF!</v>
      </c>
      <c r="H604" s="99"/>
      <c r="I604" s="99"/>
      <c r="J604" s="99"/>
      <c r="K604" s="99"/>
      <c r="L604" s="99"/>
      <c r="M604" s="77" t="s">
        <v>88</v>
      </c>
    </row>
    <row r="605" spans="1:13" s="103" customFormat="1" ht="10.9" hidden="1" customHeight="1" x14ac:dyDescent="0.25">
      <c r="A605" s="89" t="s">
        <v>1883</v>
      </c>
      <c r="B605" s="98" t="s">
        <v>1884</v>
      </c>
      <c r="C605" s="101" t="s">
        <v>5349</v>
      </c>
      <c r="D605" s="101" t="s">
        <v>1885</v>
      </c>
      <c r="E605" s="73" t="s">
        <v>88</v>
      </c>
      <c r="F605" s="100" t="s">
        <v>98</v>
      </c>
      <c r="G605" s="72" t="e">
        <f>_xlfn.TEXTJOIN(", ",TRUE,B605,#REF!,#REF!,#REF!,D605,E605)</f>
        <v>#REF!</v>
      </c>
      <c r="H605" s="99"/>
      <c r="I605" s="99"/>
      <c r="J605" s="99"/>
      <c r="K605" s="99"/>
      <c r="L605" s="99"/>
      <c r="M605" s="77" t="s">
        <v>88</v>
      </c>
    </row>
    <row r="606" spans="1:13" s="103" customFormat="1" ht="10.9" hidden="1" customHeight="1" x14ac:dyDescent="0.25">
      <c r="A606" s="89" t="s">
        <v>1886</v>
      </c>
      <c r="B606" s="102" t="s">
        <v>1887</v>
      </c>
      <c r="C606" s="101" t="s">
        <v>5349</v>
      </c>
      <c r="D606" s="101" t="s">
        <v>1888</v>
      </c>
      <c r="E606" s="73" t="s">
        <v>1888</v>
      </c>
      <c r="F606" s="100" t="s">
        <v>98</v>
      </c>
      <c r="G606" s="72" t="e">
        <f>_xlfn.TEXTJOIN(", ",TRUE,B606,#REF!,#REF!,#REF!,D606,E606)</f>
        <v>#REF!</v>
      </c>
      <c r="H606" s="99"/>
      <c r="I606" s="99"/>
      <c r="J606" s="99"/>
      <c r="K606" s="99"/>
      <c r="L606" s="99"/>
      <c r="M606" s="77" t="s">
        <v>88</v>
      </c>
    </row>
    <row r="607" spans="1:13" s="103" customFormat="1" ht="10.9" hidden="1" customHeight="1" x14ac:dyDescent="0.25">
      <c r="A607" s="89" t="s">
        <v>1889</v>
      </c>
      <c r="B607" s="102" t="s">
        <v>1890</v>
      </c>
      <c r="C607" s="101" t="s">
        <v>5349</v>
      </c>
      <c r="D607" s="101" t="s">
        <v>1888</v>
      </c>
      <c r="E607" s="73" t="s">
        <v>1888</v>
      </c>
      <c r="F607" s="100" t="s">
        <v>81</v>
      </c>
      <c r="G607" s="72" t="e">
        <f>_xlfn.TEXTJOIN(", ",TRUE,B607,#REF!,#REF!,#REF!,D607,E607)</f>
        <v>#REF!</v>
      </c>
      <c r="H607" s="99"/>
      <c r="I607" s="99"/>
      <c r="J607" s="99"/>
      <c r="K607" s="99"/>
      <c r="L607" s="99">
        <v>45016</v>
      </c>
      <c r="M607" s="77" t="s">
        <v>1891</v>
      </c>
    </row>
    <row r="608" spans="1:13" s="103" customFormat="1" ht="10.9" hidden="1" customHeight="1" x14ac:dyDescent="0.25">
      <c r="A608" s="89" t="s">
        <v>1889</v>
      </c>
      <c r="B608" s="104" t="s">
        <v>1892</v>
      </c>
      <c r="C608" s="101" t="s">
        <v>5349</v>
      </c>
      <c r="D608" s="101" t="s">
        <v>1888</v>
      </c>
      <c r="E608" s="73" t="s">
        <v>1888</v>
      </c>
      <c r="F608" s="100" t="s">
        <v>81</v>
      </c>
      <c r="G608" s="72" t="e">
        <f>_xlfn.TEXTJOIN(", ",TRUE,B608,#REF!,#REF!,#REF!,D608,E608)</f>
        <v>#REF!</v>
      </c>
      <c r="H608" s="99"/>
      <c r="I608" s="99"/>
      <c r="J608" s="99"/>
      <c r="K608" s="99"/>
      <c r="L608" s="99">
        <v>45015</v>
      </c>
      <c r="M608" s="77">
        <v>0</v>
      </c>
    </row>
    <row r="609" spans="1:13" s="103" customFormat="1" ht="10.9" hidden="1" customHeight="1" x14ac:dyDescent="0.25">
      <c r="A609" s="89" t="s">
        <v>1893</v>
      </c>
      <c r="B609" s="98" t="s">
        <v>1894</v>
      </c>
      <c r="C609" s="101" t="s">
        <v>5349</v>
      </c>
      <c r="D609" s="101" t="s">
        <v>1895</v>
      </c>
      <c r="E609" s="73" t="s">
        <v>1895</v>
      </c>
      <c r="F609" s="100" t="s">
        <v>98</v>
      </c>
      <c r="G609" s="72" t="e">
        <f>_xlfn.TEXTJOIN(", ",TRUE,B609,#REF!,#REF!,#REF!,D609,E609)</f>
        <v>#REF!</v>
      </c>
      <c r="H609" s="99"/>
      <c r="I609" s="99"/>
      <c r="J609" s="99"/>
      <c r="K609" s="99"/>
      <c r="L609" s="99"/>
      <c r="M609" s="77" t="s">
        <v>88</v>
      </c>
    </row>
    <row r="610" spans="1:13" s="103" customFormat="1" ht="10.9" hidden="1" customHeight="1" x14ac:dyDescent="0.25">
      <c r="A610" s="89" t="s">
        <v>1896</v>
      </c>
      <c r="B610" s="98" t="s">
        <v>1897</v>
      </c>
      <c r="C610" s="101" t="s">
        <v>5349</v>
      </c>
      <c r="D610" s="101" t="s">
        <v>1895</v>
      </c>
      <c r="E610" s="73" t="s">
        <v>1898</v>
      </c>
      <c r="F610" s="100" t="s">
        <v>1032</v>
      </c>
      <c r="G610" s="72" t="e">
        <f>_xlfn.TEXTJOIN(", ",TRUE,B610,#REF!,#REF!,#REF!,D610,E610)</f>
        <v>#REF!</v>
      </c>
      <c r="H610" s="99"/>
      <c r="I610" s="99"/>
      <c r="J610" s="99"/>
      <c r="K610" s="99"/>
      <c r="L610" s="99"/>
      <c r="M610" s="77" t="s">
        <v>1899</v>
      </c>
    </row>
    <row r="611" spans="1:13" s="103" customFormat="1" ht="10.9" hidden="1" customHeight="1" x14ac:dyDescent="0.25">
      <c r="A611" s="89" t="s">
        <v>1900</v>
      </c>
      <c r="B611" s="98" t="s">
        <v>1901</v>
      </c>
      <c r="C611" s="101" t="s">
        <v>5349</v>
      </c>
      <c r="D611" s="101" t="s">
        <v>1902</v>
      </c>
      <c r="E611" s="73" t="s">
        <v>1903</v>
      </c>
      <c r="F611" s="100" t="s">
        <v>81</v>
      </c>
      <c r="G611" s="72" t="e">
        <f>_xlfn.TEXTJOIN(", ",TRUE,B611,#REF!,#REF!,#REF!,D611,E611)</f>
        <v>#REF!</v>
      </c>
      <c r="H611" s="99"/>
      <c r="I611" s="99"/>
      <c r="J611" s="99"/>
      <c r="K611" s="99"/>
      <c r="L611" s="99"/>
      <c r="M611" s="77" t="s">
        <v>1904</v>
      </c>
    </row>
    <row r="612" spans="1:13" s="103" customFormat="1" ht="10.9" hidden="1" customHeight="1" x14ac:dyDescent="0.25">
      <c r="A612" s="89" t="s">
        <v>1905</v>
      </c>
      <c r="B612" s="98" t="s">
        <v>1906</v>
      </c>
      <c r="C612" s="101" t="s">
        <v>5349</v>
      </c>
      <c r="D612" s="101" t="s">
        <v>1902</v>
      </c>
      <c r="E612" s="73" t="s">
        <v>88</v>
      </c>
      <c r="F612" s="100"/>
      <c r="G612" s="72" t="e">
        <f>_xlfn.TEXTJOIN(", ",TRUE,B612,#REF!,#REF!,#REF!,D612,E612)</f>
        <v>#REF!</v>
      </c>
      <c r="H612" s="99"/>
      <c r="I612" s="99"/>
      <c r="J612" s="99"/>
      <c r="K612" s="99"/>
      <c r="L612" s="99"/>
      <c r="M612" s="77">
        <v>0</v>
      </c>
    </row>
    <row r="613" spans="1:13" s="103" customFormat="1" ht="10.9" hidden="1" customHeight="1" x14ac:dyDescent="0.25">
      <c r="A613" s="89" t="s">
        <v>1907</v>
      </c>
      <c r="B613" s="98" t="s">
        <v>1908</v>
      </c>
      <c r="C613" s="101" t="s">
        <v>5349</v>
      </c>
      <c r="D613" s="101" t="s">
        <v>1902</v>
      </c>
      <c r="E613" s="73" t="s">
        <v>1909</v>
      </c>
      <c r="F613" s="100" t="s">
        <v>187</v>
      </c>
      <c r="G613" s="72" t="e">
        <f>_xlfn.TEXTJOIN(", ",TRUE,B613,#REF!,#REF!,#REF!,D613,E613)</f>
        <v>#REF!</v>
      </c>
      <c r="H613" s="99"/>
      <c r="I613" s="99"/>
      <c r="J613" s="99"/>
      <c r="K613" s="99"/>
      <c r="L613" s="99"/>
      <c r="M613" s="77" t="s">
        <v>88</v>
      </c>
    </row>
    <row r="614" spans="1:13" s="103" customFormat="1" ht="10.9" hidden="1" customHeight="1" x14ac:dyDescent="0.25">
      <c r="A614" s="89" t="s">
        <v>1910</v>
      </c>
      <c r="B614" s="98" t="s">
        <v>1911</v>
      </c>
      <c r="C614" s="101" t="s">
        <v>5349</v>
      </c>
      <c r="D614" s="101" t="s">
        <v>1902</v>
      </c>
      <c r="E614" s="73" t="s">
        <v>1912</v>
      </c>
      <c r="F614" s="100" t="s">
        <v>81</v>
      </c>
      <c r="G614" s="72" t="e">
        <f>_xlfn.TEXTJOIN(", ",TRUE,B614,#REF!,#REF!,#REF!,D614,E614)</f>
        <v>#REF!</v>
      </c>
      <c r="H614" s="99"/>
      <c r="I614" s="99"/>
      <c r="J614" s="99"/>
      <c r="K614" s="99"/>
      <c r="L614" s="99"/>
      <c r="M614" s="77" t="s">
        <v>1913</v>
      </c>
    </row>
    <row r="615" spans="1:13" s="103" customFormat="1" ht="10.9" hidden="1" customHeight="1" x14ac:dyDescent="0.25">
      <c r="A615" s="89" t="s">
        <v>1914</v>
      </c>
      <c r="B615" s="98" t="s">
        <v>1915</v>
      </c>
      <c r="C615" s="101" t="s">
        <v>5349</v>
      </c>
      <c r="D615" s="101" t="s">
        <v>1902</v>
      </c>
      <c r="E615" s="73" t="s">
        <v>88</v>
      </c>
      <c r="F615" s="100"/>
      <c r="G615" s="72" t="e">
        <f>_xlfn.TEXTJOIN(", ",TRUE,B615,#REF!,#REF!,#REF!,D615,E615)</f>
        <v>#REF!</v>
      </c>
      <c r="H615" s="99"/>
      <c r="I615" s="99"/>
      <c r="J615" s="99"/>
      <c r="K615" s="99"/>
      <c r="L615" s="99"/>
      <c r="M615" s="77" t="s">
        <v>1916</v>
      </c>
    </row>
    <row r="616" spans="1:13" s="103" customFormat="1" ht="10.9" hidden="1" customHeight="1" x14ac:dyDescent="0.25">
      <c r="A616" s="89" t="s">
        <v>1917</v>
      </c>
      <c r="B616" s="98" t="s">
        <v>1918</v>
      </c>
      <c r="C616" s="101" t="s">
        <v>5349</v>
      </c>
      <c r="D616" s="101" t="s">
        <v>1902</v>
      </c>
      <c r="E616" s="73" t="s">
        <v>88</v>
      </c>
      <c r="F616" s="100" t="s">
        <v>98</v>
      </c>
      <c r="G616" s="72" t="e">
        <f>_xlfn.TEXTJOIN(", ",TRUE,B616,#REF!,#REF!,#REF!,D616,E616)</f>
        <v>#REF!</v>
      </c>
      <c r="H616" s="99"/>
      <c r="I616" s="99"/>
      <c r="J616" s="99"/>
      <c r="K616" s="99"/>
      <c r="L616" s="99"/>
      <c r="M616" s="77" t="s">
        <v>88</v>
      </c>
    </row>
    <row r="617" spans="1:13" s="103" customFormat="1" ht="10.9" hidden="1" customHeight="1" x14ac:dyDescent="0.25">
      <c r="A617" s="89" t="s">
        <v>1919</v>
      </c>
      <c r="B617" s="98" t="s">
        <v>1920</v>
      </c>
      <c r="C617" s="101" t="s">
        <v>5349</v>
      </c>
      <c r="D617" s="101" t="s">
        <v>1902</v>
      </c>
      <c r="E617" s="73" t="s">
        <v>1921</v>
      </c>
      <c r="F617" s="100" t="s">
        <v>81</v>
      </c>
      <c r="G617" s="72" t="e">
        <f>_xlfn.TEXTJOIN(", ",TRUE,B617,#REF!,#REF!,#REF!,D617,E617)</f>
        <v>#REF!</v>
      </c>
      <c r="H617" s="99"/>
      <c r="I617" s="99"/>
      <c r="J617" s="99"/>
      <c r="K617" s="99"/>
      <c r="L617" s="99"/>
      <c r="M617" s="77" t="s">
        <v>1922</v>
      </c>
    </row>
    <row r="618" spans="1:13" s="103" customFormat="1" ht="10.9" hidden="1" customHeight="1" x14ac:dyDescent="0.25">
      <c r="A618" s="89" t="s">
        <v>1923</v>
      </c>
      <c r="B618" s="98" t="s">
        <v>1924</v>
      </c>
      <c r="C618" s="101" t="s">
        <v>5349</v>
      </c>
      <c r="D618" s="101" t="s">
        <v>1902</v>
      </c>
      <c r="E618" s="74" t="s">
        <v>1925</v>
      </c>
      <c r="F618" s="100" t="s">
        <v>98</v>
      </c>
      <c r="G618" s="72" t="e">
        <f>_xlfn.TEXTJOIN(", ",TRUE,B618,#REF!,#REF!,#REF!,D618,E618)</f>
        <v>#REF!</v>
      </c>
      <c r="H618" s="99"/>
      <c r="I618" s="99"/>
      <c r="J618" s="99"/>
      <c r="K618" s="99"/>
      <c r="L618" s="99"/>
      <c r="M618" s="77" t="s">
        <v>1926</v>
      </c>
    </row>
    <row r="619" spans="1:13" s="103" customFormat="1" ht="10.9" hidden="1" customHeight="1" x14ac:dyDescent="0.25">
      <c r="A619" s="89" t="s">
        <v>1927</v>
      </c>
      <c r="B619" s="98" t="s">
        <v>1928</v>
      </c>
      <c r="C619" s="101" t="s">
        <v>5349</v>
      </c>
      <c r="D619" s="101" t="s">
        <v>1902</v>
      </c>
      <c r="E619" s="73" t="s">
        <v>1929</v>
      </c>
      <c r="F619" s="100" t="s">
        <v>81</v>
      </c>
      <c r="G619" s="72" t="e">
        <f>_xlfn.TEXTJOIN(", ",TRUE,B619,#REF!,#REF!,#REF!,D619,E619)</f>
        <v>#REF!</v>
      </c>
      <c r="H619" s="99"/>
      <c r="I619" s="99"/>
      <c r="J619" s="99" t="s">
        <v>316</v>
      </c>
      <c r="K619" s="99"/>
      <c r="L619" s="99"/>
      <c r="M619" s="77" t="s">
        <v>1930</v>
      </c>
    </row>
    <row r="620" spans="1:13" s="103" customFormat="1" ht="10.9" hidden="1" customHeight="1" x14ac:dyDescent="0.25">
      <c r="A620" s="89" t="s">
        <v>1931</v>
      </c>
      <c r="B620" s="98" t="s">
        <v>1932</v>
      </c>
      <c r="C620" s="101" t="s">
        <v>5349</v>
      </c>
      <c r="D620" s="101" t="s">
        <v>1902</v>
      </c>
      <c r="E620" s="73" t="s">
        <v>1933</v>
      </c>
      <c r="F620" s="100" t="s">
        <v>81</v>
      </c>
      <c r="G620" s="72" t="e">
        <f>_xlfn.TEXTJOIN(", ",TRUE,B620,#REF!,#REF!,#REF!,D620,E620)</f>
        <v>#REF!</v>
      </c>
      <c r="H620" s="99">
        <v>45580</v>
      </c>
      <c r="I620" s="99"/>
      <c r="J620" s="99"/>
      <c r="K620" s="99"/>
      <c r="L620" s="99"/>
      <c r="M620" s="77" t="s">
        <v>1934</v>
      </c>
    </row>
    <row r="621" spans="1:13" s="103" customFormat="1" ht="10.9" hidden="1" customHeight="1" x14ac:dyDescent="0.25">
      <c r="A621" s="89" t="s">
        <v>1685</v>
      </c>
      <c r="B621" s="98" t="s">
        <v>1935</v>
      </c>
      <c r="C621" s="101" t="s">
        <v>5349</v>
      </c>
      <c r="D621" s="101" t="s">
        <v>1902</v>
      </c>
      <c r="E621" s="73" t="s">
        <v>1936</v>
      </c>
      <c r="F621" s="100" t="s">
        <v>81</v>
      </c>
      <c r="G621" s="72" t="e">
        <f>_xlfn.TEXTJOIN(", ",TRUE,B621,#REF!,#REF!,#REF!,D621,E621)</f>
        <v>#REF!</v>
      </c>
      <c r="H621" s="99"/>
      <c r="I621" s="99"/>
      <c r="J621" s="99" t="s">
        <v>316</v>
      </c>
      <c r="K621" s="99"/>
      <c r="L621" s="99"/>
      <c r="M621" s="77">
        <v>0</v>
      </c>
    </row>
    <row r="622" spans="1:13" s="103" customFormat="1" ht="10.9" hidden="1" customHeight="1" x14ac:dyDescent="0.25">
      <c r="A622" s="89" t="s">
        <v>1937</v>
      </c>
      <c r="B622" s="98" t="s">
        <v>1938</v>
      </c>
      <c r="C622" s="101" t="s">
        <v>5349</v>
      </c>
      <c r="D622" s="101" t="s">
        <v>1902</v>
      </c>
      <c r="E622" s="73" t="s">
        <v>1939</v>
      </c>
      <c r="F622" s="100" t="s">
        <v>98</v>
      </c>
      <c r="G622" s="72" t="e">
        <f>_xlfn.TEXTJOIN(", ",TRUE,B622,#REF!,#REF!,#REF!,D622,E622)</f>
        <v>#REF!</v>
      </c>
      <c r="H622" s="99"/>
      <c r="I622" s="99"/>
      <c r="J622" s="99">
        <v>44957</v>
      </c>
      <c r="K622" s="99"/>
      <c r="L622" s="99"/>
      <c r="M622" s="77">
        <v>0</v>
      </c>
    </row>
    <row r="623" spans="1:13" s="103" customFormat="1" ht="10.9" hidden="1" customHeight="1" x14ac:dyDescent="0.25">
      <c r="A623" s="89" t="s">
        <v>1940</v>
      </c>
      <c r="B623" s="98" t="s">
        <v>1941</v>
      </c>
      <c r="C623" s="101" t="s">
        <v>5349</v>
      </c>
      <c r="D623" s="101" t="s">
        <v>1902</v>
      </c>
      <c r="E623" s="73" t="s">
        <v>1942</v>
      </c>
      <c r="F623" s="100" t="s">
        <v>81</v>
      </c>
      <c r="G623" s="72" t="e">
        <f>_xlfn.TEXTJOIN(", ",TRUE,B623,#REF!,#REF!,#REF!,D623,E623)</f>
        <v>#REF!</v>
      </c>
      <c r="H623" s="99"/>
      <c r="I623" s="99"/>
      <c r="J623" s="99" t="s">
        <v>652</v>
      </c>
      <c r="K623" s="99"/>
      <c r="L623" s="99"/>
      <c r="M623" s="77" t="s">
        <v>1943</v>
      </c>
    </row>
    <row r="624" spans="1:13" s="103" customFormat="1" ht="10.9" hidden="1" customHeight="1" x14ac:dyDescent="0.25">
      <c r="A624" s="89" t="s">
        <v>1944</v>
      </c>
      <c r="B624" s="98" t="s">
        <v>1945</v>
      </c>
      <c r="C624" s="101" t="s">
        <v>5349</v>
      </c>
      <c r="D624" s="101" t="s">
        <v>1902</v>
      </c>
      <c r="E624" s="73" t="s">
        <v>1946</v>
      </c>
      <c r="F624" s="100" t="s">
        <v>98</v>
      </c>
      <c r="G624" s="72" t="e">
        <f>_xlfn.TEXTJOIN(", ",TRUE,B624,#REF!,#REF!,#REF!,D624,E624)</f>
        <v>#REF!</v>
      </c>
      <c r="H624" s="99"/>
      <c r="I624" s="99"/>
      <c r="J624" s="99"/>
      <c r="K624" s="99"/>
      <c r="L624" s="99"/>
      <c r="M624" s="77" t="s">
        <v>1947</v>
      </c>
    </row>
    <row r="625" spans="1:13" s="103" customFormat="1" ht="10.9" hidden="1" customHeight="1" x14ac:dyDescent="0.25">
      <c r="A625" s="89" t="s">
        <v>1948</v>
      </c>
      <c r="B625" s="98" t="s">
        <v>1949</v>
      </c>
      <c r="C625" s="101" t="s">
        <v>5349</v>
      </c>
      <c r="D625" s="101" t="s">
        <v>1902</v>
      </c>
      <c r="E625" s="73" t="s">
        <v>1950</v>
      </c>
      <c r="F625" s="100" t="s">
        <v>81</v>
      </c>
      <c r="G625" s="72" t="e">
        <f>_xlfn.TEXTJOIN(", ",TRUE,B625,#REF!,#REF!,#REF!,D625,E625)</f>
        <v>#REF!</v>
      </c>
      <c r="H625" s="99"/>
      <c r="I625" s="99"/>
      <c r="J625" s="99"/>
      <c r="K625" s="99"/>
      <c r="L625" s="99"/>
      <c r="M625" s="77" t="s">
        <v>1951</v>
      </c>
    </row>
    <row r="626" spans="1:13" s="103" customFormat="1" ht="10.9" hidden="1" customHeight="1" x14ac:dyDescent="0.25">
      <c r="A626" s="89" t="s">
        <v>1952</v>
      </c>
      <c r="B626" s="98" t="s">
        <v>1953</v>
      </c>
      <c r="C626" s="101" t="s">
        <v>5349</v>
      </c>
      <c r="D626" s="101" t="s">
        <v>1902</v>
      </c>
      <c r="E626" s="73" t="s">
        <v>1954</v>
      </c>
      <c r="F626" s="100" t="s">
        <v>98</v>
      </c>
      <c r="G626" s="72" t="e">
        <f>_xlfn.TEXTJOIN(", ",TRUE,B626,#REF!,#REF!,#REF!,D626,E626)</f>
        <v>#REF!</v>
      </c>
      <c r="H626" s="99"/>
      <c r="I626" s="99"/>
      <c r="J626" s="99"/>
      <c r="K626" s="99"/>
      <c r="L626" s="99"/>
      <c r="M626" s="77" t="s">
        <v>1943</v>
      </c>
    </row>
    <row r="627" spans="1:13" s="103" customFormat="1" ht="10.9" hidden="1" customHeight="1" x14ac:dyDescent="0.25">
      <c r="A627" s="89" t="s">
        <v>1955</v>
      </c>
      <c r="B627" s="98" t="s">
        <v>1956</v>
      </c>
      <c r="C627" s="101" t="s">
        <v>5349</v>
      </c>
      <c r="D627" s="101" t="s">
        <v>1902</v>
      </c>
      <c r="E627" s="73" t="s">
        <v>1957</v>
      </c>
      <c r="F627" s="100" t="s">
        <v>98</v>
      </c>
      <c r="G627" s="72" t="e">
        <f>_xlfn.TEXTJOIN(", ",TRUE,B627,#REF!,#REF!,#REF!,D627,E627)</f>
        <v>#REF!</v>
      </c>
      <c r="H627" s="99"/>
      <c r="I627" s="99"/>
      <c r="J627" s="99">
        <v>45169</v>
      </c>
      <c r="K627" s="99"/>
      <c r="L627" s="99"/>
      <c r="M627" s="77">
        <v>0</v>
      </c>
    </row>
    <row r="628" spans="1:13" s="103" customFormat="1" ht="10.9" hidden="1" customHeight="1" x14ac:dyDescent="0.25">
      <c r="A628" s="89" t="s">
        <v>1955</v>
      </c>
      <c r="B628" s="98" t="s">
        <v>1958</v>
      </c>
      <c r="C628" s="101" t="s">
        <v>5349</v>
      </c>
      <c r="D628" s="101" t="s">
        <v>1902</v>
      </c>
      <c r="E628" s="73" t="s">
        <v>88</v>
      </c>
      <c r="F628" s="100" t="s">
        <v>562</v>
      </c>
      <c r="G628" s="72" t="e">
        <f>_xlfn.TEXTJOIN(", ",TRUE,B628,#REF!,#REF!,#REF!,D628,E628)</f>
        <v>#REF!</v>
      </c>
      <c r="H628" s="99"/>
      <c r="I628" s="99"/>
      <c r="J628" s="99"/>
      <c r="K628" s="99"/>
      <c r="L628" s="99"/>
      <c r="M628" s="77">
        <v>0</v>
      </c>
    </row>
    <row r="629" spans="1:13" s="103" customFormat="1" ht="10.9" hidden="1" customHeight="1" x14ac:dyDescent="0.25">
      <c r="A629" s="89" t="s">
        <v>1959</v>
      </c>
      <c r="B629" s="98" t="s">
        <v>1960</v>
      </c>
      <c r="C629" s="101" t="s">
        <v>5348</v>
      </c>
      <c r="D629" s="101" t="s">
        <v>1902</v>
      </c>
      <c r="E629" s="73" t="s">
        <v>1961</v>
      </c>
      <c r="F629" s="100" t="s">
        <v>81</v>
      </c>
      <c r="G629" s="72" t="e">
        <f>_xlfn.TEXTJOIN(", ",TRUE,B629,#REF!,#REF!,#REF!,D629,E629)</f>
        <v>#REF!</v>
      </c>
      <c r="H629" s="99">
        <v>45912</v>
      </c>
      <c r="I629" s="99"/>
      <c r="J629" s="99"/>
      <c r="K629" s="99"/>
      <c r="L629" s="99"/>
      <c r="M629" s="77">
        <v>0</v>
      </c>
    </row>
    <row r="630" spans="1:13" s="103" customFormat="1" ht="10.9" hidden="1" customHeight="1" x14ac:dyDescent="0.25">
      <c r="A630" s="89" t="s">
        <v>1962</v>
      </c>
      <c r="B630" s="98" t="s">
        <v>1963</v>
      </c>
      <c r="C630" s="101" t="s">
        <v>5349</v>
      </c>
      <c r="D630" s="101" t="s">
        <v>1902</v>
      </c>
      <c r="E630" s="73" t="s">
        <v>1964</v>
      </c>
      <c r="F630" s="100" t="s">
        <v>81</v>
      </c>
      <c r="G630" s="72" t="e">
        <f>_xlfn.TEXTJOIN(", ",TRUE,B630,#REF!,#REF!,#REF!,D630,E630)</f>
        <v>#REF!</v>
      </c>
      <c r="H630" s="99"/>
      <c r="I630" s="99"/>
      <c r="J630" s="99" t="s">
        <v>316</v>
      </c>
      <c r="K630" s="99"/>
      <c r="L630" s="99"/>
      <c r="M630" s="77" t="s">
        <v>1965</v>
      </c>
    </row>
    <row r="631" spans="1:13" s="103" customFormat="1" ht="10.9" hidden="1" customHeight="1" x14ac:dyDescent="0.25">
      <c r="A631" s="89" t="s">
        <v>1263</v>
      </c>
      <c r="B631" s="98" t="s">
        <v>1264</v>
      </c>
      <c r="C631" s="101" t="s">
        <v>5349</v>
      </c>
      <c r="D631" s="101" t="s">
        <v>1902</v>
      </c>
      <c r="E631" s="73" t="s">
        <v>1966</v>
      </c>
      <c r="F631" s="100" t="s">
        <v>81</v>
      </c>
      <c r="G631" s="72" t="e">
        <f>_xlfn.TEXTJOIN(", ",TRUE,B631,#REF!,#REF!,#REF!,D631,E631)</f>
        <v>#REF!</v>
      </c>
      <c r="H631" s="99">
        <v>45188</v>
      </c>
      <c r="I631" s="99">
        <v>45829</v>
      </c>
      <c r="J631" s="99"/>
      <c r="K631" s="99"/>
      <c r="L631" s="99"/>
      <c r="M631" s="77" t="s">
        <v>88</v>
      </c>
    </row>
    <row r="632" spans="1:13" s="103" customFormat="1" ht="10.9" hidden="1" customHeight="1" x14ac:dyDescent="0.25">
      <c r="A632" s="89" t="s">
        <v>1967</v>
      </c>
      <c r="B632" s="98" t="s">
        <v>1968</v>
      </c>
      <c r="C632" s="101" t="s">
        <v>5349</v>
      </c>
      <c r="D632" s="101" t="s">
        <v>1902</v>
      </c>
      <c r="E632" s="73" t="s">
        <v>1969</v>
      </c>
      <c r="F632" s="100" t="s">
        <v>81</v>
      </c>
      <c r="G632" s="72" t="e">
        <f>_xlfn.TEXTJOIN(", ",TRUE,B632,#REF!,#REF!,#REF!,D632,E632)</f>
        <v>#REF!</v>
      </c>
      <c r="H632" s="99"/>
      <c r="I632" s="99"/>
      <c r="J632" s="99" t="s">
        <v>316</v>
      </c>
      <c r="K632" s="99"/>
      <c r="L632" s="99"/>
      <c r="M632" s="77">
        <v>0</v>
      </c>
    </row>
    <row r="633" spans="1:13" s="103" customFormat="1" ht="10.9" hidden="1" customHeight="1" x14ac:dyDescent="0.25">
      <c r="A633" s="89" t="s">
        <v>1970</v>
      </c>
      <c r="B633" s="98" t="s">
        <v>1971</v>
      </c>
      <c r="C633" s="101" t="s">
        <v>5349</v>
      </c>
      <c r="D633" s="101" t="s">
        <v>1902</v>
      </c>
      <c r="E633" s="73" t="s">
        <v>1972</v>
      </c>
      <c r="F633" s="100" t="s">
        <v>81</v>
      </c>
      <c r="G633" s="72" t="e">
        <f>_xlfn.TEXTJOIN(", ",TRUE,B633,#REF!,#REF!,#REF!,D633,E633)</f>
        <v>#REF!</v>
      </c>
      <c r="H633" s="99"/>
      <c r="I633" s="99"/>
      <c r="J633" s="99">
        <v>45260</v>
      </c>
      <c r="K633" s="99"/>
      <c r="L633" s="99"/>
      <c r="M633" s="77" t="s">
        <v>1973</v>
      </c>
    </row>
    <row r="634" spans="1:13" s="103" customFormat="1" ht="10.9" hidden="1" customHeight="1" x14ac:dyDescent="0.25">
      <c r="A634" s="89" t="s">
        <v>1974</v>
      </c>
      <c r="B634" s="98" t="s">
        <v>1975</v>
      </c>
      <c r="C634" s="101" t="s">
        <v>5349</v>
      </c>
      <c r="D634" s="101" t="s">
        <v>1902</v>
      </c>
      <c r="E634" s="73" t="s">
        <v>1976</v>
      </c>
      <c r="F634" s="100" t="s">
        <v>81</v>
      </c>
      <c r="G634" s="72" t="e">
        <f>_xlfn.TEXTJOIN(", ",TRUE,B634,#REF!,#REF!,#REF!,D634,E634)</f>
        <v>#REF!</v>
      </c>
      <c r="H634" s="99"/>
      <c r="I634" s="99"/>
      <c r="J634" s="99" t="s">
        <v>316</v>
      </c>
      <c r="K634" s="99"/>
      <c r="L634" s="99"/>
      <c r="M634" s="77" t="s">
        <v>88</v>
      </c>
    </row>
    <row r="635" spans="1:13" s="103" customFormat="1" ht="10.9" hidden="1" customHeight="1" x14ac:dyDescent="0.25">
      <c r="A635" s="89" t="s">
        <v>1977</v>
      </c>
      <c r="B635" s="98" t="s">
        <v>1978</v>
      </c>
      <c r="C635" s="101" t="s">
        <v>5349</v>
      </c>
      <c r="D635" s="101" t="s">
        <v>1902</v>
      </c>
      <c r="E635" s="73" t="s">
        <v>1979</v>
      </c>
      <c r="F635" s="100" t="s">
        <v>282</v>
      </c>
      <c r="G635" s="72" t="e">
        <f>_xlfn.TEXTJOIN(", ",TRUE,B635,#REF!,#REF!,#REF!,D635,E635)</f>
        <v>#REF!</v>
      </c>
      <c r="H635" s="99">
        <v>45464</v>
      </c>
      <c r="I635" s="99"/>
      <c r="J635" s="99" t="s">
        <v>316</v>
      </c>
      <c r="K635" s="99"/>
      <c r="L635" s="99"/>
      <c r="M635" s="77" t="s">
        <v>88</v>
      </c>
    </row>
    <row r="636" spans="1:13" s="103" customFormat="1" ht="10.9" hidden="1" customHeight="1" x14ac:dyDescent="0.25">
      <c r="A636" s="89" t="s">
        <v>1980</v>
      </c>
      <c r="B636" s="98" t="s">
        <v>1981</v>
      </c>
      <c r="C636" s="101" t="s">
        <v>5349</v>
      </c>
      <c r="D636" s="101" t="s">
        <v>1902</v>
      </c>
      <c r="E636" s="73" t="s">
        <v>1982</v>
      </c>
      <c r="F636" s="100" t="s">
        <v>81</v>
      </c>
      <c r="G636" s="72" t="e">
        <f>_xlfn.TEXTJOIN(", ",TRUE,B636,#REF!,#REF!,#REF!,D636,E636)</f>
        <v>#REF!</v>
      </c>
      <c r="H636" s="99">
        <v>45808</v>
      </c>
      <c r="I636" s="99"/>
      <c r="J636" s="99"/>
      <c r="K636" s="99"/>
      <c r="L636" s="99"/>
      <c r="M636" s="77" t="s">
        <v>88</v>
      </c>
    </row>
    <row r="637" spans="1:13" s="103" customFormat="1" ht="10.9" hidden="1" customHeight="1" x14ac:dyDescent="0.25">
      <c r="A637" s="89" t="s">
        <v>1983</v>
      </c>
      <c r="B637" s="102" t="s">
        <v>1984</v>
      </c>
      <c r="C637" s="101" t="s">
        <v>5349</v>
      </c>
      <c r="D637" s="101" t="s">
        <v>1902</v>
      </c>
      <c r="E637" s="73" t="s">
        <v>88</v>
      </c>
      <c r="F637" s="100"/>
      <c r="G637" s="72" t="e">
        <f>_xlfn.TEXTJOIN(", ",TRUE,B637,#REF!,#REF!,#REF!,D637,E637)</f>
        <v>#REF!</v>
      </c>
      <c r="H637" s="99"/>
      <c r="I637" s="99"/>
      <c r="J637" s="99"/>
      <c r="K637" s="99"/>
      <c r="L637" s="99"/>
      <c r="M637" s="77">
        <v>0</v>
      </c>
    </row>
    <row r="638" spans="1:13" s="103" customFormat="1" ht="10.9" hidden="1" customHeight="1" x14ac:dyDescent="0.25">
      <c r="A638" s="89" t="s">
        <v>1985</v>
      </c>
      <c r="B638" s="98" t="s">
        <v>1986</v>
      </c>
      <c r="C638" s="101" t="s">
        <v>5349</v>
      </c>
      <c r="D638" s="101" t="s">
        <v>1902</v>
      </c>
      <c r="E638" s="73" t="s">
        <v>1987</v>
      </c>
      <c r="F638" s="100" t="s">
        <v>81</v>
      </c>
      <c r="G638" s="72" t="e">
        <f>_xlfn.TEXTJOIN(", ",TRUE,B638,#REF!,#REF!,#REF!,D638,E638)</f>
        <v>#REF!</v>
      </c>
      <c r="H638" s="99">
        <v>45020</v>
      </c>
      <c r="I638" s="99"/>
      <c r="J638" s="99" t="s">
        <v>316</v>
      </c>
      <c r="K638" s="99"/>
      <c r="L638" s="99"/>
      <c r="M638" s="77" t="s">
        <v>1988</v>
      </c>
    </row>
    <row r="639" spans="1:13" s="103" customFormat="1" ht="10.9" hidden="1" customHeight="1" x14ac:dyDescent="0.25">
      <c r="A639" s="89" t="s">
        <v>1989</v>
      </c>
      <c r="B639" s="98" t="s">
        <v>1990</v>
      </c>
      <c r="C639" s="101" t="s">
        <v>5349</v>
      </c>
      <c r="D639" s="101" t="s">
        <v>1902</v>
      </c>
      <c r="E639" s="73" t="s">
        <v>1991</v>
      </c>
      <c r="F639" s="100" t="s">
        <v>81</v>
      </c>
      <c r="G639" s="72" t="e">
        <f>_xlfn.TEXTJOIN(", ",TRUE,B639,#REF!,#REF!,#REF!,D639,E639)</f>
        <v>#REF!</v>
      </c>
      <c r="H639" s="99">
        <v>44926</v>
      </c>
      <c r="I639" s="99"/>
      <c r="J639" s="99" t="s">
        <v>316</v>
      </c>
      <c r="K639" s="99"/>
      <c r="L639" s="99"/>
      <c r="M639" s="77">
        <v>0</v>
      </c>
    </row>
    <row r="640" spans="1:13" s="103" customFormat="1" ht="10.9" hidden="1" customHeight="1" x14ac:dyDescent="0.25">
      <c r="A640" s="89" t="s">
        <v>1992</v>
      </c>
      <c r="B640" s="98" t="s">
        <v>1993</v>
      </c>
      <c r="C640" s="101" t="s">
        <v>5349</v>
      </c>
      <c r="D640" s="101" t="s">
        <v>1902</v>
      </c>
      <c r="E640" s="73" t="s">
        <v>1994</v>
      </c>
      <c r="F640" s="100" t="s">
        <v>98</v>
      </c>
      <c r="G640" s="72" t="e">
        <f>_xlfn.TEXTJOIN(", ",TRUE,B640,#REF!,#REF!,#REF!,D640,E640)</f>
        <v>#REF!</v>
      </c>
      <c r="H640" s="99"/>
      <c r="I640" s="99"/>
      <c r="J640" s="99"/>
      <c r="K640" s="99"/>
      <c r="L640" s="99"/>
      <c r="M640" s="77">
        <v>0</v>
      </c>
    </row>
    <row r="641" spans="1:13" s="103" customFormat="1" ht="10.9" hidden="1" customHeight="1" x14ac:dyDescent="0.25">
      <c r="A641" s="89" t="s">
        <v>1995</v>
      </c>
      <c r="B641" s="98" t="s">
        <v>1996</v>
      </c>
      <c r="C641" s="101" t="s">
        <v>5349</v>
      </c>
      <c r="D641" s="101" t="s">
        <v>1902</v>
      </c>
      <c r="E641" s="73" t="s">
        <v>1997</v>
      </c>
      <c r="F641" s="100" t="s">
        <v>81</v>
      </c>
      <c r="G641" s="72" t="e">
        <f>_xlfn.TEXTJOIN(", ",TRUE,B641,#REF!,#REF!,#REF!,D641,E641)</f>
        <v>#REF!</v>
      </c>
      <c r="H641" s="99"/>
      <c r="I641" s="99"/>
      <c r="J641" s="99"/>
      <c r="K641" s="99"/>
      <c r="L641" s="99"/>
      <c r="M641" s="77" t="s">
        <v>1998</v>
      </c>
    </row>
    <row r="642" spans="1:13" s="103" customFormat="1" ht="10.9" hidden="1" customHeight="1" x14ac:dyDescent="0.25">
      <c r="A642" s="89" t="s">
        <v>1999</v>
      </c>
      <c r="B642" s="98" t="s">
        <v>2000</v>
      </c>
      <c r="C642" s="101" t="s">
        <v>5349</v>
      </c>
      <c r="D642" s="101" t="s">
        <v>1902</v>
      </c>
      <c r="E642" s="73" t="s">
        <v>2001</v>
      </c>
      <c r="F642" s="100" t="s">
        <v>81</v>
      </c>
      <c r="G642" s="72" t="e">
        <f>_xlfn.TEXTJOIN(", ",TRUE,B642,#REF!,#REF!,#REF!,D642,E642)</f>
        <v>#REF!</v>
      </c>
      <c r="H642" s="99"/>
      <c r="I642" s="99"/>
      <c r="J642" s="99"/>
      <c r="K642" s="99"/>
      <c r="L642" s="99"/>
      <c r="M642" s="77">
        <v>0</v>
      </c>
    </row>
    <row r="643" spans="1:13" s="103" customFormat="1" ht="10.9" hidden="1" customHeight="1" x14ac:dyDescent="0.25">
      <c r="A643" s="89" t="s">
        <v>2002</v>
      </c>
      <c r="B643" s="98" t="s">
        <v>2003</v>
      </c>
      <c r="C643" s="101" t="s">
        <v>5349</v>
      </c>
      <c r="D643" s="101" t="s">
        <v>1902</v>
      </c>
      <c r="E643" s="73" t="s">
        <v>2004</v>
      </c>
      <c r="F643" s="100" t="s">
        <v>81</v>
      </c>
      <c r="G643" s="72" t="e">
        <f>_xlfn.TEXTJOIN(", ",TRUE,B643,#REF!,#REF!,#REF!,D643,E643)</f>
        <v>#REF!</v>
      </c>
      <c r="H643" s="99"/>
      <c r="I643" s="99"/>
      <c r="J643" s="99"/>
      <c r="K643" s="99"/>
      <c r="L643" s="99"/>
      <c r="M643" s="77" t="s">
        <v>2005</v>
      </c>
    </row>
    <row r="644" spans="1:13" s="103" customFormat="1" ht="10.9" hidden="1" customHeight="1" x14ac:dyDescent="0.25">
      <c r="A644" s="89" t="s">
        <v>2006</v>
      </c>
      <c r="B644" s="98" t="s">
        <v>2007</v>
      </c>
      <c r="C644" s="101" t="s">
        <v>5349</v>
      </c>
      <c r="D644" s="101" t="s">
        <v>1902</v>
      </c>
      <c r="E644" s="73" t="s">
        <v>2008</v>
      </c>
      <c r="F644" s="100" t="s">
        <v>81</v>
      </c>
      <c r="G644" s="72" t="e">
        <f>_xlfn.TEXTJOIN(", ",TRUE,B644,#REF!,#REF!,#REF!,D644,E644)</f>
        <v>#REF!</v>
      </c>
      <c r="H644" s="99">
        <v>45068</v>
      </c>
      <c r="I644" s="99"/>
      <c r="J644" s="99"/>
      <c r="K644" s="99"/>
      <c r="L644" s="99"/>
      <c r="M644" s="77" t="s">
        <v>1262</v>
      </c>
    </row>
    <row r="645" spans="1:13" s="103" customFormat="1" ht="10.9" hidden="1" customHeight="1" x14ac:dyDescent="0.25">
      <c r="A645" s="89" t="s">
        <v>2009</v>
      </c>
      <c r="B645" s="104" t="s">
        <v>2010</v>
      </c>
      <c r="C645" s="101" t="s">
        <v>5348</v>
      </c>
      <c r="D645" s="101" t="s">
        <v>1902</v>
      </c>
      <c r="E645" s="73" t="s">
        <v>88</v>
      </c>
      <c r="F645" s="100" t="s">
        <v>98</v>
      </c>
      <c r="G645" s="72" t="e">
        <f>_xlfn.TEXTJOIN(", ",TRUE,B645,#REF!,#REF!,#REF!,D645,E645)</f>
        <v>#REF!</v>
      </c>
      <c r="H645" s="99"/>
      <c r="I645" s="99"/>
      <c r="J645" s="99"/>
      <c r="K645" s="99"/>
      <c r="L645" s="99"/>
      <c r="M645" s="77" t="s">
        <v>88</v>
      </c>
    </row>
    <row r="646" spans="1:13" s="103" customFormat="1" ht="10.9" hidden="1" customHeight="1" x14ac:dyDescent="0.25">
      <c r="A646" s="89" t="s">
        <v>2011</v>
      </c>
      <c r="B646" s="98" t="s">
        <v>2012</v>
      </c>
      <c r="C646" s="101" t="s">
        <v>5348</v>
      </c>
      <c r="D646" s="101" t="s">
        <v>1902</v>
      </c>
      <c r="E646" s="73" t="s">
        <v>2013</v>
      </c>
      <c r="F646" s="100" t="s">
        <v>118</v>
      </c>
      <c r="G646" s="72" t="e">
        <f>_xlfn.TEXTJOIN(", ",TRUE,B646,#REF!,#REF!,#REF!,D646,E646)</f>
        <v>#REF!</v>
      </c>
      <c r="H646" s="99">
        <v>45532</v>
      </c>
      <c r="I646" s="99"/>
      <c r="J646" s="99"/>
      <c r="K646" s="99"/>
      <c r="L646" s="99"/>
      <c r="M646" s="77" t="s">
        <v>2014</v>
      </c>
    </row>
    <row r="647" spans="1:13" s="103" customFormat="1" ht="10.9" hidden="1" customHeight="1" x14ac:dyDescent="0.25">
      <c r="A647" s="89" t="s">
        <v>2015</v>
      </c>
      <c r="B647" s="98" t="s">
        <v>2016</v>
      </c>
      <c r="C647" s="101" t="s">
        <v>5349</v>
      </c>
      <c r="D647" s="101" t="s">
        <v>1902</v>
      </c>
      <c r="E647" s="73" t="s">
        <v>2017</v>
      </c>
      <c r="F647" s="100" t="s">
        <v>98</v>
      </c>
      <c r="G647" s="72" t="e">
        <f>_xlfn.TEXTJOIN(", ",TRUE,B647,#REF!,#REF!,#REF!,D647,E647)</f>
        <v>#REF!</v>
      </c>
      <c r="H647" s="99"/>
      <c r="I647" s="99"/>
      <c r="J647" s="99"/>
      <c r="K647" s="99"/>
      <c r="L647" s="99"/>
      <c r="M647" s="77" t="s">
        <v>2018</v>
      </c>
    </row>
    <row r="648" spans="1:13" s="103" customFormat="1" ht="10.9" hidden="1" customHeight="1" x14ac:dyDescent="0.25">
      <c r="A648" s="89" t="s">
        <v>2019</v>
      </c>
      <c r="B648" s="98" t="s">
        <v>2020</v>
      </c>
      <c r="C648" s="101" t="s">
        <v>5349</v>
      </c>
      <c r="D648" s="101" t="s">
        <v>1902</v>
      </c>
      <c r="E648" s="73" t="s">
        <v>2013</v>
      </c>
      <c r="F648" s="100" t="s">
        <v>81</v>
      </c>
      <c r="G648" s="72" t="e">
        <f>_xlfn.TEXTJOIN(", ",TRUE,B648,#REF!,#REF!,#REF!,D648,E648)</f>
        <v>#REF!</v>
      </c>
      <c r="H648" s="99"/>
      <c r="I648" s="99"/>
      <c r="J648" s="99"/>
      <c r="K648" s="99"/>
      <c r="L648" s="99"/>
      <c r="M648" s="77" t="s">
        <v>88</v>
      </c>
    </row>
    <row r="649" spans="1:13" s="103" customFormat="1" ht="10.9" hidden="1" customHeight="1" x14ac:dyDescent="0.25">
      <c r="A649" s="89" t="s">
        <v>2021</v>
      </c>
      <c r="B649" s="104" t="s">
        <v>2022</v>
      </c>
      <c r="C649" s="101" t="s">
        <v>5349</v>
      </c>
      <c r="D649" s="101" t="s">
        <v>1902</v>
      </c>
      <c r="E649" s="73" t="s">
        <v>88</v>
      </c>
      <c r="F649" s="100" t="s">
        <v>98</v>
      </c>
      <c r="G649" s="72" t="e">
        <f>_xlfn.TEXTJOIN(", ",TRUE,B649,#REF!,#REF!,#REF!,D649,E649)</f>
        <v>#REF!</v>
      </c>
      <c r="H649" s="99"/>
      <c r="I649" s="99"/>
      <c r="J649" s="99"/>
      <c r="K649" s="99"/>
      <c r="L649" s="99"/>
      <c r="M649" s="77" t="s">
        <v>2023</v>
      </c>
    </row>
    <row r="650" spans="1:13" s="103" customFormat="1" ht="10.9" hidden="1" customHeight="1" x14ac:dyDescent="0.25">
      <c r="A650" s="89" t="s">
        <v>2024</v>
      </c>
      <c r="B650" s="104" t="s">
        <v>2025</v>
      </c>
      <c r="C650" s="101" t="s">
        <v>5349</v>
      </c>
      <c r="D650" s="101" t="s">
        <v>1902</v>
      </c>
      <c r="E650" s="73" t="s">
        <v>88</v>
      </c>
      <c r="F650" s="100" t="s">
        <v>98</v>
      </c>
      <c r="G650" s="72" t="e">
        <f>_xlfn.TEXTJOIN(", ",TRUE,B650,#REF!,#REF!,#REF!,D650,E650)</f>
        <v>#REF!</v>
      </c>
      <c r="H650" s="99"/>
      <c r="I650" s="99"/>
      <c r="J650" s="99"/>
      <c r="K650" s="99"/>
      <c r="L650" s="99"/>
      <c r="M650" s="77" t="s">
        <v>2026</v>
      </c>
    </row>
    <row r="651" spans="1:13" s="103" customFormat="1" ht="10.9" hidden="1" customHeight="1" x14ac:dyDescent="0.25">
      <c r="A651" s="89" t="s">
        <v>2027</v>
      </c>
      <c r="B651" s="104" t="s">
        <v>2028</v>
      </c>
      <c r="C651" s="101" t="s">
        <v>5349</v>
      </c>
      <c r="D651" s="101" t="s">
        <v>1902</v>
      </c>
      <c r="E651" s="74" t="s">
        <v>2029</v>
      </c>
      <c r="F651" s="100"/>
      <c r="G651" s="72" t="e">
        <f>_xlfn.TEXTJOIN(", ",TRUE,B651,#REF!,#REF!,#REF!,D651,E651)</f>
        <v>#REF!</v>
      </c>
      <c r="H651" s="99"/>
      <c r="I651" s="99"/>
      <c r="J651" s="99"/>
      <c r="K651" s="99"/>
      <c r="L651" s="99"/>
      <c r="M651" s="77" t="s">
        <v>2030</v>
      </c>
    </row>
    <row r="652" spans="1:13" s="103" customFormat="1" ht="10.9" hidden="1" customHeight="1" x14ac:dyDescent="0.25">
      <c r="A652" s="89" t="s">
        <v>2031</v>
      </c>
      <c r="B652" s="102" t="s">
        <v>2032</v>
      </c>
      <c r="C652" s="101" t="s">
        <v>5349</v>
      </c>
      <c r="D652" s="101" t="s">
        <v>1902</v>
      </c>
      <c r="E652" s="73" t="s">
        <v>2033</v>
      </c>
      <c r="F652" s="100" t="s">
        <v>98</v>
      </c>
      <c r="G652" s="72" t="e">
        <f>_xlfn.TEXTJOIN(", ",TRUE,B652,#REF!,#REF!,#REF!,D652,E652)</f>
        <v>#REF!</v>
      </c>
      <c r="H652" s="99"/>
      <c r="I652" s="99"/>
      <c r="J652" s="99"/>
      <c r="K652" s="99"/>
      <c r="L652" s="99"/>
      <c r="M652" s="77" t="s">
        <v>2034</v>
      </c>
    </row>
    <row r="653" spans="1:13" s="103" customFormat="1" ht="10.9" hidden="1" customHeight="1" x14ac:dyDescent="0.25">
      <c r="A653" s="89" t="s">
        <v>2035</v>
      </c>
      <c r="B653" s="104" t="s">
        <v>2036</v>
      </c>
      <c r="C653" s="101" t="s">
        <v>5349</v>
      </c>
      <c r="D653" s="101" t="s">
        <v>1902</v>
      </c>
      <c r="E653" s="73" t="s">
        <v>88</v>
      </c>
      <c r="F653" s="100" t="s">
        <v>98</v>
      </c>
      <c r="G653" s="72" t="e">
        <f>_xlfn.TEXTJOIN(", ",TRUE,B653,#REF!,#REF!,#REF!,D653,E653)</f>
        <v>#REF!</v>
      </c>
      <c r="H653" s="99"/>
      <c r="I653" s="99"/>
      <c r="J653" s="99"/>
      <c r="K653" s="99"/>
      <c r="L653" s="99"/>
      <c r="M653" s="77">
        <v>0</v>
      </c>
    </row>
    <row r="654" spans="1:13" s="103" customFormat="1" ht="10.9" hidden="1" customHeight="1" x14ac:dyDescent="0.25">
      <c r="A654" s="89" t="s">
        <v>2037</v>
      </c>
      <c r="B654" s="98" t="s">
        <v>2038</v>
      </c>
      <c r="C654" s="101" t="s">
        <v>5349</v>
      </c>
      <c r="D654" s="101" t="s">
        <v>1902</v>
      </c>
      <c r="E654" s="73" t="s">
        <v>2039</v>
      </c>
      <c r="F654" s="100" t="s">
        <v>81</v>
      </c>
      <c r="G654" s="72" t="e">
        <f>_xlfn.TEXTJOIN(", ",TRUE,B654,#REF!,#REF!,#REF!,D654,E654)</f>
        <v>#REF!</v>
      </c>
      <c r="H654" s="99">
        <v>45107</v>
      </c>
      <c r="I654" s="99"/>
      <c r="J654" s="99"/>
      <c r="K654" s="99"/>
      <c r="L654" s="99"/>
      <c r="M654" s="77" t="s">
        <v>88</v>
      </c>
    </row>
    <row r="655" spans="1:13" s="103" customFormat="1" ht="10.9" hidden="1" customHeight="1" x14ac:dyDescent="0.25">
      <c r="A655" s="89" t="s">
        <v>2040</v>
      </c>
      <c r="B655" s="98" t="s">
        <v>2041</v>
      </c>
      <c r="C655" s="101" t="s">
        <v>5349</v>
      </c>
      <c r="D655" s="101" t="s">
        <v>1902</v>
      </c>
      <c r="E655" s="73" t="s">
        <v>2042</v>
      </c>
      <c r="F655" s="100" t="s">
        <v>81</v>
      </c>
      <c r="G655" s="72" t="e">
        <f>_xlfn.TEXTJOIN(", ",TRUE,B655,#REF!,#REF!,#REF!,D655,E655)</f>
        <v>#REF!</v>
      </c>
      <c r="H655" s="99"/>
      <c r="I655" s="99"/>
      <c r="J655" s="99"/>
      <c r="K655" s="99"/>
      <c r="L655" s="99"/>
      <c r="M655" s="77" t="s">
        <v>2043</v>
      </c>
    </row>
    <row r="656" spans="1:13" s="103" customFormat="1" ht="10.9" hidden="1" customHeight="1" x14ac:dyDescent="0.25">
      <c r="A656" s="89" t="s">
        <v>2044</v>
      </c>
      <c r="B656" s="102" t="s">
        <v>2045</v>
      </c>
      <c r="C656" s="101" t="s">
        <v>5349</v>
      </c>
      <c r="D656" s="101" t="s">
        <v>1902</v>
      </c>
      <c r="E656" s="73" t="s">
        <v>2046</v>
      </c>
      <c r="F656" s="100" t="s">
        <v>187</v>
      </c>
      <c r="G656" s="72" t="e">
        <f>_xlfn.TEXTJOIN(", ",TRUE,B656,#REF!,#REF!,#REF!,D656,E656)</f>
        <v>#REF!</v>
      </c>
      <c r="H656" s="99">
        <v>45126</v>
      </c>
      <c r="I656" s="99"/>
      <c r="J656" s="99">
        <v>45212</v>
      </c>
      <c r="K656" s="99"/>
      <c r="L656" s="99"/>
      <c r="M656" s="77" t="s">
        <v>88</v>
      </c>
    </row>
    <row r="657" spans="1:13" s="103" customFormat="1" ht="10.9" hidden="1" customHeight="1" x14ac:dyDescent="0.25">
      <c r="A657" s="89" t="s">
        <v>2047</v>
      </c>
      <c r="B657" s="104" t="s">
        <v>2048</v>
      </c>
      <c r="C657" s="101" t="s">
        <v>5349</v>
      </c>
      <c r="D657" s="101" t="s">
        <v>1902</v>
      </c>
      <c r="E657" s="74" t="s">
        <v>2049</v>
      </c>
      <c r="F657" s="100" t="s">
        <v>98</v>
      </c>
      <c r="G657" s="72" t="e">
        <f>_xlfn.TEXTJOIN(", ",TRUE,B657,#REF!,#REF!,#REF!,D657,E657)</f>
        <v>#REF!</v>
      </c>
      <c r="H657" s="99"/>
      <c r="I657" s="99"/>
      <c r="J657" s="99"/>
      <c r="K657" s="99"/>
      <c r="L657" s="99"/>
      <c r="M657" s="77" t="s">
        <v>88</v>
      </c>
    </row>
    <row r="658" spans="1:13" s="103" customFormat="1" ht="10.9" hidden="1" customHeight="1" x14ac:dyDescent="0.25">
      <c r="A658" s="89" t="s">
        <v>2050</v>
      </c>
      <c r="B658" s="104" t="s">
        <v>2051</v>
      </c>
      <c r="C658" s="101" t="s">
        <v>5349</v>
      </c>
      <c r="D658" s="101" t="s">
        <v>1902</v>
      </c>
      <c r="E658" s="73" t="s">
        <v>2052</v>
      </c>
      <c r="F658" s="100" t="s">
        <v>98</v>
      </c>
      <c r="G658" s="72" t="e">
        <f>_xlfn.TEXTJOIN(", ",TRUE,B658,#REF!,#REF!,#REF!,D658,E658)</f>
        <v>#REF!</v>
      </c>
      <c r="H658" s="99"/>
      <c r="I658" s="99"/>
      <c r="J658" s="99"/>
      <c r="K658" s="99"/>
      <c r="L658" s="99"/>
      <c r="M658" s="77">
        <v>0</v>
      </c>
    </row>
    <row r="659" spans="1:13" s="103" customFormat="1" ht="10.9" hidden="1" customHeight="1" x14ac:dyDescent="0.25">
      <c r="A659" s="89" t="s">
        <v>2053</v>
      </c>
      <c r="B659" s="104" t="s">
        <v>2054</v>
      </c>
      <c r="C659" s="101" t="s">
        <v>5349</v>
      </c>
      <c r="D659" s="101" t="s">
        <v>1902</v>
      </c>
      <c r="E659" s="73" t="s">
        <v>88</v>
      </c>
      <c r="F659" s="100" t="s">
        <v>98</v>
      </c>
      <c r="G659" s="72" t="e">
        <f>_xlfn.TEXTJOIN(", ",TRUE,B659,#REF!,#REF!,#REF!,D659,E659)</f>
        <v>#REF!</v>
      </c>
      <c r="H659" s="99"/>
      <c r="I659" s="99"/>
      <c r="J659" s="99"/>
      <c r="K659" s="99"/>
      <c r="L659" s="99"/>
      <c r="M659" s="77" t="s">
        <v>2055</v>
      </c>
    </row>
    <row r="660" spans="1:13" s="103" customFormat="1" ht="10.9" hidden="1" customHeight="1" x14ac:dyDescent="0.25">
      <c r="A660" s="89" t="s">
        <v>2056</v>
      </c>
      <c r="B660" s="98" t="s">
        <v>2057</v>
      </c>
      <c r="C660" s="101" t="s">
        <v>5349</v>
      </c>
      <c r="D660" s="101" t="s">
        <v>1902</v>
      </c>
      <c r="E660" s="73" t="s">
        <v>2058</v>
      </c>
      <c r="F660" s="100" t="s">
        <v>81</v>
      </c>
      <c r="G660" s="72" t="e">
        <f>_xlfn.TEXTJOIN(", ",TRUE,B660,#REF!,#REF!,#REF!,D660,E660)</f>
        <v>#REF!</v>
      </c>
      <c r="H660" s="99"/>
      <c r="I660" s="99"/>
      <c r="J660" s="99" t="s">
        <v>316</v>
      </c>
      <c r="K660" s="99"/>
      <c r="L660" s="99"/>
      <c r="M660" s="77">
        <v>0</v>
      </c>
    </row>
    <row r="661" spans="1:13" s="103" customFormat="1" ht="10.9" hidden="1" customHeight="1" x14ac:dyDescent="0.25">
      <c r="A661" s="89" t="s">
        <v>2059</v>
      </c>
      <c r="B661" s="104" t="s">
        <v>2060</v>
      </c>
      <c r="C661" s="101" t="s">
        <v>5349</v>
      </c>
      <c r="D661" s="101" t="s">
        <v>1902</v>
      </c>
      <c r="E661" s="73" t="s">
        <v>2061</v>
      </c>
      <c r="F661" s="100" t="s">
        <v>98</v>
      </c>
      <c r="G661" s="72" t="e">
        <f>_xlfn.TEXTJOIN(", ",TRUE,B661,#REF!,#REF!,#REF!,D661,E661)</f>
        <v>#REF!</v>
      </c>
      <c r="H661" s="99"/>
      <c r="I661" s="99"/>
      <c r="J661" s="99"/>
      <c r="K661" s="99"/>
      <c r="L661" s="99"/>
      <c r="M661" s="77" t="s">
        <v>2062</v>
      </c>
    </row>
    <row r="662" spans="1:13" s="103" customFormat="1" ht="10.9" hidden="1" customHeight="1" x14ac:dyDescent="0.25">
      <c r="A662" s="89" t="s">
        <v>2063</v>
      </c>
      <c r="B662" s="104" t="s">
        <v>2064</v>
      </c>
      <c r="C662" s="101" t="s">
        <v>5349</v>
      </c>
      <c r="D662" s="101" t="s">
        <v>1902</v>
      </c>
      <c r="E662" s="73" t="s">
        <v>88</v>
      </c>
      <c r="F662" s="100" t="s">
        <v>98</v>
      </c>
      <c r="G662" s="72" t="e">
        <f>_xlfn.TEXTJOIN(", ",TRUE,B662,#REF!,#REF!,#REF!,D662,E662)</f>
        <v>#REF!</v>
      </c>
      <c r="H662" s="99"/>
      <c r="I662" s="99"/>
      <c r="J662" s="99"/>
      <c r="K662" s="99"/>
      <c r="L662" s="99"/>
      <c r="M662" s="77" t="s">
        <v>2065</v>
      </c>
    </row>
    <row r="663" spans="1:13" s="103" customFormat="1" ht="10.9" hidden="1" customHeight="1" x14ac:dyDescent="0.25">
      <c r="A663" s="89" t="s">
        <v>2063</v>
      </c>
      <c r="B663" s="102" t="s">
        <v>2066</v>
      </c>
      <c r="C663" s="101" t="s">
        <v>5349</v>
      </c>
      <c r="D663" s="101" t="s">
        <v>1902</v>
      </c>
      <c r="E663" s="73" t="s">
        <v>2058</v>
      </c>
      <c r="F663" s="100" t="s">
        <v>98</v>
      </c>
      <c r="G663" s="72" t="e">
        <f>_xlfn.TEXTJOIN(", ",TRUE,B663,#REF!,#REF!,#REF!,D663,E663)</f>
        <v>#REF!</v>
      </c>
      <c r="H663" s="99"/>
      <c r="I663" s="99"/>
      <c r="J663" s="99">
        <v>45169</v>
      </c>
      <c r="K663" s="99"/>
      <c r="L663" s="99"/>
      <c r="M663" s="77" t="s">
        <v>2067</v>
      </c>
    </row>
    <row r="664" spans="1:13" s="103" customFormat="1" ht="10.9" hidden="1" customHeight="1" x14ac:dyDescent="0.25">
      <c r="A664" s="89" t="s">
        <v>2068</v>
      </c>
      <c r="B664" s="102" t="s">
        <v>2069</v>
      </c>
      <c r="C664" s="101" t="s">
        <v>5349</v>
      </c>
      <c r="D664" s="101" t="s">
        <v>1902</v>
      </c>
      <c r="E664" s="73" t="s">
        <v>2070</v>
      </c>
      <c r="F664" s="100" t="s">
        <v>98</v>
      </c>
      <c r="G664" s="72" t="e">
        <f>_xlfn.TEXTJOIN(", ",TRUE,B664,#REF!,#REF!,#REF!,D664,E664)</f>
        <v>#REF!</v>
      </c>
      <c r="H664" s="99"/>
      <c r="I664" s="99"/>
      <c r="J664" s="99"/>
      <c r="K664" s="99"/>
      <c r="L664" s="99"/>
      <c r="M664" s="77" t="s">
        <v>2071</v>
      </c>
    </row>
    <row r="665" spans="1:13" s="103" customFormat="1" ht="10.9" hidden="1" customHeight="1" x14ac:dyDescent="0.25">
      <c r="A665" s="89" t="s">
        <v>2072</v>
      </c>
      <c r="B665" s="102" t="s">
        <v>2073</v>
      </c>
      <c r="C665" s="101" t="s">
        <v>5349</v>
      </c>
      <c r="D665" s="101" t="s">
        <v>1902</v>
      </c>
      <c r="E665" s="73" t="s">
        <v>2013</v>
      </c>
      <c r="F665" s="100" t="s">
        <v>81</v>
      </c>
      <c r="G665" s="72" t="e">
        <f>_xlfn.TEXTJOIN(", ",TRUE,B665,#REF!,#REF!,#REF!,D665,E665)</f>
        <v>#REF!</v>
      </c>
      <c r="H665" s="99"/>
      <c r="I665" s="99"/>
      <c r="J665" s="99"/>
      <c r="K665" s="99"/>
      <c r="L665" s="99"/>
      <c r="M665" s="77" t="s">
        <v>2074</v>
      </c>
    </row>
    <row r="666" spans="1:13" s="103" customFormat="1" ht="10.9" hidden="1" customHeight="1" x14ac:dyDescent="0.25">
      <c r="A666" s="89" t="s">
        <v>2075</v>
      </c>
      <c r="B666" s="105" t="s">
        <v>2076</v>
      </c>
      <c r="C666" s="101" t="s">
        <v>5349</v>
      </c>
      <c r="D666" s="101" t="s">
        <v>1902</v>
      </c>
      <c r="E666" s="73" t="s">
        <v>2004</v>
      </c>
      <c r="F666" s="100" t="s">
        <v>282</v>
      </c>
      <c r="G666" s="72" t="e">
        <f>_xlfn.TEXTJOIN(", ",TRUE,B666,#REF!,#REF!,#REF!,D666,E666)</f>
        <v>#REF!</v>
      </c>
      <c r="H666" s="99"/>
      <c r="I666" s="99"/>
      <c r="J666" s="99"/>
      <c r="K666" s="99"/>
      <c r="L666" s="99"/>
      <c r="M666" s="77" t="s">
        <v>2077</v>
      </c>
    </row>
    <row r="667" spans="1:13" s="103" customFormat="1" ht="10.9" hidden="1" customHeight="1" x14ac:dyDescent="0.25">
      <c r="A667" s="89" t="s">
        <v>2078</v>
      </c>
      <c r="B667" s="105" t="s">
        <v>2079</v>
      </c>
      <c r="C667" s="101" t="s">
        <v>5349</v>
      </c>
      <c r="D667" s="101" t="s">
        <v>1902</v>
      </c>
      <c r="E667" s="73" t="s">
        <v>2008</v>
      </c>
      <c r="F667" s="100" t="s">
        <v>81</v>
      </c>
      <c r="G667" s="72" t="e">
        <f>_xlfn.TEXTJOIN(", ",TRUE,B667,#REF!,#REF!,#REF!,D667,E667)</f>
        <v>#REF!</v>
      </c>
      <c r="H667" s="99"/>
      <c r="I667" s="99"/>
      <c r="J667" s="99"/>
      <c r="K667" s="99"/>
      <c r="L667" s="99"/>
      <c r="M667" s="77" t="s">
        <v>2080</v>
      </c>
    </row>
    <row r="668" spans="1:13" s="103" customFormat="1" ht="10.9" hidden="1" customHeight="1" x14ac:dyDescent="0.25">
      <c r="A668" s="89" t="s">
        <v>2081</v>
      </c>
      <c r="B668" s="105" t="s">
        <v>2082</v>
      </c>
      <c r="C668" s="101" t="s">
        <v>5349</v>
      </c>
      <c r="D668" s="101" t="s">
        <v>1902</v>
      </c>
      <c r="E668" s="73" t="s">
        <v>2083</v>
      </c>
      <c r="F668" s="100" t="s">
        <v>2084</v>
      </c>
      <c r="G668" s="72" t="e">
        <f>_xlfn.TEXTJOIN(", ",TRUE,B668,#REF!,#REF!,#REF!,D668,E668)</f>
        <v>#REF!</v>
      </c>
      <c r="H668" s="99">
        <v>45588</v>
      </c>
      <c r="I668" s="99"/>
      <c r="J668" s="99"/>
      <c r="K668" s="99"/>
      <c r="L668" s="99"/>
      <c r="M668" s="77" t="s">
        <v>643</v>
      </c>
    </row>
    <row r="669" spans="1:13" s="103" customFormat="1" ht="10.9" hidden="1" customHeight="1" x14ac:dyDescent="0.25">
      <c r="A669" s="89" t="s">
        <v>2085</v>
      </c>
      <c r="B669" s="102" t="s">
        <v>2086</v>
      </c>
      <c r="C669" s="101" t="s">
        <v>5349</v>
      </c>
      <c r="D669" s="101" t="s">
        <v>1902</v>
      </c>
      <c r="E669" s="73" t="s">
        <v>88</v>
      </c>
      <c r="F669" s="100" t="s">
        <v>449</v>
      </c>
      <c r="G669" s="72" t="e">
        <f>_xlfn.TEXTJOIN(", ",TRUE,B669,#REF!,#REF!,#REF!,D669,E669)</f>
        <v>#REF!</v>
      </c>
      <c r="H669" s="99"/>
      <c r="I669" s="99"/>
      <c r="J669" s="99"/>
      <c r="K669" s="99"/>
      <c r="L669" s="99"/>
      <c r="M669" s="77">
        <v>0</v>
      </c>
    </row>
    <row r="670" spans="1:13" s="103" customFormat="1" ht="10.9" hidden="1" customHeight="1" x14ac:dyDescent="0.25">
      <c r="A670" s="89" t="s">
        <v>2087</v>
      </c>
      <c r="B670" s="104" t="s">
        <v>2088</v>
      </c>
      <c r="C670" s="101" t="s">
        <v>5349</v>
      </c>
      <c r="D670" s="101" t="s">
        <v>1902</v>
      </c>
      <c r="E670" s="73" t="s">
        <v>88</v>
      </c>
      <c r="F670" s="100" t="s">
        <v>98</v>
      </c>
      <c r="G670" s="72" t="e">
        <f>_xlfn.TEXTJOIN(", ",TRUE,B670,#REF!,#REF!,#REF!,D670,E670)</f>
        <v>#REF!</v>
      </c>
      <c r="H670" s="99"/>
      <c r="I670" s="99"/>
      <c r="J670" s="99"/>
      <c r="K670" s="99"/>
      <c r="L670" s="99"/>
      <c r="M670" s="77">
        <v>0</v>
      </c>
    </row>
    <row r="671" spans="1:13" s="103" customFormat="1" ht="10.9" hidden="1" customHeight="1" x14ac:dyDescent="0.25">
      <c r="A671" s="89" t="s">
        <v>2089</v>
      </c>
      <c r="B671" s="104" t="s">
        <v>2090</v>
      </c>
      <c r="C671" s="101" t="s">
        <v>5349</v>
      </c>
      <c r="D671" s="101" t="s">
        <v>1902</v>
      </c>
      <c r="E671" s="73" t="s">
        <v>2091</v>
      </c>
      <c r="F671" s="100" t="s">
        <v>1032</v>
      </c>
      <c r="G671" s="72" t="e">
        <f>_xlfn.TEXTJOIN(", ",TRUE,B671,#REF!,#REF!,#REF!,D671,E671)</f>
        <v>#REF!</v>
      </c>
      <c r="H671" s="99"/>
      <c r="I671" s="99"/>
      <c r="J671" s="99"/>
      <c r="K671" s="99"/>
      <c r="L671" s="99"/>
      <c r="M671" s="77" t="s">
        <v>232</v>
      </c>
    </row>
    <row r="672" spans="1:13" s="103" customFormat="1" ht="10.9" hidden="1" customHeight="1" x14ac:dyDescent="0.25">
      <c r="A672" s="89" t="s">
        <v>2059</v>
      </c>
      <c r="B672" s="98" t="s">
        <v>2092</v>
      </c>
      <c r="C672" s="101" t="s">
        <v>5349</v>
      </c>
      <c r="D672" s="101" t="s">
        <v>1902</v>
      </c>
      <c r="E672" s="73" t="s">
        <v>2061</v>
      </c>
      <c r="F672" s="100" t="s">
        <v>98</v>
      </c>
      <c r="G672" s="72" t="e">
        <f>_xlfn.TEXTJOIN(", ",TRUE,B672,#REF!,#REF!,#REF!,D672,E672)</f>
        <v>#REF!</v>
      </c>
      <c r="H672" s="99"/>
      <c r="I672" s="99"/>
      <c r="J672" s="99"/>
      <c r="K672" s="99"/>
      <c r="L672" s="99"/>
      <c r="M672" s="77">
        <v>0</v>
      </c>
    </row>
    <row r="673" spans="1:13" s="103" customFormat="1" ht="10.9" hidden="1" customHeight="1" x14ac:dyDescent="0.25">
      <c r="A673" s="89" t="s">
        <v>2059</v>
      </c>
      <c r="B673" s="98" t="s">
        <v>2092</v>
      </c>
      <c r="C673" s="101" t="s">
        <v>5349</v>
      </c>
      <c r="D673" s="101" t="s">
        <v>1902</v>
      </c>
      <c r="E673" s="73" t="s">
        <v>2061</v>
      </c>
      <c r="F673" s="100" t="s">
        <v>98</v>
      </c>
      <c r="G673" s="72" t="e">
        <f>_xlfn.TEXTJOIN(", ",TRUE,B673,#REF!,#REF!,#REF!,D673,E673)</f>
        <v>#REF!</v>
      </c>
      <c r="H673" s="99"/>
      <c r="I673" s="99"/>
      <c r="J673" s="99"/>
      <c r="K673" s="99"/>
      <c r="L673" s="99"/>
      <c r="M673" s="77" t="s">
        <v>88</v>
      </c>
    </row>
    <row r="674" spans="1:13" s="103" customFormat="1" ht="10.9" hidden="1" customHeight="1" x14ac:dyDescent="0.25">
      <c r="A674" s="89" t="s">
        <v>2093</v>
      </c>
      <c r="B674" s="105" t="s">
        <v>2094</v>
      </c>
      <c r="C674" s="101" t="s">
        <v>5349</v>
      </c>
      <c r="D674" s="101" t="s">
        <v>1902</v>
      </c>
      <c r="E674" s="73" t="s">
        <v>2013</v>
      </c>
      <c r="F674" s="100" t="s">
        <v>81</v>
      </c>
      <c r="G674" s="72" t="e">
        <f>_xlfn.TEXTJOIN(", ",TRUE,B674,#REF!,#REF!,#REF!,D674,E674)</f>
        <v>#REF!</v>
      </c>
      <c r="H674" s="99"/>
      <c r="I674" s="99"/>
      <c r="J674" s="99"/>
      <c r="K674" s="99"/>
      <c r="L674" s="99"/>
      <c r="M674" s="77" t="s">
        <v>2095</v>
      </c>
    </row>
    <row r="675" spans="1:13" s="103" customFormat="1" ht="10.9" hidden="1" customHeight="1" x14ac:dyDescent="0.25">
      <c r="A675" s="89" t="s">
        <v>2096</v>
      </c>
      <c r="B675" s="102" t="s">
        <v>2097</v>
      </c>
      <c r="C675" s="101" t="s">
        <v>5349</v>
      </c>
      <c r="D675" s="101" t="s">
        <v>1902</v>
      </c>
      <c r="E675" s="73" t="s">
        <v>2098</v>
      </c>
      <c r="F675" s="100" t="s">
        <v>98</v>
      </c>
      <c r="G675" s="72" t="e">
        <f>_xlfn.TEXTJOIN(", ",TRUE,B675,#REF!,#REF!,#REF!,D675,E675)</f>
        <v>#REF!</v>
      </c>
      <c r="H675" s="99">
        <v>44217</v>
      </c>
      <c r="I675" s="99"/>
      <c r="J675" s="99">
        <v>44561</v>
      </c>
      <c r="K675" s="99"/>
      <c r="L675" s="99"/>
      <c r="M675" s="77" t="s">
        <v>88</v>
      </c>
    </row>
    <row r="676" spans="1:13" s="103" customFormat="1" ht="10.9" hidden="1" customHeight="1" x14ac:dyDescent="0.25">
      <c r="A676" s="89" t="s">
        <v>1174</v>
      </c>
      <c r="B676" s="98" t="s">
        <v>2099</v>
      </c>
      <c r="C676" s="101" t="s">
        <v>5348</v>
      </c>
      <c r="D676" s="101" t="s">
        <v>2100</v>
      </c>
      <c r="E676" s="73" t="s">
        <v>2100</v>
      </c>
      <c r="F676" s="100" t="s">
        <v>98</v>
      </c>
      <c r="G676" s="72" t="e">
        <f>_xlfn.TEXTJOIN(", ",TRUE,B676,#REF!,#REF!,#REF!,D676,E676)</f>
        <v>#REF!</v>
      </c>
      <c r="H676" s="99"/>
      <c r="I676" s="99"/>
      <c r="J676" s="99"/>
      <c r="K676" s="99"/>
      <c r="L676" s="99"/>
      <c r="M676" s="77" t="s">
        <v>2101</v>
      </c>
    </row>
    <row r="677" spans="1:13" s="103" customFormat="1" ht="10.9" hidden="1" customHeight="1" x14ac:dyDescent="0.25">
      <c r="A677" s="89" t="s">
        <v>1311</v>
      </c>
      <c r="B677" s="98" t="s">
        <v>2102</v>
      </c>
      <c r="C677" s="101" t="s">
        <v>5348</v>
      </c>
      <c r="D677" s="101" t="s">
        <v>2100</v>
      </c>
      <c r="E677" s="73" t="s">
        <v>2100</v>
      </c>
      <c r="F677" s="100" t="s">
        <v>81</v>
      </c>
      <c r="G677" s="72" t="e">
        <f>_xlfn.TEXTJOIN(", ",TRUE,B677,#REF!,#REF!,#REF!,D677,E677)</f>
        <v>#REF!</v>
      </c>
      <c r="H677" s="99"/>
      <c r="I677" s="99"/>
      <c r="J677" s="99"/>
      <c r="K677" s="99"/>
      <c r="L677" s="99"/>
      <c r="M677" s="77">
        <v>0</v>
      </c>
    </row>
    <row r="678" spans="1:13" s="103" customFormat="1" ht="10.9" hidden="1" customHeight="1" x14ac:dyDescent="0.25">
      <c r="A678" s="89" t="s">
        <v>1159</v>
      </c>
      <c r="B678" s="98" t="s">
        <v>2103</v>
      </c>
      <c r="C678" s="101" t="s">
        <v>5348</v>
      </c>
      <c r="D678" s="101" t="s">
        <v>2100</v>
      </c>
      <c r="E678" s="73" t="s">
        <v>2100</v>
      </c>
      <c r="F678" s="100" t="s">
        <v>187</v>
      </c>
      <c r="G678" s="72" t="e">
        <f>_xlfn.TEXTJOIN(", ",TRUE,B678,#REF!,#REF!,#REF!,D678,E678)</f>
        <v>#REF!</v>
      </c>
      <c r="H678" s="99"/>
      <c r="I678" s="99"/>
      <c r="J678" s="99"/>
      <c r="K678" s="99"/>
      <c r="L678" s="99"/>
      <c r="M678" s="77" t="s">
        <v>2104</v>
      </c>
    </row>
    <row r="679" spans="1:13" s="103" customFormat="1" ht="10.9" hidden="1" customHeight="1" x14ac:dyDescent="0.25">
      <c r="A679" s="89" t="s">
        <v>2105</v>
      </c>
      <c r="B679" s="98" t="s">
        <v>2106</v>
      </c>
      <c r="C679" s="101" t="s">
        <v>5349</v>
      </c>
      <c r="D679" s="101" t="s">
        <v>2107</v>
      </c>
      <c r="E679" s="73" t="s">
        <v>2108</v>
      </c>
      <c r="F679" s="100" t="s">
        <v>98</v>
      </c>
      <c r="G679" s="72" t="e">
        <f>_xlfn.TEXTJOIN(", ",TRUE,B679,#REF!,#REF!,#REF!,D679,E679)</f>
        <v>#REF!</v>
      </c>
      <c r="H679" s="99"/>
      <c r="I679" s="99"/>
      <c r="J679" s="99"/>
      <c r="K679" s="99"/>
      <c r="L679" s="99"/>
      <c r="M679" s="77" t="s">
        <v>88</v>
      </c>
    </row>
    <row r="680" spans="1:13" s="103" customFormat="1" ht="10.9" hidden="1" customHeight="1" x14ac:dyDescent="0.25">
      <c r="A680" s="89" t="s">
        <v>2109</v>
      </c>
      <c r="B680" s="98" t="s">
        <v>2110</v>
      </c>
      <c r="C680" s="101" t="s">
        <v>5349</v>
      </c>
      <c r="D680" s="101" t="s">
        <v>2111</v>
      </c>
      <c r="E680" s="73" t="s">
        <v>2112</v>
      </c>
      <c r="F680" s="100" t="s">
        <v>81</v>
      </c>
      <c r="G680" s="72" t="e">
        <f>_xlfn.TEXTJOIN(", ",TRUE,B680,#REF!,#REF!,#REF!,D680,E680)</f>
        <v>#REF!</v>
      </c>
      <c r="H680" s="99"/>
      <c r="I680" s="99"/>
      <c r="J680" s="99"/>
      <c r="K680" s="99"/>
      <c r="L680" s="99"/>
      <c r="M680" s="77" t="s">
        <v>88</v>
      </c>
    </row>
    <row r="681" spans="1:13" s="103" customFormat="1" ht="10.9" hidden="1" customHeight="1" x14ac:dyDescent="0.25">
      <c r="A681" s="89" t="s">
        <v>2113</v>
      </c>
      <c r="B681" s="98" t="s">
        <v>2114</v>
      </c>
      <c r="C681" s="101" t="s">
        <v>5349</v>
      </c>
      <c r="D681" s="101" t="s">
        <v>2111</v>
      </c>
      <c r="E681" s="73" t="s">
        <v>2115</v>
      </c>
      <c r="F681" s="100" t="s">
        <v>98</v>
      </c>
      <c r="G681" s="72" t="e">
        <f>_xlfn.TEXTJOIN(", ",TRUE,B681,#REF!,#REF!,#REF!,D681,E681)</f>
        <v>#REF!</v>
      </c>
      <c r="H681" s="99"/>
      <c r="I681" s="99"/>
      <c r="J681" s="99"/>
      <c r="K681" s="99"/>
      <c r="L681" s="99"/>
      <c r="M681" s="77" t="s">
        <v>88</v>
      </c>
    </row>
    <row r="682" spans="1:13" s="103" customFormat="1" ht="10.9" hidden="1" customHeight="1" x14ac:dyDescent="0.25">
      <c r="A682" s="89" t="s">
        <v>2116</v>
      </c>
      <c r="B682" s="98" t="s">
        <v>2117</v>
      </c>
      <c r="C682" s="101" t="s">
        <v>5349</v>
      </c>
      <c r="D682" s="101" t="s">
        <v>2111</v>
      </c>
      <c r="E682" s="73" t="s">
        <v>2118</v>
      </c>
      <c r="F682" s="100" t="s">
        <v>81</v>
      </c>
      <c r="G682" s="72" t="e">
        <f>_xlfn.TEXTJOIN(", ",TRUE,B682,#REF!,#REF!,#REF!,D682,E682)</f>
        <v>#REF!</v>
      </c>
      <c r="H682" s="99">
        <v>45961</v>
      </c>
      <c r="I682" s="99">
        <v>45961</v>
      </c>
      <c r="J682" s="99"/>
      <c r="K682" s="99"/>
      <c r="L682" s="99"/>
      <c r="M682" s="77" t="s">
        <v>88</v>
      </c>
    </row>
    <row r="683" spans="1:13" s="103" customFormat="1" ht="10.9" hidden="1" customHeight="1" x14ac:dyDescent="0.25">
      <c r="A683" s="89" t="s">
        <v>2119</v>
      </c>
      <c r="B683" s="98" t="s">
        <v>2120</v>
      </c>
      <c r="C683" s="101" t="s">
        <v>5349</v>
      </c>
      <c r="D683" s="101" t="s">
        <v>2111</v>
      </c>
      <c r="E683" s="73" t="s">
        <v>2121</v>
      </c>
      <c r="F683" s="100" t="s">
        <v>81</v>
      </c>
      <c r="G683" s="72" t="e">
        <f>_xlfn.TEXTJOIN(", ",TRUE,B683,#REF!,#REF!,#REF!,D683,E683)</f>
        <v>#REF!</v>
      </c>
      <c r="H683" s="99">
        <v>45504</v>
      </c>
      <c r="I683" s="99"/>
      <c r="J683" s="99"/>
      <c r="K683" s="99"/>
      <c r="L683" s="99"/>
      <c r="M683" s="77" t="s">
        <v>88</v>
      </c>
    </row>
    <row r="684" spans="1:13" s="103" customFormat="1" ht="10.9" hidden="1" customHeight="1" x14ac:dyDescent="0.25">
      <c r="A684" s="89" t="s">
        <v>2122</v>
      </c>
      <c r="B684" s="98" t="s">
        <v>2123</v>
      </c>
      <c r="C684" s="101" t="s">
        <v>5349</v>
      </c>
      <c r="D684" s="101" t="s">
        <v>2111</v>
      </c>
      <c r="E684" s="73" t="s">
        <v>2124</v>
      </c>
      <c r="F684" s="100" t="s">
        <v>81</v>
      </c>
      <c r="G684" s="72" t="e">
        <f>_xlfn.TEXTJOIN(", ",TRUE,B684,#REF!,#REF!,#REF!,D684,E684)</f>
        <v>#REF!</v>
      </c>
      <c r="H684" s="99">
        <v>45134</v>
      </c>
      <c r="I684" s="99"/>
      <c r="J684" s="99"/>
      <c r="K684" s="99"/>
      <c r="L684" s="99"/>
      <c r="M684" s="77" t="s">
        <v>2125</v>
      </c>
    </row>
    <row r="685" spans="1:13" s="103" customFormat="1" ht="10.9" hidden="1" customHeight="1" x14ac:dyDescent="0.25">
      <c r="A685" s="89" t="s">
        <v>2126</v>
      </c>
      <c r="B685" s="98" t="s">
        <v>2127</v>
      </c>
      <c r="C685" s="101" t="s">
        <v>5349</v>
      </c>
      <c r="D685" s="101" t="s">
        <v>2111</v>
      </c>
      <c r="E685" s="73" t="s">
        <v>2128</v>
      </c>
      <c r="F685" s="100" t="s">
        <v>98</v>
      </c>
      <c r="G685" s="72" t="e">
        <f>_xlfn.TEXTJOIN(", ",TRUE,B685,#REF!,#REF!,#REF!,D685,E685)</f>
        <v>#REF!</v>
      </c>
      <c r="H685" s="99"/>
      <c r="I685" s="99"/>
      <c r="J685" s="99"/>
      <c r="K685" s="99"/>
      <c r="L685" s="99"/>
      <c r="M685" s="77" t="s">
        <v>2129</v>
      </c>
    </row>
    <row r="686" spans="1:13" s="103" customFormat="1" ht="10.9" hidden="1" customHeight="1" x14ac:dyDescent="0.25">
      <c r="A686" s="89" t="s">
        <v>2130</v>
      </c>
      <c r="B686" s="102" t="s">
        <v>2131</v>
      </c>
      <c r="C686" s="101" t="s">
        <v>5349</v>
      </c>
      <c r="D686" s="101" t="s">
        <v>2111</v>
      </c>
      <c r="E686" s="73" t="s">
        <v>2111</v>
      </c>
      <c r="F686" s="100" t="s">
        <v>81</v>
      </c>
      <c r="G686" s="72" t="e">
        <f>_xlfn.TEXTJOIN(", ",TRUE,B686,#REF!,#REF!,#REF!,D686,E686)</f>
        <v>#REF!</v>
      </c>
      <c r="H686" s="99"/>
      <c r="I686" s="99"/>
      <c r="J686" s="99"/>
      <c r="K686" s="99"/>
      <c r="L686" s="99"/>
      <c r="M686" s="77" t="s">
        <v>2132</v>
      </c>
    </row>
    <row r="687" spans="1:13" s="103" customFormat="1" ht="10.9" hidden="1" customHeight="1" x14ac:dyDescent="0.25">
      <c r="A687" s="89" t="s">
        <v>2133</v>
      </c>
      <c r="B687" s="102" t="s">
        <v>2134</v>
      </c>
      <c r="C687" s="101" t="s">
        <v>5349</v>
      </c>
      <c r="D687" s="101" t="s">
        <v>2135</v>
      </c>
      <c r="E687" s="73" t="s">
        <v>2135</v>
      </c>
      <c r="F687" s="100" t="s">
        <v>98</v>
      </c>
      <c r="G687" s="72" t="e">
        <f>_xlfn.TEXTJOIN(", ",TRUE,B687,#REF!,#REF!,#REF!,D687,E687)</f>
        <v>#REF!</v>
      </c>
      <c r="H687" s="99"/>
      <c r="I687" s="99"/>
      <c r="J687" s="99"/>
      <c r="K687" s="99"/>
      <c r="L687" s="99"/>
      <c r="M687" s="77" t="s">
        <v>2136</v>
      </c>
    </row>
    <row r="688" spans="1:13" s="103" customFormat="1" ht="10.9" hidden="1" customHeight="1" x14ac:dyDescent="0.25">
      <c r="A688" s="89" t="s">
        <v>2137</v>
      </c>
      <c r="B688" s="98" t="s">
        <v>2138</v>
      </c>
      <c r="C688" s="101" t="s">
        <v>5349</v>
      </c>
      <c r="D688" s="101" t="s">
        <v>2139</v>
      </c>
      <c r="E688" s="73" t="s">
        <v>2140</v>
      </c>
      <c r="F688" s="100" t="s">
        <v>81</v>
      </c>
      <c r="G688" s="72" t="e">
        <f>_xlfn.TEXTJOIN(", ",TRUE,B688,#REF!,#REF!,#REF!,D688,E688)</f>
        <v>#REF!</v>
      </c>
      <c r="H688" s="99">
        <v>45053</v>
      </c>
      <c r="I688" s="99"/>
      <c r="J688" s="99"/>
      <c r="K688" s="99"/>
      <c r="L688" s="99"/>
      <c r="M688" s="77" t="s">
        <v>88</v>
      </c>
    </row>
    <row r="689" spans="1:13" s="103" customFormat="1" ht="10.9" hidden="1" customHeight="1" x14ac:dyDescent="0.25">
      <c r="A689" s="89" t="s">
        <v>2141</v>
      </c>
      <c r="B689" s="98" t="s">
        <v>2142</v>
      </c>
      <c r="C689" s="101" t="s">
        <v>5348</v>
      </c>
      <c r="D689" s="101" t="s">
        <v>2139</v>
      </c>
      <c r="E689" s="73" t="s">
        <v>2143</v>
      </c>
      <c r="F689" s="100" t="s">
        <v>348</v>
      </c>
      <c r="G689" s="72" t="e">
        <f>_xlfn.TEXTJOIN(", ",TRUE,B689,#REF!,#REF!,#REF!,D689,E689)</f>
        <v>#REF!</v>
      </c>
      <c r="H689" s="99"/>
      <c r="I689" s="99">
        <v>45017</v>
      </c>
      <c r="J689" s="99"/>
      <c r="K689" s="99"/>
      <c r="L689" s="99">
        <v>45438</v>
      </c>
      <c r="M689" s="77" t="s">
        <v>88</v>
      </c>
    </row>
    <row r="690" spans="1:13" s="103" customFormat="1" ht="10.9" hidden="1" customHeight="1" x14ac:dyDescent="0.25">
      <c r="A690" s="89" t="s">
        <v>2146</v>
      </c>
      <c r="B690" s="98" t="s">
        <v>2147</v>
      </c>
      <c r="C690" s="101" t="s">
        <v>5349</v>
      </c>
      <c r="D690" s="101" t="s">
        <v>2145</v>
      </c>
      <c r="E690" s="73" t="s">
        <v>2148</v>
      </c>
      <c r="F690" s="100" t="s">
        <v>81</v>
      </c>
      <c r="G690" s="72" t="e">
        <f>_xlfn.TEXTJOIN(", ",TRUE,B690,#REF!,#REF!,#REF!,D690,E690)</f>
        <v>#REF!</v>
      </c>
      <c r="H690" s="99"/>
      <c r="I690" s="99">
        <v>45575</v>
      </c>
      <c r="J690" s="99"/>
      <c r="K690" s="99"/>
      <c r="L690" s="99"/>
      <c r="M690" s="77" t="s">
        <v>2149</v>
      </c>
    </row>
    <row r="691" spans="1:13" s="103" customFormat="1" ht="10.9" hidden="1" customHeight="1" x14ac:dyDescent="0.25">
      <c r="A691" s="89" t="s">
        <v>2150</v>
      </c>
      <c r="B691" s="102" t="s">
        <v>2151</v>
      </c>
      <c r="C691" s="101" t="s">
        <v>5349</v>
      </c>
      <c r="D691" s="101" t="s">
        <v>2145</v>
      </c>
      <c r="E691" s="73" t="s">
        <v>88</v>
      </c>
      <c r="F691" s="100" t="s">
        <v>98</v>
      </c>
      <c r="G691" s="72" t="e">
        <f>_xlfn.TEXTJOIN(", ",TRUE,B691,#REF!,#REF!,#REF!,D691,E691)</f>
        <v>#REF!</v>
      </c>
      <c r="H691" s="99"/>
      <c r="I691" s="99"/>
      <c r="J691" s="99"/>
      <c r="K691" s="99"/>
      <c r="L691" s="99"/>
      <c r="M691" s="77" t="s">
        <v>88</v>
      </c>
    </row>
    <row r="692" spans="1:13" s="103" customFormat="1" ht="10.9" hidden="1" customHeight="1" x14ac:dyDescent="0.25">
      <c r="A692" s="89" t="s">
        <v>2152</v>
      </c>
      <c r="B692" s="104" t="s">
        <v>2153</v>
      </c>
      <c r="C692" s="101" t="s">
        <v>5349</v>
      </c>
      <c r="D692" s="101" t="s">
        <v>2145</v>
      </c>
      <c r="E692" s="73" t="s">
        <v>2154</v>
      </c>
      <c r="F692" s="100" t="s">
        <v>98</v>
      </c>
      <c r="G692" s="72" t="e">
        <f>_xlfn.TEXTJOIN(", ",TRUE,B692,#REF!,#REF!,#REF!,D692,E692)</f>
        <v>#REF!</v>
      </c>
      <c r="H692" s="99"/>
      <c r="I692" s="99"/>
      <c r="J692" s="99"/>
      <c r="K692" s="99"/>
      <c r="L692" s="99"/>
      <c r="M692" s="77" t="s">
        <v>2155</v>
      </c>
    </row>
    <row r="693" spans="1:13" s="103" customFormat="1" ht="10.9" hidden="1" customHeight="1" x14ac:dyDescent="0.25">
      <c r="A693" s="89" t="s">
        <v>2157</v>
      </c>
      <c r="B693" s="98" t="s">
        <v>2158</v>
      </c>
      <c r="C693" s="101" t="s">
        <v>5349</v>
      </c>
      <c r="D693" s="101" t="s">
        <v>2145</v>
      </c>
      <c r="E693" s="73" t="s">
        <v>2159</v>
      </c>
      <c r="F693" s="100" t="s">
        <v>98</v>
      </c>
      <c r="G693" s="72" t="e">
        <f>_xlfn.TEXTJOIN(", ",TRUE,B693,#REF!,#REF!,#REF!,D693,E693)</f>
        <v>#REF!</v>
      </c>
      <c r="H693" s="99"/>
      <c r="I693" s="99">
        <v>45876</v>
      </c>
      <c r="J693" s="99"/>
      <c r="K693" s="99"/>
      <c r="L693" s="99"/>
      <c r="M693" s="77" t="s">
        <v>2160</v>
      </c>
    </row>
    <row r="694" spans="1:13" s="103" customFormat="1" ht="10.9" hidden="1" customHeight="1" x14ac:dyDescent="0.25">
      <c r="A694" s="89" t="s">
        <v>2162</v>
      </c>
      <c r="B694" s="102" t="s">
        <v>2163</v>
      </c>
      <c r="C694" s="101" t="s">
        <v>5349</v>
      </c>
      <c r="D694" s="101" t="s">
        <v>2145</v>
      </c>
      <c r="E694" s="73" t="s">
        <v>2145</v>
      </c>
      <c r="F694" s="100" t="s">
        <v>98</v>
      </c>
      <c r="G694" s="72" t="e">
        <f>_xlfn.TEXTJOIN(", ",TRUE,B694,#REF!,#REF!,#REF!,D694,E694)</f>
        <v>#REF!</v>
      </c>
      <c r="H694" s="99"/>
      <c r="I694" s="99"/>
      <c r="J694" s="99"/>
      <c r="K694" s="99"/>
      <c r="L694" s="99"/>
      <c r="M694" s="77" t="s">
        <v>88</v>
      </c>
    </row>
    <row r="695" spans="1:13" s="103" customFormat="1" ht="10.9" hidden="1" customHeight="1" x14ac:dyDescent="0.25">
      <c r="A695" s="89" t="s">
        <v>2164</v>
      </c>
      <c r="B695" s="105" t="s">
        <v>2165</v>
      </c>
      <c r="C695" s="101" t="s">
        <v>5349</v>
      </c>
      <c r="D695" s="101" t="s">
        <v>2166</v>
      </c>
      <c r="E695" s="73" t="s">
        <v>2166</v>
      </c>
      <c r="F695" s="100" t="s">
        <v>81</v>
      </c>
      <c r="G695" s="72" t="e">
        <f>_xlfn.TEXTJOIN(", ",TRUE,B695,#REF!,#REF!,#REF!,D695,E695)</f>
        <v>#REF!</v>
      </c>
      <c r="H695" s="99"/>
      <c r="I695" s="99"/>
      <c r="J695" s="99"/>
      <c r="K695" s="99"/>
      <c r="L695" s="99"/>
      <c r="M695" s="77" t="s">
        <v>1043</v>
      </c>
    </row>
    <row r="696" spans="1:13" s="103" customFormat="1" ht="10.9" hidden="1" customHeight="1" x14ac:dyDescent="0.25">
      <c r="A696" s="89" t="s">
        <v>2167</v>
      </c>
      <c r="B696" s="102" t="s">
        <v>2168</v>
      </c>
      <c r="C696" s="101" t="s">
        <v>5349</v>
      </c>
      <c r="D696" s="101" t="s">
        <v>2169</v>
      </c>
      <c r="E696" s="73" t="s">
        <v>88</v>
      </c>
      <c r="F696" s="100" t="s">
        <v>98</v>
      </c>
      <c r="G696" s="72" t="e">
        <f>_xlfn.TEXTJOIN(", ",TRUE,B696,#REF!,#REF!,#REF!,D696,E696)</f>
        <v>#REF!</v>
      </c>
      <c r="H696" s="99"/>
      <c r="I696" s="99"/>
      <c r="J696" s="99"/>
      <c r="K696" s="99"/>
      <c r="L696" s="99"/>
      <c r="M696" s="77" t="s">
        <v>88</v>
      </c>
    </row>
    <row r="697" spans="1:13" s="103" customFormat="1" ht="10.9" hidden="1" customHeight="1" x14ac:dyDescent="0.25">
      <c r="A697" s="89" t="s">
        <v>2170</v>
      </c>
      <c r="B697" s="98" t="s">
        <v>2171</v>
      </c>
      <c r="C697" s="101" t="s">
        <v>5349</v>
      </c>
      <c r="D697" s="101" t="s">
        <v>2169</v>
      </c>
      <c r="E697" s="73" t="s">
        <v>2169</v>
      </c>
      <c r="F697" s="100" t="s">
        <v>81</v>
      </c>
      <c r="G697" s="72" t="e">
        <f>_xlfn.TEXTJOIN(", ",TRUE,B697,#REF!,#REF!,#REF!,D697,E697)</f>
        <v>#REF!</v>
      </c>
      <c r="H697" s="99"/>
      <c r="I697" s="99"/>
      <c r="J697" s="99"/>
      <c r="K697" s="99"/>
      <c r="L697" s="99"/>
      <c r="M697" s="77" t="s">
        <v>2172</v>
      </c>
    </row>
    <row r="698" spans="1:13" s="103" customFormat="1" ht="10.9" hidden="1" customHeight="1" x14ac:dyDescent="0.25">
      <c r="A698" s="89" t="s">
        <v>2173</v>
      </c>
      <c r="B698" s="102" t="s">
        <v>2174</v>
      </c>
      <c r="C698" s="101" t="s">
        <v>5349</v>
      </c>
      <c r="D698" s="101" t="s">
        <v>2169</v>
      </c>
      <c r="E698" s="73" t="s">
        <v>2175</v>
      </c>
      <c r="F698" s="100" t="s">
        <v>130</v>
      </c>
      <c r="G698" s="72" t="e">
        <f>_xlfn.TEXTJOIN(", ",TRUE,B698,#REF!,#REF!,#REF!,D698,E698)</f>
        <v>#REF!</v>
      </c>
      <c r="H698" s="99"/>
      <c r="I698" s="99">
        <v>45490</v>
      </c>
      <c r="J698" s="99"/>
      <c r="K698" s="99"/>
      <c r="L698" s="99"/>
      <c r="M698" s="77" t="s">
        <v>2176</v>
      </c>
    </row>
    <row r="699" spans="1:13" s="103" customFormat="1" ht="10.9" customHeight="1" x14ac:dyDescent="0.25">
      <c r="A699" s="89" t="s">
        <v>2177</v>
      </c>
      <c r="B699" s="98" t="s">
        <v>2178</v>
      </c>
      <c r="C699" s="101" t="s">
        <v>5347</v>
      </c>
      <c r="D699" s="101" t="s">
        <v>2179</v>
      </c>
      <c r="E699" s="73" t="s">
        <v>2180</v>
      </c>
      <c r="F699" s="100" t="s">
        <v>81</v>
      </c>
      <c r="G699" s="72" t="e">
        <f>_xlfn.TEXTJOIN(", ",TRUE,B699,#REF!,#REF!,#REF!,D699,E699)</f>
        <v>#REF!</v>
      </c>
      <c r="H699" s="99">
        <v>45112</v>
      </c>
      <c r="I699" s="99"/>
      <c r="J699" s="99"/>
      <c r="K699" s="99"/>
      <c r="L699" s="99"/>
      <c r="M699" s="77" t="s">
        <v>2181</v>
      </c>
    </row>
    <row r="700" spans="1:13" s="103" customFormat="1" ht="10.9" customHeight="1" x14ac:dyDescent="0.25">
      <c r="A700" s="89" t="s">
        <v>2182</v>
      </c>
      <c r="B700" s="98" t="s">
        <v>2183</v>
      </c>
      <c r="C700" s="101" t="s">
        <v>5347</v>
      </c>
      <c r="D700" s="101" t="s">
        <v>2179</v>
      </c>
      <c r="E700" s="74" t="s">
        <v>2184</v>
      </c>
      <c r="F700" s="100" t="s">
        <v>98</v>
      </c>
      <c r="G700" s="72" t="e">
        <f>_xlfn.TEXTJOIN(", ",TRUE,B700,#REF!,#REF!,#REF!,D700,E700)</f>
        <v>#REF!</v>
      </c>
      <c r="H700" s="99"/>
      <c r="I700" s="99"/>
      <c r="J700" s="99"/>
      <c r="K700" s="99"/>
      <c r="L700" s="99"/>
      <c r="M700" s="77" t="s">
        <v>2185</v>
      </c>
    </row>
    <row r="701" spans="1:13" s="111" customFormat="1" ht="10.9" customHeight="1" x14ac:dyDescent="0.25">
      <c r="A701" s="89" t="s">
        <v>2186</v>
      </c>
      <c r="B701" s="98" t="s">
        <v>2187</v>
      </c>
      <c r="C701" s="101" t="s">
        <v>5347</v>
      </c>
      <c r="D701" s="101" t="s">
        <v>2179</v>
      </c>
      <c r="E701" s="74" t="s">
        <v>2188</v>
      </c>
      <c r="F701" s="100" t="s">
        <v>98</v>
      </c>
      <c r="G701" s="72" t="e">
        <f>_xlfn.TEXTJOIN(", ",TRUE,B701,#REF!,#REF!,#REF!,D701,E701)</f>
        <v>#REF!</v>
      </c>
      <c r="H701" s="99"/>
      <c r="I701" s="99"/>
      <c r="J701" s="99"/>
      <c r="K701" s="99"/>
      <c r="L701" s="99"/>
      <c r="M701" s="77" t="s">
        <v>643</v>
      </c>
    </row>
    <row r="702" spans="1:13" s="103" customFormat="1" ht="10.9" customHeight="1" x14ac:dyDescent="0.25">
      <c r="A702" s="89" t="s">
        <v>2189</v>
      </c>
      <c r="B702" s="102" t="s">
        <v>2190</v>
      </c>
      <c r="C702" s="101" t="s">
        <v>5347</v>
      </c>
      <c r="D702" s="101" t="s">
        <v>2179</v>
      </c>
      <c r="E702" s="73" t="s">
        <v>2191</v>
      </c>
      <c r="F702" s="100" t="s">
        <v>251</v>
      </c>
      <c r="G702" s="72" t="e">
        <f>_xlfn.TEXTJOIN(", ",TRUE,B702,#REF!,#REF!,#REF!,D702,E702)</f>
        <v>#REF!</v>
      </c>
      <c r="H702" s="99">
        <v>45142</v>
      </c>
      <c r="I702" s="99"/>
      <c r="J702" s="99"/>
      <c r="K702" s="99"/>
      <c r="L702" s="99"/>
      <c r="M702" s="77" t="s">
        <v>2192</v>
      </c>
    </row>
    <row r="703" spans="1:13" s="103" customFormat="1" ht="10.9" customHeight="1" x14ac:dyDescent="0.25">
      <c r="A703" s="89" t="s">
        <v>2193</v>
      </c>
      <c r="B703" s="98" t="s">
        <v>2194</v>
      </c>
      <c r="C703" s="101" t="s">
        <v>5347</v>
      </c>
      <c r="D703" s="101" t="s">
        <v>2195</v>
      </c>
      <c r="E703" s="74" t="s">
        <v>2196</v>
      </c>
      <c r="F703" s="100" t="s">
        <v>98</v>
      </c>
      <c r="G703" s="72" t="e">
        <f>_xlfn.TEXTJOIN(", ",TRUE,B703,#REF!,#REF!,#REF!,D703,E703)</f>
        <v>#REF!</v>
      </c>
      <c r="H703" s="99"/>
      <c r="I703" s="99"/>
      <c r="J703" s="99"/>
      <c r="K703" s="99"/>
      <c r="L703" s="99"/>
      <c r="M703" s="77" t="s">
        <v>2197</v>
      </c>
    </row>
    <row r="704" spans="1:13" s="103" customFormat="1" ht="10.9" customHeight="1" x14ac:dyDescent="0.25">
      <c r="A704" s="89" t="s">
        <v>2198</v>
      </c>
      <c r="B704" s="102" t="s">
        <v>2199</v>
      </c>
      <c r="C704" s="101" t="s">
        <v>5347</v>
      </c>
      <c r="D704" s="101" t="s">
        <v>2195</v>
      </c>
      <c r="E704" s="73" t="s">
        <v>2200</v>
      </c>
      <c r="F704" s="100" t="s">
        <v>130</v>
      </c>
      <c r="G704" s="72" t="e">
        <f>_xlfn.TEXTJOIN(", ",TRUE,B704,#REF!,#REF!,#REF!,D704,E704)</f>
        <v>#REF!</v>
      </c>
      <c r="H704" s="99"/>
      <c r="I704" s="99"/>
      <c r="J704" s="99"/>
      <c r="K704" s="99">
        <v>45210</v>
      </c>
      <c r="L704" s="99"/>
      <c r="M704" s="77" t="s">
        <v>1043</v>
      </c>
    </row>
    <row r="705" spans="1:13" s="103" customFormat="1" ht="10.9" customHeight="1" x14ac:dyDescent="0.25">
      <c r="A705" s="89" t="s">
        <v>2201</v>
      </c>
      <c r="B705" s="104" t="s">
        <v>2202</v>
      </c>
      <c r="C705" s="101" t="s">
        <v>5347</v>
      </c>
      <c r="D705" s="101" t="s">
        <v>2195</v>
      </c>
      <c r="E705" s="73" t="s">
        <v>2203</v>
      </c>
      <c r="F705" s="100" t="s">
        <v>98</v>
      </c>
      <c r="G705" s="72" t="e">
        <f>_xlfn.TEXTJOIN(", ",TRUE,B705,#REF!,#REF!,#REF!,D705,E705)</f>
        <v>#REF!</v>
      </c>
      <c r="H705" s="99"/>
      <c r="I705" s="99"/>
      <c r="J705" s="99"/>
      <c r="K705" s="99"/>
      <c r="L705" s="99"/>
      <c r="M705" s="77">
        <v>0</v>
      </c>
    </row>
    <row r="706" spans="1:13" s="103" customFormat="1" ht="10.9" customHeight="1" x14ac:dyDescent="0.25">
      <c r="A706" s="89" t="s">
        <v>2204</v>
      </c>
      <c r="B706" s="98" t="s">
        <v>2205</v>
      </c>
      <c r="C706" s="101" t="s">
        <v>5347</v>
      </c>
      <c r="D706" s="101" t="s">
        <v>2206</v>
      </c>
      <c r="E706" s="74" t="s">
        <v>2207</v>
      </c>
      <c r="F706" s="100" t="s">
        <v>98</v>
      </c>
      <c r="G706" s="72" t="e">
        <f>_xlfn.TEXTJOIN(", ",TRUE,B706,#REF!,#REF!,#REF!,D706,E706)</f>
        <v>#REF!</v>
      </c>
      <c r="H706" s="99"/>
      <c r="I706" s="99"/>
      <c r="J706" s="99"/>
      <c r="K706" s="99"/>
      <c r="L706" s="99"/>
      <c r="M706" s="77" t="s">
        <v>2208</v>
      </c>
    </row>
    <row r="707" spans="1:13" s="103" customFormat="1" ht="10.9" customHeight="1" x14ac:dyDescent="0.25">
      <c r="A707" s="89" t="s">
        <v>2209</v>
      </c>
      <c r="B707" s="102" t="s">
        <v>2210</v>
      </c>
      <c r="C707" s="101" t="s">
        <v>5347</v>
      </c>
      <c r="D707" s="101" t="s">
        <v>2206</v>
      </c>
      <c r="E707" s="73" t="s">
        <v>2206</v>
      </c>
      <c r="F707" s="100" t="s">
        <v>130</v>
      </c>
      <c r="G707" s="72" t="e">
        <f>_xlfn.TEXTJOIN(", ",TRUE,B707,#REF!,#REF!,#REF!,D707,E707)</f>
        <v>#REF!</v>
      </c>
      <c r="H707" s="99"/>
      <c r="I707" s="99">
        <v>44344</v>
      </c>
      <c r="J707" s="99"/>
      <c r="K707" s="99">
        <v>44183</v>
      </c>
      <c r="L707" s="99"/>
      <c r="M707" s="77" t="s">
        <v>2211</v>
      </c>
    </row>
    <row r="708" spans="1:13" s="103" customFormat="1" ht="10.9" customHeight="1" x14ac:dyDescent="0.25">
      <c r="A708" s="89" t="s">
        <v>2212</v>
      </c>
      <c r="B708" s="102" t="s">
        <v>2213</v>
      </c>
      <c r="C708" s="101" t="s">
        <v>5347</v>
      </c>
      <c r="D708" s="101" t="s">
        <v>2206</v>
      </c>
      <c r="E708" s="73" t="s">
        <v>2206</v>
      </c>
      <c r="F708" s="100" t="s">
        <v>98</v>
      </c>
      <c r="G708" s="72" t="e">
        <f>_xlfn.TEXTJOIN(", ",TRUE,B708,#REF!,#REF!,#REF!,D708,E708)</f>
        <v>#REF!</v>
      </c>
      <c r="H708" s="99">
        <v>44694</v>
      </c>
      <c r="I708" s="99"/>
      <c r="J708" s="99"/>
      <c r="K708" s="99">
        <v>44694</v>
      </c>
      <c r="L708" s="99"/>
      <c r="M708" s="77">
        <v>0</v>
      </c>
    </row>
    <row r="709" spans="1:13" s="103" customFormat="1" ht="10.9" customHeight="1" x14ac:dyDescent="0.25">
      <c r="A709" s="89" t="s">
        <v>2214</v>
      </c>
      <c r="B709" s="98" t="s">
        <v>2215</v>
      </c>
      <c r="C709" s="101" t="s">
        <v>5347</v>
      </c>
      <c r="D709" s="101" t="s">
        <v>2206</v>
      </c>
      <c r="E709" s="73" t="s">
        <v>2216</v>
      </c>
      <c r="F709" s="100" t="s">
        <v>130</v>
      </c>
      <c r="G709" s="72" t="e">
        <f>_xlfn.TEXTJOIN(", ",TRUE,B709,#REF!,#REF!,#REF!,D709,E709)</f>
        <v>#REF!</v>
      </c>
      <c r="H709" s="99">
        <v>45299</v>
      </c>
      <c r="I709" s="99"/>
      <c r="J709" s="99"/>
      <c r="K709" s="99"/>
      <c r="L709" s="99"/>
      <c r="M709" s="77" t="s">
        <v>643</v>
      </c>
    </row>
    <row r="710" spans="1:13" s="103" customFormat="1" ht="10.9" customHeight="1" x14ac:dyDescent="0.25">
      <c r="A710" s="89" t="s">
        <v>2217</v>
      </c>
      <c r="B710" s="98" t="s">
        <v>2218</v>
      </c>
      <c r="C710" s="101" t="s">
        <v>5347</v>
      </c>
      <c r="D710" s="101" t="s">
        <v>2206</v>
      </c>
      <c r="E710" s="73" t="s">
        <v>2216</v>
      </c>
      <c r="F710" s="100" t="s">
        <v>98</v>
      </c>
      <c r="G710" s="72" t="e">
        <f>_xlfn.TEXTJOIN(", ",TRUE,B710,#REF!,#REF!,#REF!,D710,E710)</f>
        <v>#REF!</v>
      </c>
      <c r="H710" s="99"/>
      <c r="I710" s="99"/>
      <c r="J710" s="99"/>
      <c r="K710" s="99"/>
      <c r="L710" s="99"/>
      <c r="M710" s="77" t="s">
        <v>2219</v>
      </c>
    </row>
    <row r="711" spans="1:13" s="103" customFormat="1" ht="10.9" hidden="1" customHeight="1" x14ac:dyDescent="0.25">
      <c r="A711" s="89" t="s">
        <v>2220</v>
      </c>
      <c r="B711" s="98" t="s">
        <v>2221</v>
      </c>
      <c r="C711" s="101" t="s">
        <v>5348</v>
      </c>
      <c r="D711" s="101" t="s">
        <v>2222</v>
      </c>
      <c r="E711" s="73" t="s">
        <v>2222</v>
      </c>
      <c r="F711" s="100" t="s">
        <v>130</v>
      </c>
      <c r="G711" s="72" t="e">
        <f>_xlfn.TEXTJOIN(", ",TRUE,B711,#REF!,#REF!,#REF!,D711,E711)</f>
        <v>#REF!</v>
      </c>
      <c r="H711" s="99">
        <v>45280</v>
      </c>
      <c r="I711" s="99"/>
      <c r="J711" s="99"/>
      <c r="K711" s="99">
        <v>45280</v>
      </c>
      <c r="L711" s="99">
        <v>45557</v>
      </c>
      <c r="M711" s="77" t="s">
        <v>2223</v>
      </c>
    </row>
    <row r="712" spans="1:13" s="103" customFormat="1" ht="10.9" hidden="1" customHeight="1" x14ac:dyDescent="0.25">
      <c r="A712" s="89" t="s">
        <v>2224</v>
      </c>
      <c r="B712" s="98" t="s">
        <v>2225</v>
      </c>
      <c r="C712" s="101" t="s">
        <v>5348</v>
      </c>
      <c r="D712" s="101" t="s">
        <v>2226</v>
      </c>
      <c r="E712" s="73" t="s">
        <v>2227</v>
      </c>
      <c r="F712" s="100" t="s">
        <v>221</v>
      </c>
      <c r="G712" s="72" t="e">
        <f>_xlfn.TEXTJOIN(", ",TRUE,B712,#REF!,#REF!,#REF!,D712,E712)</f>
        <v>#REF!</v>
      </c>
      <c r="H712" s="99">
        <v>45789</v>
      </c>
      <c r="I712" s="99"/>
      <c r="J712" s="99"/>
      <c r="K712" s="99"/>
      <c r="L712" s="99"/>
      <c r="M712" s="77" t="s">
        <v>88</v>
      </c>
    </row>
    <row r="713" spans="1:13" s="103" customFormat="1" ht="10.9" hidden="1" customHeight="1" x14ac:dyDescent="0.25">
      <c r="A713" s="89" t="s">
        <v>2228</v>
      </c>
      <c r="B713" s="98" t="s">
        <v>2229</v>
      </c>
      <c r="C713" s="101" t="s">
        <v>5348</v>
      </c>
      <c r="D713" s="101" t="s">
        <v>2226</v>
      </c>
      <c r="E713" s="73" t="s">
        <v>2226</v>
      </c>
      <c r="F713" s="100" t="s">
        <v>98</v>
      </c>
      <c r="G713" s="72" t="e">
        <f>_xlfn.TEXTJOIN(", ",TRUE,B713,#REF!,#REF!,#REF!,D713,E713)</f>
        <v>#REF!</v>
      </c>
      <c r="H713" s="99"/>
      <c r="I713" s="99"/>
      <c r="J713" s="99"/>
      <c r="K713" s="99"/>
      <c r="L713" s="99"/>
      <c r="M713" s="77" t="s">
        <v>2230</v>
      </c>
    </row>
    <row r="714" spans="1:13" s="103" customFormat="1" ht="10.9" hidden="1" customHeight="1" x14ac:dyDescent="0.25">
      <c r="A714" s="89" t="s">
        <v>2231</v>
      </c>
      <c r="B714" s="102" t="s">
        <v>2232</v>
      </c>
      <c r="C714" s="101" t="s">
        <v>5348</v>
      </c>
      <c r="D714" s="101" t="s">
        <v>2226</v>
      </c>
      <c r="E714" s="73" t="s">
        <v>2226</v>
      </c>
      <c r="F714" s="100" t="s">
        <v>118</v>
      </c>
      <c r="G714" s="72" t="e">
        <f>_xlfn.TEXTJOIN(", ",TRUE,B714,#REF!,#REF!,#REF!,D714,E714)</f>
        <v>#REF!</v>
      </c>
      <c r="H714" s="99">
        <v>44811</v>
      </c>
      <c r="I714" s="99"/>
      <c r="J714" s="99"/>
      <c r="K714" s="99"/>
      <c r="L714" s="99">
        <v>44811</v>
      </c>
      <c r="M714" s="77" t="s">
        <v>88</v>
      </c>
    </row>
    <row r="715" spans="1:13" s="103" customFormat="1" ht="10.9" hidden="1" customHeight="1" x14ac:dyDescent="0.25">
      <c r="A715" s="89" t="s">
        <v>2233</v>
      </c>
      <c r="B715" s="98" t="s">
        <v>2234</v>
      </c>
      <c r="C715" s="101" t="s">
        <v>5348</v>
      </c>
      <c r="D715" s="101" t="s">
        <v>2235</v>
      </c>
      <c r="E715" s="73" t="s">
        <v>2236</v>
      </c>
      <c r="F715" s="100" t="s">
        <v>81</v>
      </c>
      <c r="G715" s="72" t="e">
        <f>_xlfn.TEXTJOIN(", ",TRUE,B715,#REF!,#REF!,#REF!,D715,E715)</f>
        <v>#REF!</v>
      </c>
      <c r="H715" s="99">
        <v>45495</v>
      </c>
      <c r="I715" s="99"/>
      <c r="J715" s="99"/>
      <c r="K715" s="99"/>
      <c r="L715" s="99"/>
      <c r="M715" s="77" t="s">
        <v>88</v>
      </c>
    </row>
    <row r="716" spans="1:13" s="103" customFormat="1" ht="10.9" hidden="1" customHeight="1" x14ac:dyDescent="0.25">
      <c r="A716" s="89" t="s">
        <v>2237</v>
      </c>
      <c r="B716" s="98" t="s">
        <v>2238</v>
      </c>
      <c r="C716" s="101" t="s">
        <v>5348</v>
      </c>
      <c r="D716" s="101" t="s">
        <v>2235</v>
      </c>
      <c r="E716" s="73" t="s">
        <v>2239</v>
      </c>
      <c r="F716" s="100" t="s">
        <v>98</v>
      </c>
      <c r="G716" s="72" t="e">
        <f>_xlfn.TEXTJOIN(", ",TRUE,B716,#REF!,#REF!,#REF!,D716,E716)</f>
        <v>#REF!</v>
      </c>
      <c r="H716" s="99">
        <v>45151</v>
      </c>
      <c r="I716" s="99"/>
      <c r="J716" s="99"/>
      <c r="K716" s="99"/>
      <c r="L716" s="99"/>
      <c r="M716" s="77" t="s">
        <v>88</v>
      </c>
    </row>
    <row r="717" spans="1:13" s="103" customFormat="1" ht="10.9" hidden="1" customHeight="1" x14ac:dyDescent="0.25">
      <c r="A717" s="89" t="s">
        <v>2240</v>
      </c>
      <c r="B717" s="98" t="s">
        <v>2241</v>
      </c>
      <c r="C717" s="101" t="s">
        <v>5348</v>
      </c>
      <c r="D717" s="101" t="s">
        <v>2235</v>
      </c>
      <c r="E717" s="73" t="s">
        <v>2242</v>
      </c>
      <c r="F717" s="100" t="s">
        <v>81</v>
      </c>
      <c r="G717" s="72" t="e">
        <f>_xlfn.TEXTJOIN(", ",TRUE,B717,#REF!,#REF!,#REF!,D717,E717)</f>
        <v>#REF!</v>
      </c>
      <c r="H717" s="99"/>
      <c r="I717" s="99"/>
      <c r="J717" s="99"/>
      <c r="K717" s="99"/>
      <c r="L717" s="99"/>
      <c r="M717" s="77" t="s">
        <v>2243</v>
      </c>
    </row>
    <row r="718" spans="1:13" s="103" customFormat="1" ht="10.9" hidden="1" customHeight="1" x14ac:dyDescent="0.25">
      <c r="A718" s="89" t="s">
        <v>2244</v>
      </c>
      <c r="B718" s="98" t="s">
        <v>2245</v>
      </c>
      <c r="C718" s="101" t="s">
        <v>5348</v>
      </c>
      <c r="D718" s="101" t="s">
        <v>2235</v>
      </c>
      <c r="E718" s="73" t="s">
        <v>2235</v>
      </c>
      <c r="F718" s="100" t="s">
        <v>98</v>
      </c>
      <c r="G718" s="72" t="e">
        <f>_xlfn.TEXTJOIN(", ",TRUE,B718,#REF!,#REF!,#REF!,D718,E718)</f>
        <v>#REF!</v>
      </c>
      <c r="H718" s="99">
        <v>45297</v>
      </c>
      <c r="I718" s="99"/>
      <c r="J718" s="99"/>
      <c r="K718" s="99"/>
      <c r="L718" s="99">
        <v>45734</v>
      </c>
      <c r="M718" s="77">
        <v>0</v>
      </c>
    </row>
    <row r="719" spans="1:13" s="103" customFormat="1" ht="10.9" hidden="1" customHeight="1" x14ac:dyDescent="0.25">
      <c r="A719" s="89" t="s">
        <v>2246</v>
      </c>
      <c r="B719" s="98" t="s">
        <v>2247</v>
      </c>
      <c r="C719" s="101" t="s">
        <v>5348</v>
      </c>
      <c r="D719" s="101" t="s">
        <v>2235</v>
      </c>
      <c r="E719" s="73" t="s">
        <v>2248</v>
      </c>
      <c r="F719" s="100" t="s">
        <v>130</v>
      </c>
      <c r="G719" s="72" t="e">
        <f>_xlfn.TEXTJOIN(", ",TRUE,B719,#REF!,#REF!,#REF!,D719,E719)</f>
        <v>#REF!</v>
      </c>
      <c r="H719" s="99">
        <v>45086</v>
      </c>
      <c r="I719" s="99"/>
      <c r="J719" s="99"/>
      <c r="K719" s="99"/>
      <c r="L719" s="99"/>
      <c r="M719" s="77">
        <v>0</v>
      </c>
    </row>
    <row r="720" spans="1:13" s="103" customFormat="1" ht="10.9" hidden="1" customHeight="1" x14ac:dyDescent="0.25">
      <c r="A720" s="89" t="s">
        <v>2249</v>
      </c>
      <c r="B720" s="98" t="s">
        <v>2250</v>
      </c>
      <c r="C720" s="101" t="s">
        <v>5348</v>
      </c>
      <c r="D720" s="101" t="s">
        <v>2235</v>
      </c>
      <c r="E720" s="73" t="s">
        <v>2235</v>
      </c>
      <c r="F720" s="100" t="s">
        <v>2251</v>
      </c>
      <c r="G720" s="72" t="e">
        <f>_xlfn.TEXTJOIN(", ",TRUE,B720,#REF!,#REF!,#REF!,D720,E720)</f>
        <v>#REF!</v>
      </c>
      <c r="H720" s="99">
        <v>45007</v>
      </c>
      <c r="I720" s="99"/>
      <c r="J720" s="99"/>
      <c r="K720" s="99"/>
      <c r="L720" s="99"/>
      <c r="M720" s="77" t="s">
        <v>2252</v>
      </c>
    </row>
    <row r="721" spans="1:13" s="103" customFormat="1" ht="10.9" hidden="1" customHeight="1" x14ac:dyDescent="0.25">
      <c r="A721" s="89" t="s">
        <v>2253</v>
      </c>
      <c r="B721" s="98" t="s">
        <v>2254</v>
      </c>
      <c r="C721" s="101" t="s">
        <v>5348</v>
      </c>
      <c r="D721" s="101" t="s">
        <v>2235</v>
      </c>
      <c r="E721" s="73" t="s">
        <v>88</v>
      </c>
      <c r="F721" s="100" t="s">
        <v>98</v>
      </c>
      <c r="G721" s="72" t="e">
        <f>_xlfn.TEXTJOIN(", ",TRUE,B721,#REF!,#REF!,#REF!,D721,E721)</f>
        <v>#REF!</v>
      </c>
      <c r="H721" s="99"/>
      <c r="I721" s="99"/>
      <c r="J721" s="99"/>
      <c r="K721" s="99"/>
      <c r="L721" s="99"/>
      <c r="M721" s="77">
        <v>0</v>
      </c>
    </row>
    <row r="722" spans="1:13" s="103" customFormat="1" ht="10.9" hidden="1" customHeight="1" x14ac:dyDescent="0.25">
      <c r="A722" s="89" t="s">
        <v>2255</v>
      </c>
      <c r="B722" s="98" t="s">
        <v>2256</v>
      </c>
      <c r="C722" s="101" t="s">
        <v>5348</v>
      </c>
      <c r="D722" s="101" t="s">
        <v>2235</v>
      </c>
      <c r="E722" s="73" t="s">
        <v>2257</v>
      </c>
      <c r="F722" s="100" t="s">
        <v>81</v>
      </c>
      <c r="G722" s="72" t="e">
        <f>_xlfn.TEXTJOIN(", ",TRUE,B722,#REF!,#REF!,#REF!,D722,E722)</f>
        <v>#REF!</v>
      </c>
      <c r="H722" s="99"/>
      <c r="I722" s="99"/>
      <c r="J722" s="99"/>
      <c r="K722" s="99"/>
      <c r="L722" s="99"/>
      <c r="M722" s="77">
        <v>0</v>
      </c>
    </row>
    <row r="723" spans="1:13" s="103" customFormat="1" ht="10.9" hidden="1" customHeight="1" x14ac:dyDescent="0.25">
      <c r="A723" s="89" t="s">
        <v>2258</v>
      </c>
      <c r="B723" s="104" t="s">
        <v>2259</v>
      </c>
      <c r="C723" s="101" t="s">
        <v>5348</v>
      </c>
      <c r="D723" s="101" t="s">
        <v>2235</v>
      </c>
      <c r="E723" s="74" t="s">
        <v>2260</v>
      </c>
      <c r="F723" s="100" t="s">
        <v>118</v>
      </c>
      <c r="G723" s="72" t="e">
        <f>_xlfn.TEXTJOIN(", ",TRUE,B723,#REF!,#REF!,#REF!,D723,E723)</f>
        <v>#REF!</v>
      </c>
      <c r="H723" s="99"/>
      <c r="I723" s="99"/>
      <c r="J723" s="99"/>
      <c r="K723" s="99"/>
      <c r="L723" s="99"/>
      <c r="M723" s="77">
        <v>0</v>
      </c>
    </row>
    <row r="724" spans="1:13" s="103" customFormat="1" ht="10.9" hidden="1" customHeight="1" x14ac:dyDescent="0.25">
      <c r="A724" s="89" t="s">
        <v>2261</v>
      </c>
      <c r="B724" s="98" t="s">
        <v>2262</v>
      </c>
      <c r="C724" s="101" t="s">
        <v>5348</v>
      </c>
      <c r="D724" s="101" t="s">
        <v>2235</v>
      </c>
      <c r="E724" s="73" t="s">
        <v>2235</v>
      </c>
      <c r="F724" s="100" t="s">
        <v>81</v>
      </c>
      <c r="G724" s="72" t="e">
        <f>_xlfn.TEXTJOIN(", ",TRUE,B724,#REF!,#REF!,#REF!,D724,E724)</f>
        <v>#REF!</v>
      </c>
      <c r="H724" s="99">
        <v>45228</v>
      </c>
      <c r="I724" s="99"/>
      <c r="J724" s="99"/>
      <c r="K724" s="99"/>
      <c r="L724" s="99"/>
      <c r="M724" s="77" t="s">
        <v>2263</v>
      </c>
    </row>
    <row r="725" spans="1:13" s="103" customFormat="1" ht="10.9" hidden="1" customHeight="1" x14ac:dyDescent="0.25">
      <c r="A725" s="89" t="s">
        <v>2264</v>
      </c>
      <c r="B725" s="98" t="s">
        <v>2265</v>
      </c>
      <c r="C725" s="101" t="s">
        <v>5348</v>
      </c>
      <c r="D725" s="101" t="s">
        <v>2235</v>
      </c>
      <c r="E725" s="73" t="s">
        <v>2266</v>
      </c>
      <c r="F725" s="100" t="s">
        <v>98</v>
      </c>
      <c r="G725" s="72" t="e">
        <f>_xlfn.TEXTJOIN(", ",TRUE,B725,#REF!,#REF!,#REF!,D725,E725)</f>
        <v>#REF!</v>
      </c>
      <c r="H725" s="99">
        <v>44845</v>
      </c>
      <c r="I725" s="99"/>
      <c r="J725" s="99"/>
      <c r="K725" s="99"/>
      <c r="L725" s="99"/>
      <c r="M725" s="77" t="s">
        <v>289</v>
      </c>
    </row>
    <row r="726" spans="1:13" s="103" customFormat="1" ht="10.9" hidden="1" customHeight="1" x14ac:dyDescent="0.25">
      <c r="A726" s="89" t="s">
        <v>2267</v>
      </c>
      <c r="B726" s="98" t="s">
        <v>2268</v>
      </c>
      <c r="C726" s="101" t="s">
        <v>5348</v>
      </c>
      <c r="D726" s="101" t="s">
        <v>2235</v>
      </c>
      <c r="E726" s="73" t="s">
        <v>2269</v>
      </c>
      <c r="F726" s="100" t="s">
        <v>81</v>
      </c>
      <c r="G726" s="72" t="e">
        <f>_xlfn.TEXTJOIN(", ",TRUE,B726,#REF!,#REF!,#REF!,D726,E726)</f>
        <v>#REF!</v>
      </c>
      <c r="H726" s="99">
        <v>45089</v>
      </c>
      <c r="I726" s="99"/>
      <c r="J726" s="99"/>
      <c r="K726" s="99"/>
      <c r="L726" s="99"/>
      <c r="M726" s="77" t="s">
        <v>88</v>
      </c>
    </row>
    <row r="727" spans="1:13" s="103" customFormat="1" ht="10.9" hidden="1" customHeight="1" x14ac:dyDescent="0.25">
      <c r="A727" s="89" t="s">
        <v>2270</v>
      </c>
      <c r="B727" s="98" t="s">
        <v>2271</v>
      </c>
      <c r="C727" s="101" t="s">
        <v>5348</v>
      </c>
      <c r="D727" s="101" t="s">
        <v>2235</v>
      </c>
      <c r="E727" s="73" t="s">
        <v>2269</v>
      </c>
      <c r="F727" s="100" t="s">
        <v>81</v>
      </c>
      <c r="G727" s="72" t="e">
        <f>_xlfn.TEXTJOIN(", ",TRUE,B727,#REF!,#REF!,#REF!,D727,E727)</f>
        <v>#REF!</v>
      </c>
      <c r="H727" s="99">
        <v>45144</v>
      </c>
      <c r="I727" s="99"/>
      <c r="J727" s="99"/>
      <c r="K727" s="99"/>
      <c r="L727" s="99"/>
      <c r="M727" s="77">
        <v>0</v>
      </c>
    </row>
    <row r="728" spans="1:13" s="103" customFormat="1" ht="10.9" hidden="1" customHeight="1" x14ac:dyDescent="0.25">
      <c r="A728" s="89" t="s">
        <v>2272</v>
      </c>
      <c r="B728" s="104" t="s">
        <v>2273</v>
      </c>
      <c r="C728" s="101" t="s">
        <v>5348</v>
      </c>
      <c r="D728" s="101" t="s">
        <v>2235</v>
      </c>
      <c r="E728" s="73" t="s">
        <v>88</v>
      </c>
      <c r="F728" s="100" t="s">
        <v>98</v>
      </c>
      <c r="G728" s="72" t="e">
        <f>_xlfn.TEXTJOIN(", ",TRUE,B728,#REF!,#REF!,#REF!,D728,E728)</f>
        <v>#REF!</v>
      </c>
      <c r="H728" s="99"/>
      <c r="I728" s="99"/>
      <c r="J728" s="99"/>
      <c r="K728" s="99"/>
      <c r="L728" s="99"/>
      <c r="M728" s="77">
        <v>0</v>
      </c>
    </row>
    <row r="729" spans="1:13" s="103" customFormat="1" ht="10.9" hidden="1" customHeight="1" x14ac:dyDescent="0.25">
      <c r="A729" s="89" t="e">
        <v>#VALUE!</v>
      </c>
      <c r="B729" s="102" t="s">
        <v>2274</v>
      </c>
      <c r="C729" s="101" t="s">
        <v>5348</v>
      </c>
      <c r="D729" s="101" t="s">
        <v>2235</v>
      </c>
      <c r="E729" s="73" t="s">
        <v>2235</v>
      </c>
      <c r="F729" s="100" t="s">
        <v>282</v>
      </c>
      <c r="G729" s="72" t="e">
        <f>_xlfn.TEXTJOIN(", ",TRUE,B729,#REF!,#REF!,#REF!,D729,E729)</f>
        <v>#REF!</v>
      </c>
      <c r="H729" s="99">
        <v>45875</v>
      </c>
      <c r="I729" s="99">
        <v>45829</v>
      </c>
      <c r="J729" s="99"/>
      <c r="K729" s="99"/>
      <c r="L729" s="99"/>
      <c r="M729" s="77" t="s">
        <v>2275</v>
      </c>
    </row>
    <row r="730" spans="1:13" s="103" customFormat="1" ht="10.9" hidden="1" customHeight="1" x14ac:dyDescent="0.25">
      <c r="A730" s="89" t="s">
        <v>2276</v>
      </c>
      <c r="B730" s="98" t="s">
        <v>2277</v>
      </c>
      <c r="C730" s="101" t="s">
        <v>5348</v>
      </c>
      <c r="D730" s="101" t="s">
        <v>2235</v>
      </c>
      <c r="E730" s="73" t="s">
        <v>2278</v>
      </c>
      <c r="F730" s="100" t="s">
        <v>98</v>
      </c>
      <c r="G730" s="72" t="e">
        <f>_xlfn.TEXTJOIN(", ",TRUE,B730,#REF!,#REF!,#REF!,D730,E730)</f>
        <v>#REF!</v>
      </c>
      <c r="H730" s="99">
        <v>45236</v>
      </c>
      <c r="I730" s="99"/>
      <c r="J730" s="99"/>
      <c r="K730" s="99"/>
      <c r="L730" s="99"/>
      <c r="M730" s="77" t="s">
        <v>88</v>
      </c>
    </row>
    <row r="731" spans="1:13" s="103" customFormat="1" ht="10.9" hidden="1" customHeight="1" x14ac:dyDescent="0.25">
      <c r="A731" s="89" t="s">
        <v>2279</v>
      </c>
      <c r="B731" s="98" t="s">
        <v>2280</v>
      </c>
      <c r="C731" s="101" t="s">
        <v>5348</v>
      </c>
      <c r="D731" s="101" t="s">
        <v>2235</v>
      </c>
      <c r="E731" s="73" t="s">
        <v>88</v>
      </c>
      <c r="F731" s="100"/>
      <c r="G731" s="72" t="e">
        <f>_xlfn.TEXTJOIN(", ",TRUE,B731,#REF!,#REF!,#REF!,D731,E731)</f>
        <v>#REF!</v>
      </c>
      <c r="H731" s="99"/>
      <c r="I731" s="99"/>
      <c r="J731" s="99"/>
      <c r="K731" s="99"/>
      <c r="L731" s="99"/>
      <c r="M731" s="77" t="s">
        <v>88</v>
      </c>
    </row>
    <row r="732" spans="1:13" s="103" customFormat="1" ht="10.9" hidden="1" customHeight="1" x14ac:dyDescent="0.25">
      <c r="A732" s="89" t="s">
        <v>2281</v>
      </c>
      <c r="B732" s="98" t="s">
        <v>2282</v>
      </c>
      <c r="C732" s="101" t="s">
        <v>5348</v>
      </c>
      <c r="D732" s="101" t="s">
        <v>2235</v>
      </c>
      <c r="E732" s="73" t="s">
        <v>2235</v>
      </c>
      <c r="F732" s="100" t="s">
        <v>130</v>
      </c>
      <c r="G732" s="72" t="e">
        <f>_xlfn.TEXTJOIN(", ",TRUE,B732,#REF!,#REF!,#REF!,D732,E732)</f>
        <v>#REF!</v>
      </c>
      <c r="H732" s="99">
        <v>45393</v>
      </c>
      <c r="I732" s="99"/>
      <c r="J732" s="99"/>
      <c r="K732" s="99"/>
      <c r="L732" s="99"/>
      <c r="M732" s="77">
        <v>0</v>
      </c>
    </row>
    <row r="733" spans="1:13" s="103" customFormat="1" ht="10.9" hidden="1" customHeight="1" x14ac:dyDescent="0.25">
      <c r="A733" s="89" t="s">
        <v>2283</v>
      </c>
      <c r="B733" s="98" t="s">
        <v>2284</v>
      </c>
      <c r="C733" s="101" t="s">
        <v>5348</v>
      </c>
      <c r="D733" s="101" t="s">
        <v>2235</v>
      </c>
      <c r="E733" s="73" t="s">
        <v>2285</v>
      </c>
      <c r="F733" s="100" t="s">
        <v>98</v>
      </c>
      <c r="G733" s="72" t="e">
        <f>_xlfn.TEXTJOIN(", ",TRUE,B733,#REF!,#REF!,#REF!,D733,E733)</f>
        <v>#REF!</v>
      </c>
      <c r="H733" s="99">
        <v>45050</v>
      </c>
      <c r="I733" s="99"/>
      <c r="J733" s="99">
        <v>45322</v>
      </c>
      <c r="K733" s="99"/>
      <c r="L733" s="99"/>
      <c r="M733" s="77" t="s">
        <v>88</v>
      </c>
    </row>
    <row r="734" spans="1:13" s="103" customFormat="1" ht="10.9" hidden="1" customHeight="1" x14ac:dyDescent="0.25">
      <c r="A734" s="89" t="s">
        <v>2286</v>
      </c>
      <c r="B734" s="98" t="s">
        <v>2287</v>
      </c>
      <c r="C734" s="101" t="s">
        <v>5348</v>
      </c>
      <c r="D734" s="101" t="s">
        <v>2235</v>
      </c>
      <c r="E734" s="73" t="s">
        <v>88</v>
      </c>
      <c r="F734" s="100" t="s">
        <v>98</v>
      </c>
      <c r="G734" s="72" t="e">
        <f>_xlfn.TEXTJOIN(", ",TRUE,B734,#REF!,#REF!,#REF!,D734,E734)</f>
        <v>#REF!</v>
      </c>
      <c r="H734" s="99"/>
      <c r="I734" s="99"/>
      <c r="J734" s="99"/>
      <c r="K734" s="99"/>
      <c r="L734" s="99"/>
      <c r="M734" s="77" t="s">
        <v>2288</v>
      </c>
    </row>
    <row r="735" spans="1:13" s="103" customFormat="1" ht="10.9" hidden="1" customHeight="1" x14ac:dyDescent="0.25">
      <c r="A735" s="89" t="s">
        <v>2289</v>
      </c>
      <c r="B735" s="98" t="s">
        <v>2290</v>
      </c>
      <c r="C735" s="101" t="s">
        <v>5348</v>
      </c>
      <c r="D735" s="101" t="s">
        <v>2235</v>
      </c>
      <c r="E735" s="73" t="s">
        <v>2291</v>
      </c>
      <c r="F735" s="100" t="s">
        <v>81</v>
      </c>
      <c r="G735" s="72" t="e">
        <f>_xlfn.TEXTJOIN(", ",TRUE,B735,#REF!,#REF!,#REF!,D735,E735)</f>
        <v>#REF!</v>
      </c>
      <c r="H735" s="99">
        <v>44887</v>
      </c>
      <c r="I735" s="99">
        <v>45562</v>
      </c>
      <c r="J735" s="99"/>
      <c r="K735" s="99"/>
      <c r="L735" s="99">
        <v>44887</v>
      </c>
      <c r="M735" s="77" t="s">
        <v>2292</v>
      </c>
    </row>
    <row r="736" spans="1:13" s="103" customFormat="1" ht="10.9" hidden="1" customHeight="1" x14ac:dyDescent="0.25">
      <c r="A736" s="89" t="s">
        <v>2293</v>
      </c>
      <c r="B736" s="98" t="s">
        <v>2294</v>
      </c>
      <c r="C736" s="101" t="s">
        <v>5348</v>
      </c>
      <c r="D736" s="101" t="s">
        <v>2235</v>
      </c>
      <c r="E736" s="73" t="s">
        <v>88</v>
      </c>
      <c r="F736" s="100" t="s">
        <v>98</v>
      </c>
      <c r="G736" s="72" t="e">
        <f>_xlfn.TEXTJOIN(", ",TRUE,B736,#REF!,#REF!,#REF!,D736,E736)</f>
        <v>#REF!</v>
      </c>
      <c r="H736" s="99"/>
      <c r="I736" s="99"/>
      <c r="J736" s="99"/>
      <c r="K736" s="99"/>
      <c r="L736" s="99"/>
      <c r="M736" s="77">
        <v>0</v>
      </c>
    </row>
    <row r="737" spans="1:13" s="103" customFormat="1" ht="10.9" hidden="1" customHeight="1" x14ac:dyDescent="0.25">
      <c r="A737" s="89" t="s">
        <v>2295</v>
      </c>
      <c r="B737" s="98" t="s">
        <v>2296</v>
      </c>
      <c r="C737" s="101" t="s">
        <v>5348</v>
      </c>
      <c r="D737" s="101" t="s">
        <v>2235</v>
      </c>
      <c r="E737" s="73" t="s">
        <v>2235</v>
      </c>
      <c r="F737" s="100" t="s">
        <v>98</v>
      </c>
      <c r="G737" s="72" t="e">
        <f>_xlfn.TEXTJOIN(", ",TRUE,B737,#REF!,#REF!,#REF!,D737,E737)</f>
        <v>#REF!</v>
      </c>
      <c r="H737" s="99">
        <v>45255</v>
      </c>
      <c r="I737" s="99"/>
      <c r="J737" s="99"/>
      <c r="K737" s="99"/>
      <c r="L737" s="99"/>
      <c r="M737" s="77" t="s">
        <v>2297</v>
      </c>
    </row>
    <row r="738" spans="1:13" s="103" customFormat="1" ht="10.9" hidden="1" customHeight="1" x14ac:dyDescent="0.25">
      <c r="A738" s="89" t="s">
        <v>2298</v>
      </c>
      <c r="B738" s="98" t="s">
        <v>2299</v>
      </c>
      <c r="C738" s="101" t="s">
        <v>5348</v>
      </c>
      <c r="D738" s="101" t="s">
        <v>2235</v>
      </c>
      <c r="E738" s="73" t="s">
        <v>88</v>
      </c>
      <c r="F738" s="100" t="s">
        <v>562</v>
      </c>
      <c r="G738" s="72" t="e">
        <f>_xlfn.TEXTJOIN(", ",TRUE,B738,#REF!,#REF!,#REF!,D738,E738)</f>
        <v>#REF!</v>
      </c>
      <c r="H738" s="99"/>
      <c r="I738" s="99"/>
      <c r="J738" s="99"/>
      <c r="K738" s="99"/>
      <c r="L738" s="99"/>
      <c r="M738" s="77" t="s">
        <v>2300</v>
      </c>
    </row>
    <row r="739" spans="1:13" s="103" customFormat="1" ht="10.9" hidden="1" customHeight="1" x14ac:dyDescent="0.25">
      <c r="A739" s="89" t="s">
        <v>2301</v>
      </c>
      <c r="B739" s="98" t="s">
        <v>2302</v>
      </c>
      <c r="C739" s="101" t="s">
        <v>5348</v>
      </c>
      <c r="D739" s="101" t="s">
        <v>2235</v>
      </c>
      <c r="E739" s="73" t="s">
        <v>2303</v>
      </c>
      <c r="F739" s="100" t="s">
        <v>98</v>
      </c>
      <c r="G739" s="72" t="e">
        <f>_xlfn.TEXTJOIN(", ",TRUE,B739,#REF!,#REF!,#REF!,D739,E739)</f>
        <v>#REF!</v>
      </c>
      <c r="H739" s="99"/>
      <c r="I739" s="99"/>
      <c r="J739" s="99"/>
      <c r="K739" s="99"/>
      <c r="L739" s="99"/>
      <c r="M739" s="77" t="s">
        <v>2304</v>
      </c>
    </row>
    <row r="740" spans="1:13" s="103" customFormat="1" ht="10.9" hidden="1" customHeight="1" x14ac:dyDescent="0.25">
      <c r="A740" s="89" t="s">
        <v>2305</v>
      </c>
      <c r="B740" s="98" t="s">
        <v>2306</v>
      </c>
      <c r="C740" s="101" t="s">
        <v>5348</v>
      </c>
      <c r="D740" s="101" t="s">
        <v>2235</v>
      </c>
      <c r="E740" s="73" t="s">
        <v>88</v>
      </c>
      <c r="F740" s="100" t="s">
        <v>98</v>
      </c>
      <c r="G740" s="72" t="e">
        <f>_xlfn.TEXTJOIN(", ",TRUE,B740,#REF!,#REF!,#REF!,D740,E740)</f>
        <v>#REF!</v>
      </c>
      <c r="H740" s="99"/>
      <c r="I740" s="99"/>
      <c r="J740" s="99"/>
      <c r="K740" s="99"/>
      <c r="L740" s="99"/>
      <c r="M740" s="77" t="s">
        <v>2307</v>
      </c>
    </row>
    <row r="741" spans="1:13" s="103" customFormat="1" ht="10.9" hidden="1" customHeight="1" x14ac:dyDescent="0.25">
      <c r="A741" s="89" t="s">
        <v>2305</v>
      </c>
      <c r="B741" s="98" t="s">
        <v>2308</v>
      </c>
      <c r="C741" s="101" t="s">
        <v>5348</v>
      </c>
      <c r="D741" s="101" t="s">
        <v>2235</v>
      </c>
      <c r="E741" s="73" t="s">
        <v>2235</v>
      </c>
      <c r="F741" s="100" t="s">
        <v>98</v>
      </c>
      <c r="G741" s="72" t="e">
        <f>_xlfn.TEXTJOIN(", ",TRUE,B741,#REF!,#REF!,#REF!,D741,E741)</f>
        <v>#REF!</v>
      </c>
      <c r="H741" s="99">
        <v>45159</v>
      </c>
      <c r="I741" s="99"/>
      <c r="J741" s="99"/>
      <c r="K741" s="99"/>
      <c r="L741" s="99"/>
      <c r="M741" s="77" t="s">
        <v>88</v>
      </c>
    </row>
    <row r="742" spans="1:13" s="103" customFormat="1" ht="10.9" hidden="1" customHeight="1" x14ac:dyDescent="0.25">
      <c r="A742" s="89" t="s">
        <v>2309</v>
      </c>
      <c r="B742" s="98" t="s">
        <v>2310</v>
      </c>
      <c r="C742" s="101" t="s">
        <v>5348</v>
      </c>
      <c r="D742" s="101" t="s">
        <v>2235</v>
      </c>
      <c r="E742" s="73" t="s">
        <v>2235</v>
      </c>
      <c r="F742" s="100" t="s">
        <v>81</v>
      </c>
      <c r="G742" s="72" t="e">
        <f>_xlfn.TEXTJOIN(", ",TRUE,B742,#REF!,#REF!,#REF!,D742,E742)</f>
        <v>#REF!</v>
      </c>
      <c r="H742" s="99">
        <v>44971</v>
      </c>
      <c r="I742" s="99"/>
      <c r="J742" s="99"/>
      <c r="K742" s="99"/>
      <c r="L742" s="99"/>
      <c r="M742" s="77" t="s">
        <v>2311</v>
      </c>
    </row>
    <row r="743" spans="1:13" s="103" customFormat="1" ht="10.9" hidden="1" customHeight="1" x14ac:dyDescent="0.25">
      <c r="A743" s="89" t="s">
        <v>2312</v>
      </c>
      <c r="B743" s="98" t="s">
        <v>2313</v>
      </c>
      <c r="C743" s="101" t="s">
        <v>5348</v>
      </c>
      <c r="D743" s="101" t="s">
        <v>2235</v>
      </c>
      <c r="E743" s="73" t="s">
        <v>2314</v>
      </c>
      <c r="F743" s="100" t="s">
        <v>277</v>
      </c>
      <c r="G743" s="72" t="e">
        <f>_xlfn.TEXTJOIN(", ",TRUE,B743,#REF!,#REF!,#REF!,D743,E743)</f>
        <v>#REF!</v>
      </c>
      <c r="H743" s="99">
        <v>45361</v>
      </c>
      <c r="I743" s="99"/>
      <c r="J743" s="99"/>
      <c r="K743" s="99">
        <v>45361</v>
      </c>
      <c r="L743" s="99"/>
      <c r="M743" s="77" t="s">
        <v>2315</v>
      </c>
    </row>
    <row r="744" spans="1:13" s="103" customFormat="1" ht="10.9" hidden="1" customHeight="1" x14ac:dyDescent="0.25">
      <c r="A744" s="89" t="s">
        <v>2316</v>
      </c>
      <c r="B744" s="98" t="s">
        <v>2317</v>
      </c>
      <c r="C744" s="101" t="s">
        <v>5348</v>
      </c>
      <c r="D744" s="101" t="s">
        <v>2235</v>
      </c>
      <c r="E744" s="73" t="s">
        <v>2318</v>
      </c>
      <c r="F744" s="100" t="s">
        <v>98</v>
      </c>
      <c r="G744" s="72" t="e">
        <f>_xlfn.TEXTJOIN(", ",TRUE,B744,#REF!,#REF!,#REF!,D744,E744)</f>
        <v>#REF!</v>
      </c>
      <c r="H744" s="99">
        <v>45570</v>
      </c>
      <c r="I744" s="99"/>
      <c r="J744" s="99"/>
      <c r="K744" s="99"/>
      <c r="L744" s="99"/>
      <c r="M744" s="77" t="s">
        <v>232</v>
      </c>
    </row>
    <row r="745" spans="1:13" s="103" customFormat="1" ht="10.9" hidden="1" customHeight="1" x14ac:dyDescent="0.25">
      <c r="A745" s="89" t="s">
        <v>2316</v>
      </c>
      <c r="B745" s="98" t="s">
        <v>2319</v>
      </c>
      <c r="C745" s="101" t="s">
        <v>5348</v>
      </c>
      <c r="D745" s="101" t="s">
        <v>2235</v>
      </c>
      <c r="E745" s="74" t="s">
        <v>2320</v>
      </c>
      <c r="F745" s="100" t="s">
        <v>98</v>
      </c>
      <c r="G745" s="72" t="e">
        <f>_xlfn.TEXTJOIN(", ",TRUE,B745,#REF!,#REF!,#REF!,D745,E745)</f>
        <v>#REF!</v>
      </c>
      <c r="H745" s="99"/>
      <c r="I745" s="99"/>
      <c r="J745" s="99"/>
      <c r="K745" s="99"/>
      <c r="L745" s="99"/>
      <c r="M745" s="77" t="s">
        <v>2321</v>
      </c>
    </row>
    <row r="746" spans="1:13" s="103" customFormat="1" ht="10.9" hidden="1" customHeight="1" x14ac:dyDescent="0.25">
      <c r="A746" s="89" t="s">
        <v>2322</v>
      </c>
      <c r="B746" s="98" t="s">
        <v>2323</v>
      </c>
      <c r="C746" s="101" t="s">
        <v>5348</v>
      </c>
      <c r="D746" s="101" t="s">
        <v>2235</v>
      </c>
      <c r="E746" s="73" t="s">
        <v>2235</v>
      </c>
      <c r="F746" s="100" t="s">
        <v>81</v>
      </c>
      <c r="G746" s="72" t="e">
        <f>_xlfn.TEXTJOIN(", ",TRUE,B746,#REF!,#REF!,#REF!,D746,E746)</f>
        <v>#REF!</v>
      </c>
      <c r="H746" s="99">
        <v>44871</v>
      </c>
      <c r="I746" s="99"/>
      <c r="J746" s="99"/>
      <c r="K746" s="99"/>
      <c r="L746" s="99"/>
      <c r="M746" s="77">
        <v>0</v>
      </c>
    </row>
    <row r="747" spans="1:13" s="103" customFormat="1" ht="10.9" hidden="1" customHeight="1" x14ac:dyDescent="0.25">
      <c r="A747" s="89" t="s">
        <v>2324</v>
      </c>
      <c r="B747" s="98" t="s">
        <v>2325</v>
      </c>
      <c r="C747" s="101" t="s">
        <v>5348</v>
      </c>
      <c r="D747" s="101" t="s">
        <v>2235</v>
      </c>
      <c r="E747" s="73" t="s">
        <v>2235</v>
      </c>
      <c r="F747" s="100" t="s">
        <v>81</v>
      </c>
      <c r="G747" s="72" t="e">
        <f>_xlfn.TEXTJOIN(", ",TRUE,B747,#REF!,#REF!,#REF!,D747,E747)</f>
        <v>#REF!</v>
      </c>
      <c r="H747" s="99" t="s">
        <v>83</v>
      </c>
      <c r="I747" s="99"/>
      <c r="J747" s="99"/>
      <c r="K747" s="99"/>
      <c r="L747" s="99"/>
      <c r="M747" s="77" t="s">
        <v>2326</v>
      </c>
    </row>
    <row r="748" spans="1:13" s="103" customFormat="1" ht="10.9" hidden="1" customHeight="1" x14ac:dyDescent="0.25">
      <c r="A748" s="89" t="s">
        <v>2327</v>
      </c>
      <c r="B748" s="98" t="s">
        <v>2328</v>
      </c>
      <c r="C748" s="101" t="s">
        <v>5348</v>
      </c>
      <c r="D748" s="101" t="s">
        <v>2235</v>
      </c>
      <c r="E748" s="73" t="s">
        <v>2329</v>
      </c>
      <c r="F748" s="100" t="s">
        <v>81</v>
      </c>
      <c r="G748" s="72" t="e">
        <f>_xlfn.TEXTJOIN(", ",TRUE,B748,#REF!,#REF!,#REF!,D748,E748)</f>
        <v>#REF!</v>
      </c>
      <c r="H748" s="99">
        <v>45458</v>
      </c>
      <c r="I748" s="99">
        <v>45506</v>
      </c>
      <c r="J748" s="99"/>
      <c r="K748" s="99"/>
      <c r="L748" s="99"/>
      <c r="M748" s="77">
        <v>0</v>
      </c>
    </row>
    <row r="749" spans="1:13" s="103" customFormat="1" ht="10.9" hidden="1" customHeight="1" x14ac:dyDescent="0.25">
      <c r="A749" s="89" t="s">
        <v>2330</v>
      </c>
      <c r="B749" s="98" t="s">
        <v>2331</v>
      </c>
      <c r="C749" s="101" t="s">
        <v>5348</v>
      </c>
      <c r="D749" s="101" t="s">
        <v>2235</v>
      </c>
      <c r="E749" s="73" t="s">
        <v>2329</v>
      </c>
      <c r="F749" s="100" t="s">
        <v>130</v>
      </c>
      <c r="G749" s="72" t="e">
        <f>_xlfn.TEXTJOIN(", ",TRUE,B749,#REF!,#REF!,#REF!,D749,E749)</f>
        <v>#REF!</v>
      </c>
      <c r="H749" s="99"/>
      <c r="I749" s="99"/>
      <c r="J749" s="99"/>
      <c r="K749" s="99"/>
      <c r="L749" s="99"/>
      <c r="M749" s="77">
        <v>0</v>
      </c>
    </row>
    <row r="750" spans="1:13" s="103" customFormat="1" ht="10.9" hidden="1" customHeight="1" x14ac:dyDescent="0.25">
      <c r="A750" s="89" t="s">
        <v>2332</v>
      </c>
      <c r="B750" s="98" t="s">
        <v>2333</v>
      </c>
      <c r="C750" s="101" t="s">
        <v>5348</v>
      </c>
      <c r="D750" s="101" t="s">
        <v>2235</v>
      </c>
      <c r="E750" s="74" t="s">
        <v>2334</v>
      </c>
      <c r="F750" s="100" t="s">
        <v>437</v>
      </c>
      <c r="G750" s="72" t="e">
        <f>_xlfn.TEXTJOIN(", ",TRUE,B750,#REF!,#REF!,#REF!,D750,E750)</f>
        <v>#REF!</v>
      </c>
      <c r="H750" s="99"/>
      <c r="I750" s="99"/>
      <c r="J750" s="99"/>
      <c r="K750" s="99"/>
      <c r="L750" s="99"/>
      <c r="M750" s="77" t="s">
        <v>88</v>
      </c>
    </row>
    <row r="751" spans="1:13" s="103" customFormat="1" ht="10.9" hidden="1" customHeight="1" x14ac:dyDescent="0.25">
      <c r="A751" s="89" t="s">
        <v>2335</v>
      </c>
      <c r="B751" s="98" t="s">
        <v>2336</v>
      </c>
      <c r="C751" s="101" t="s">
        <v>5348</v>
      </c>
      <c r="D751" s="101" t="s">
        <v>2235</v>
      </c>
      <c r="E751" s="73" t="s">
        <v>2235</v>
      </c>
      <c r="F751" s="100" t="s">
        <v>81</v>
      </c>
      <c r="G751" s="72" t="e">
        <f>_xlfn.TEXTJOIN(", ",TRUE,B751,#REF!,#REF!,#REF!,D751,E751)</f>
        <v>#REF!</v>
      </c>
      <c r="H751" s="99">
        <v>45167</v>
      </c>
      <c r="I751" s="99"/>
      <c r="J751" s="99"/>
      <c r="K751" s="99"/>
      <c r="L751" s="99"/>
      <c r="M751" s="77" t="s">
        <v>2337</v>
      </c>
    </row>
    <row r="752" spans="1:13" s="103" customFormat="1" ht="10.9" hidden="1" customHeight="1" x14ac:dyDescent="0.25">
      <c r="A752" s="89" t="s">
        <v>2338</v>
      </c>
      <c r="B752" s="98" t="s">
        <v>2339</v>
      </c>
      <c r="C752" s="101" t="s">
        <v>5348</v>
      </c>
      <c r="D752" s="101" t="s">
        <v>2235</v>
      </c>
      <c r="E752" s="73" t="s">
        <v>2340</v>
      </c>
      <c r="F752" s="100" t="s">
        <v>81</v>
      </c>
      <c r="G752" s="72" t="e">
        <f>_xlfn.TEXTJOIN(", ",TRUE,B752,#REF!,#REF!,#REF!,D752,E752)</f>
        <v>#REF!</v>
      </c>
      <c r="H752" s="99"/>
      <c r="I752" s="99"/>
      <c r="J752" s="99"/>
      <c r="K752" s="99"/>
      <c r="L752" s="99"/>
      <c r="M752" s="77">
        <v>0</v>
      </c>
    </row>
    <row r="753" spans="1:13" s="103" customFormat="1" ht="10.9" hidden="1" customHeight="1" x14ac:dyDescent="0.25">
      <c r="A753" s="89" t="s">
        <v>2341</v>
      </c>
      <c r="B753" s="98" t="s">
        <v>2342</v>
      </c>
      <c r="C753" s="101" t="s">
        <v>5348</v>
      </c>
      <c r="D753" s="101" t="s">
        <v>2235</v>
      </c>
      <c r="E753" s="73" t="s">
        <v>2343</v>
      </c>
      <c r="F753" s="100" t="s">
        <v>282</v>
      </c>
      <c r="G753" s="72" t="e">
        <f>_xlfn.TEXTJOIN(", ",TRUE,B753,#REF!,#REF!,#REF!,D753,E753)</f>
        <v>#REF!</v>
      </c>
      <c r="H753" s="99">
        <v>45837</v>
      </c>
      <c r="I753" s="99"/>
      <c r="J753" s="99"/>
      <c r="K753" s="99"/>
      <c r="L753" s="99"/>
      <c r="M753" s="77" t="s">
        <v>88</v>
      </c>
    </row>
    <row r="754" spans="1:13" s="103" customFormat="1" ht="10.9" hidden="1" customHeight="1" x14ac:dyDescent="0.25">
      <c r="A754" s="89" t="s">
        <v>2344</v>
      </c>
      <c r="B754" s="98" t="s">
        <v>2345</v>
      </c>
      <c r="C754" s="101" t="s">
        <v>5348</v>
      </c>
      <c r="D754" s="101" t="s">
        <v>2235</v>
      </c>
      <c r="E754" s="73" t="s">
        <v>2346</v>
      </c>
      <c r="F754" s="100" t="s">
        <v>98</v>
      </c>
      <c r="G754" s="72" t="e">
        <f>_xlfn.TEXTJOIN(", ",TRUE,B754,#REF!,#REF!,#REF!,D754,E754)</f>
        <v>#REF!</v>
      </c>
      <c r="H754" s="99"/>
      <c r="I754" s="99"/>
      <c r="J754" s="99"/>
      <c r="K754" s="99"/>
      <c r="L754" s="99"/>
      <c r="M754" s="77">
        <v>0</v>
      </c>
    </row>
    <row r="755" spans="1:13" s="103" customFormat="1" ht="10.9" hidden="1" customHeight="1" x14ac:dyDescent="0.25">
      <c r="A755" s="89" t="s">
        <v>2347</v>
      </c>
      <c r="B755" s="98" t="s">
        <v>2348</v>
      </c>
      <c r="C755" s="101" t="s">
        <v>5348</v>
      </c>
      <c r="D755" s="101" t="s">
        <v>2235</v>
      </c>
      <c r="E755" s="73" t="s">
        <v>2318</v>
      </c>
      <c r="F755" s="100" t="s">
        <v>98</v>
      </c>
      <c r="G755" s="72" t="e">
        <f>_xlfn.TEXTJOIN(", ",TRUE,B755,#REF!,#REF!,#REF!,D755,E755)</f>
        <v>#REF!</v>
      </c>
      <c r="H755" s="99">
        <v>45736</v>
      </c>
      <c r="I755" s="99"/>
      <c r="J755" s="99"/>
      <c r="K755" s="99"/>
      <c r="L755" s="99"/>
      <c r="M755" s="77" t="s">
        <v>2349</v>
      </c>
    </row>
    <row r="756" spans="1:13" s="103" customFormat="1" ht="10.9" hidden="1" customHeight="1" x14ac:dyDescent="0.25">
      <c r="A756" s="89" t="s">
        <v>2350</v>
      </c>
      <c r="B756" s="98" t="s">
        <v>2351</v>
      </c>
      <c r="C756" s="101" t="s">
        <v>5348</v>
      </c>
      <c r="D756" s="101" t="s">
        <v>2235</v>
      </c>
      <c r="E756" s="73" t="s">
        <v>2235</v>
      </c>
      <c r="F756" s="100" t="s">
        <v>98</v>
      </c>
      <c r="G756" s="72" t="e">
        <f>_xlfn.TEXTJOIN(", ",TRUE,B756,#REF!,#REF!,#REF!,D756,E756)</f>
        <v>#REF!</v>
      </c>
      <c r="H756" s="99">
        <v>45603</v>
      </c>
      <c r="I756" s="99"/>
      <c r="J756" s="99"/>
      <c r="K756" s="99">
        <v>45603</v>
      </c>
      <c r="L756" s="99">
        <v>44833</v>
      </c>
      <c r="M756" s="77" t="s">
        <v>88</v>
      </c>
    </row>
    <row r="757" spans="1:13" s="103" customFormat="1" ht="10.9" hidden="1" customHeight="1" x14ac:dyDescent="0.25">
      <c r="A757" s="89" t="s">
        <v>2352</v>
      </c>
      <c r="B757" s="104" t="s">
        <v>2353</v>
      </c>
      <c r="C757" s="101" t="s">
        <v>5348</v>
      </c>
      <c r="D757" s="101" t="s">
        <v>2235</v>
      </c>
      <c r="E757" s="74" t="s">
        <v>2354</v>
      </c>
      <c r="F757" s="100" t="s">
        <v>98</v>
      </c>
      <c r="G757" s="72" t="e">
        <f>_xlfn.TEXTJOIN(", ",TRUE,B757,#REF!,#REF!,#REF!,D757,E757)</f>
        <v>#REF!</v>
      </c>
      <c r="H757" s="99"/>
      <c r="I757" s="99"/>
      <c r="J757" s="99"/>
      <c r="K757" s="99"/>
      <c r="L757" s="99"/>
      <c r="M757" s="77">
        <v>0</v>
      </c>
    </row>
    <row r="758" spans="1:13" s="103" customFormat="1" ht="10.9" hidden="1" customHeight="1" x14ac:dyDescent="0.25">
      <c r="A758" s="89" t="s">
        <v>2355</v>
      </c>
      <c r="B758" s="98" t="s">
        <v>2356</v>
      </c>
      <c r="C758" s="101" t="s">
        <v>5348</v>
      </c>
      <c r="D758" s="101" t="s">
        <v>2235</v>
      </c>
      <c r="E758" s="73" t="s">
        <v>2318</v>
      </c>
      <c r="F758" s="100" t="s">
        <v>130</v>
      </c>
      <c r="G758" s="72" t="e">
        <f>_xlfn.TEXTJOIN(", ",TRUE,B758,#REF!,#REF!,#REF!,D758,E758)</f>
        <v>#REF!</v>
      </c>
      <c r="H758" s="99">
        <v>45370</v>
      </c>
      <c r="I758" s="99"/>
      <c r="J758" s="99"/>
      <c r="K758" s="99"/>
      <c r="L758" s="99"/>
      <c r="M758" s="77" t="s">
        <v>2357</v>
      </c>
    </row>
    <row r="759" spans="1:13" s="103" customFormat="1" ht="10.9" hidden="1" customHeight="1" x14ac:dyDescent="0.25">
      <c r="A759" s="89" t="s">
        <v>2358</v>
      </c>
      <c r="B759" s="98" t="s">
        <v>2359</v>
      </c>
      <c r="C759" s="101" t="s">
        <v>5348</v>
      </c>
      <c r="D759" s="101" t="s">
        <v>2235</v>
      </c>
      <c r="E759" s="74" t="s">
        <v>2360</v>
      </c>
      <c r="F759" s="100" t="s">
        <v>98</v>
      </c>
      <c r="G759" s="72" t="e">
        <f>_xlfn.TEXTJOIN(", ",TRUE,B759,#REF!,#REF!,#REF!,D759,E759)</f>
        <v>#REF!</v>
      </c>
      <c r="H759" s="99">
        <v>45387</v>
      </c>
      <c r="I759" s="99"/>
      <c r="J759" s="99"/>
      <c r="K759" s="99"/>
      <c r="L759" s="99"/>
      <c r="M759" s="77" t="s">
        <v>88</v>
      </c>
    </row>
    <row r="760" spans="1:13" s="103" customFormat="1" ht="10.9" hidden="1" customHeight="1" x14ac:dyDescent="0.25">
      <c r="A760" s="89" t="s">
        <v>2361</v>
      </c>
      <c r="B760" s="104" t="s">
        <v>2362</v>
      </c>
      <c r="C760" s="101" t="s">
        <v>5348</v>
      </c>
      <c r="D760" s="101" t="s">
        <v>2235</v>
      </c>
      <c r="E760" s="73" t="s">
        <v>2235</v>
      </c>
      <c r="F760" s="100" t="s">
        <v>81</v>
      </c>
      <c r="G760" s="72" t="e">
        <f>_xlfn.TEXTJOIN(", ",TRUE,B760,#REF!,#REF!,#REF!,D760,E760)</f>
        <v>#REF!</v>
      </c>
      <c r="H760" s="99"/>
      <c r="I760" s="99"/>
      <c r="J760" s="99"/>
      <c r="K760" s="99"/>
      <c r="L760" s="99"/>
      <c r="M760" s="77" t="s">
        <v>88</v>
      </c>
    </row>
    <row r="761" spans="1:13" s="103" customFormat="1" ht="10.9" hidden="1" customHeight="1" x14ac:dyDescent="0.25">
      <c r="A761" s="89" t="s">
        <v>2363</v>
      </c>
      <c r="B761" s="98" t="s">
        <v>2364</v>
      </c>
      <c r="C761" s="101" t="s">
        <v>5348</v>
      </c>
      <c r="D761" s="101" t="s">
        <v>2235</v>
      </c>
      <c r="E761" s="73" t="s">
        <v>2365</v>
      </c>
      <c r="F761" s="100" t="s">
        <v>81</v>
      </c>
      <c r="G761" s="72" t="e">
        <f>_xlfn.TEXTJOIN(", ",TRUE,B761,#REF!,#REF!,#REF!,D761,E761)</f>
        <v>#REF!</v>
      </c>
      <c r="H761" s="99">
        <v>45490</v>
      </c>
      <c r="I761" s="99"/>
      <c r="J761" s="99"/>
      <c r="K761" s="99"/>
      <c r="L761" s="99"/>
      <c r="M761" s="77" t="s">
        <v>88</v>
      </c>
    </row>
    <row r="762" spans="1:13" s="103" customFormat="1" ht="10.9" hidden="1" customHeight="1" x14ac:dyDescent="0.25">
      <c r="A762" s="89" t="s">
        <v>2366</v>
      </c>
      <c r="B762" s="98" t="s">
        <v>2367</v>
      </c>
      <c r="C762" s="101" t="s">
        <v>5348</v>
      </c>
      <c r="D762" s="101" t="s">
        <v>2235</v>
      </c>
      <c r="E762" s="73" t="s">
        <v>2368</v>
      </c>
      <c r="F762" s="100" t="s">
        <v>98</v>
      </c>
      <c r="G762" s="72" t="e">
        <f>_xlfn.TEXTJOIN(", ",TRUE,B762,#REF!,#REF!,#REF!,D762,E762)</f>
        <v>#REF!</v>
      </c>
      <c r="H762" s="99">
        <v>45723</v>
      </c>
      <c r="I762" s="99"/>
      <c r="J762" s="99"/>
      <c r="K762" s="99"/>
      <c r="L762" s="99"/>
      <c r="M762" s="77" t="s">
        <v>2369</v>
      </c>
    </row>
    <row r="763" spans="1:13" s="103" customFormat="1" ht="10.9" hidden="1" customHeight="1" x14ac:dyDescent="0.25">
      <c r="A763" s="89" t="s">
        <v>2370</v>
      </c>
      <c r="B763" s="98" t="s">
        <v>2371</v>
      </c>
      <c r="C763" s="101" t="s">
        <v>5348</v>
      </c>
      <c r="D763" s="101" t="s">
        <v>2235</v>
      </c>
      <c r="E763" s="73" t="s">
        <v>2235</v>
      </c>
      <c r="F763" s="100" t="s">
        <v>1032</v>
      </c>
      <c r="G763" s="72" t="e">
        <f>_xlfn.TEXTJOIN(", ",TRUE,B763,#REF!,#REF!,#REF!,D763,E763)</f>
        <v>#REF!</v>
      </c>
      <c r="H763" s="99"/>
      <c r="I763" s="99"/>
      <c r="J763" s="99"/>
      <c r="K763" s="99"/>
      <c r="L763" s="99"/>
      <c r="M763" s="77" t="s">
        <v>2372</v>
      </c>
    </row>
    <row r="764" spans="1:13" s="103" customFormat="1" ht="10.9" hidden="1" customHeight="1" x14ac:dyDescent="0.25">
      <c r="A764" s="89" t="s">
        <v>2373</v>
      </c>
      <c r="B764" s="98" t="s">
        <v>2374</v>
      </c>
      <c r="C764" s="101" t="s">
        <v>5349</v>
      </c>
      <c r="D764" s="101" t="s">
        <v>2235</v>
      </c>
      <c r="E764" s="73" t="s">
        <v>2235</v>
      </c>
      <c r="F764" s="100" t="s">
        <v>81</v>
      </c>
      <c r="G764" s="72" t="e">
        <f>_xlfn.TEXTJOIN(", ",TRUE,B764,#REF!,#REF!,#REF!,D764,E764)</f>
        <v>#REF!</v>
      </c>
      <c r="H764" s="99"/>
      <c r="I764" s="99"/>
      <c r="J764" s="99"/>
      <c r="K764" s="99"/>
      <c r="L764" s="99"/>
      <c r="M764" s="77" t="s">
        <v>2375</v>
      </c>
    </row>
    <row r="765" spans="1:13" s="103" customFormat="1" ht="10.9" hidden="1" customHeight="1" x14ac:dyDescent="0.25">
      <c r="A765" s="89" t="s">
        <v>2376</v>
      </c>
      <c r="B765" s="98" t="s">
        <v>2377</v>
      </c>
      <c r="C765" s="101" t="s">
        <v>5349</v>
      </c>
      <c r="D765" s="101" t="s">
        <v>2235</v>
      </c>
      <c r="E765" s="73" t="s">
        <v>2378</v>
      </c>
      <c r="F765" s="100" t="s">
        <v>81</v>
      </c>
      <c r="G765" s="72" t="e">
        <f>_xlfn.TEXTJOIN(", ",TRUE,B765,#REF!,#REF!,#REF!,D765,E765)</f>
        <v>#REF!</v>
      </c>
      <c r="H765" s="99">
        <v>45385</v>
      </c>
      <c r="I765" s="99">
        <v>45223</v>
      </c>
      <c r="J765" s="99"/>
      <c r="K765" s="99"/>
      <c r="L765" s="99"/>
      <c r="M765" s="77" t="s">
        <v>586</v>
      </c>
    </row>
    <row r="766" spans="1:13" s="103" customFormat="1" ht="10.9" hidden="1" customHeight="1" x14ac:dyDescent="0.25">
      <c r="A766" s="89" t="s">
        <v>2379</v>
      </c>
      <c r="B766" s="98" t="s">
        <v>2380</v>
      </c>
      <c r="C766" s="101" t="s">
        <v>5348</v>
      </c>
      <c r="D766" s="101" t="s">
        <v>2381</v>
      </c>
      <c r="E766" s="73" t="s">
        <v>2382</v>
      </c>
      <c r="F766" s="100" t="s">
        <v>449</v>
      </c>
      <c r="G766" s="72" t="e">
        <f>_xlfn.TEXTJOIN(", ",TRUE,B766,#REF!,#REF!,#REF!,D766,E766)</f>
        <v>#REF!</v>
      </c>
      <c r="H766" s="99">
        <v>45427</v>
      </c>
      <c r="I766" s="99">
        <v>45126</v>
      </c>
      <c r="J766" s="99"/>
      <c r="K766" s="99">
        <v>45426</v>
      </c>
      <c r="L766" s="99">
        <v>45442</v>
      </c>
      <c r="M766" s="77" t="s">
        <v>2383</v>
      </c>
    </row>
    <row r="767" spans="1:13" s="103" customFormat="1" ht="10.9" hidden="1" customHeight="1" x14ac:dyDescent="0.25">
      <c r="A767" s="89" t="s">
        <v>2384</v>
      </c>
      <c r="B767" s="102" t="s">
        <v>2385</v>
      </c>
      <c r="C767" s="101" t="s">
        <v>5348</v>
      </c>
      <c r="D767" s="101" t="s">
        <v>2381</v>
      </c>
      <c r="E767" s="73" t="s">
        <v>2381</v>
      </c>
      <c r="F767" s="100" t="s">
        <v>118</v>
      </c>
      <c r="G767" s="72" t="e">
        <f>_xlfn.TEXTJOIN(", ",TRUE,B767,#REF!,#REF!,#REF!,D767,E767)</f>
        <v>#REF!</v>
      </c>
      <c r="H767" s="99">
        <v>45553</v>
      </c>
      <c r="I767" s="99"/>
      <c r="J767" s="99"/>
      <c r="K767" s="99"/>
      <c r="L767" s="99"/>
      <c r="M767" s="77">
        <v>0</v>
      </c>
    </row>
    <row r="768" spans="1:13" s="103" customFormat="1" ht="10.9" hidden="1" customHeight="1" x14ac:dyDescent="0.25">
      <c r="A768" s="89" t="s">
        <v>2386</v>
      </c>
      <c r="B768" s="98" t="s">
        <v>2387</v>
      </c>
      <c r="C768" s="101" t="s">
        <v>5348</v>
      </c>
      <c r="D768" s="101" t="s">
        <v>2381</v>
      </c>
      <c r="E768" s="73" t="s">
        <v>2381</v>
      </c>
      <c r="F768" s="100" t="s">
        <v>118</v>
      </c>
      <c r="G768" s="72" t="e">
        <f>_xlfn.TEXTJOIN(", ",TRUE,B768,#REF!,#REF!,#REF!,D768,E768)</f>
        <v>#REF!</v>
      </c>
      <c r="H768" s="99">
        <v>45325</v>
      </c>
      <c r="I768" s="99"/>
      <c r="J768" s="99"/>
      <c r="K768" s="99"/>
      <c r="L768" s="99"/>
      <c r="M768" s="77" t="s">
        <v>88</v>
      </c>
    </row>
    <row r="769" spans="1:13" s="103" customFormat="1" ht="10.9" hidden="1" customHeight="1" x14ac:dyDescent="0.25">
      <c r="A769" s="89" t="s">
        <v>2388</v>
      </c>
      <c r="B769" s="98" t="s">
        <v>2389</v>
      </c>
      <c r="C769" s="101" t="s">
        <v>5348</v>
      </c>
      <c r="D769" s="101" t="s">
        <v>2381</v>
      </c>
      <c r="E769" s="73" t="s">
        <v>88</v>
      </c>
      <c r="F769" s="100" t="s">
        <v>98</v>
      </c>
      <c r="G769" s="72" t="e">
        <f>_xlfn.TEXTJOIN(", ",TRUE,B769,#REF!,#REF!,#REF!,D769,E769)</f>
        <v>#REF!</v>
      </c>
      <c r="H769" s="99"/>
      <c r="I769" s="99"/>
      <c r="J769" s="99"/>
      <c r="K769" s="99"/>
      <c r="L769" s="99"/>
      <c r="M769" s="77" t="s">
        <v>2390</v>
      </c>
    </row>
    <row r="770" spans="1:13" s="103" customFormat="1" ht="10.9" hidden="1" customHeight="1" x14ac:dyDescent="0.25">
      <c r="A770" s="89" t="s">
        <v>2391</v>
      </c>
      <c r="B770" s="98" t="s">
        <v>2392</v>
      </c>
      <c r="C770" s="101" t="s">
        <v>5348</v>
      </c>
      <c r="D770" s="101" t="s">
        <v>2381</v>
      </c>
      <c r="E770" s="73" t="s">
        <v>2381</v>
      </c>
      <c r="F770" s="100" t="s">
        <v>130</v>
      </c>
      <c r="G770" s="72" t="e">
        <f>_xlfn.TEXTJOIN(", ",TRUE,B770,#REF!,#REF!,#REF!,D770,E770)</f>
        <v>#REF!</v>
      </c>
      <c r="H770" s="99"/>
      <c r="I770" s="99"/>
      <c r="J770" s="99"/>
      <c r="K770" s="99"/>
      <c r="L770" s="99"/>
      <c r="M770" s="77">
        <v>0</v>
      </c>
    </row>
    <row r="771" spans="1:13" s="103" customFormat="1" ht="10.9" hidden="1" customHeight="1" x14ac:dyDescent="0.25">
      <c r="A771" s="89" t="s">
        <v>2393</v>
      </c>
      <c r="B771" s="98" t="s">
        <v>2394</v>
      </c>
      <c r="C771" s="101" t="s">
        <v>5349</v>
      </c>
      <c r="D771" s="101" t="s">
        <v>2395</v>
      </c>
      <c r="E771" s="73" t="s">
        <v>2395</v>
      </c>
      <c r="F771" s="100" t="s">
        <v>81</v>
      </c>
      <c r="G771" s="72" t="e">
        <f>_xlfn.TEXTJOIN(", ",TRUE,B771,#REF!,#REF!,#REF!,D771,E771)</f>
        <v>#REF!</v>
      </c>
      <c r="H771" s="99">
        <v>45247</v>
      </c>
      <c r="I771" s="99"/>
      <c r="J771" s="99"/>
      <c r="K771" s="99"/>
      <c r="L771" s="99"/>
      <c r="M771" s="77">
        <v>0</v>
      </c>
    </row>
    <row r="772" spans="1:13" s="103" customFormat="1" ht="10.9" hidden="1" customHeight="1" x14ac:dyDescent="0.25">
      <c r="A772" s="89" t="s">
        <v>2396</v>
      </c>
      <c r="B772" s="104" t="s">
        <v>2397</v>
      </c>
      <c r="C772" s="101" t="s">
        <v>5349</v>
      </c>
      <c r="D772" s="101" t="s">
        <v>2398</v>
      </c>
      <c r="E772" s="73" t="s">
        <v>2399</v>
      </c>
      <c r="F772" s="100" t="s">
        <v>98</v>
      </c>
      <c r="G772" s="72" t="e">
        <f>_xlfn.TEXTJOIN(", ",TRUE,B772,#REF!,#REF!,#REF!,D772,E772)</f>
        <v>#REF!</v>
      </c>
      <c r="H772" s="99"/>
      <c r="I772" s="99"/>
      <c r="J772" s="99"/>
      <c r="K772" s="99"/>
      <c r="L772" s="99"/>
      <c r="M772" s="77" t="s">
        <v>2400</v>
      </c>
    </row>
    <row r="773" spans="1:13" s="103" customFormat="1" ht="10.9" hidden="1" customHeight="1" x14ac:dyDescent="0.25">
      <c r="A773" s="89" t="s">
        <v>2401</v>
      </c>
      <c r="B773" s="98" t="s">
        <v>2402</v>
      </c>
      <c r="C773" s="101" t="s">
        <v>5349</v>
      </c>
      <c r="D773" s="101" t="s">
        <v>2403</v>
      </c>
      <c r="E773" s="73" t="s">
        <v>88</v>
      </c>
      <c r="F773" s="100"/>
      <c r="G773" s="72" t="e">
        <f>_xlfn.TEXTJOIN(", ",TRUE,B773,#REF!,#REF!,#REF!,D773,E773)</f>
        <v>#REF!</v>
      </c>
      <c r="H773" s="99"/>
      <c r="I773" s="99"/>
      <c r="J773" s="99"/>
      <c r="K773" s="99"/>
      <c r="L773" s="99"/>
      <c r="M773" s="77" t="s">
        <v>2404</v>
      </c>
    </row>
    <row r="774" spans="1:13" s="103" customFormat="1" ht="10.9" hidden="1" customHeight="1" x14ac:dyDescent="0.25">
      <c r="A774" s="89" t="s">
        <v>2405</v>
      </c>
      <c r="B774" s="98" t="s">
        <v>2406</v>
      </c>
      <c r="C774" s="101" t="s">
        <v>5349</v>
      </c>
      <c r="D774" s="101" t="s">
        <v>2403</v>
      </c>
      <c r="E774" s="73" t="s">
        <v>2407</v>
      </c>
      <c r="F774" s="100" t="s">
        <v>98</v>
      </c>
      <c r="G774" s="72" t="e">
        <f>_xlfn.TEXTJOIN(", ",TRUE,B774,#REF!,#REF!,#REF!,D774,E774)</f>
        <v>#REF!</v>
      </c>
      <c r="H774" s="99"/>
      <c r="I774" s="99"/>
      <c r="J774" s="99"/>
      <c r="K774" s="99"/>
      <c r="L774" s="99"/>
      <c r="M774" s="77">
        <v>0</v>
      </c>
    </row>
    <row r="775" spans="1:13" s="103" customFormat="1" ht="10.9" hidden="1" customHeight="1" x14ac:dyDescent="0.25">
      <c r="A775" s="89" t="s">
        <v>2408</v>
      </c>
      <c r="B775" s="104" t="s">
        <v>2409</v>
      </c>
      <c r="C775" s="101" t="s">
        <v>5349</v>
      </c>
      <c r="D775" s="101" t="s">
        <v>2403</v>
      </c>
      <c r="E775" s="73" t="s">
        <v>88</v>
      </c>
      <c r="F775" s="100" t="s">
        <v>98</v>
      </c>
      <c r="G775" s="72" t="e">
        <f>_xlfn.TEXTJOIN(", ",TRUE,B775,#REF!,#REF!,#REF!,D775,E775)</f>
        <v>#REF!</v>
      </c>
      <c r="H775" s="99"/>
      <c r="I775" s="99"/>
      <c r="J775" s="99"/>
      <c r="K775" s="99"/>
      <c r="L775" s="99"/>
      <c r="M775" s="77" t="s">
        <v>2410</v>
      </c>
    </row>
    <row r="776" spans="1:13" s="103" customFormat="1" ht="10.9" hidden="1" customHeight="1" x14ac:dyDescent="0.25">
      <c r="A776" s="89" t="s">
        <v>2411</v>
      </c>
      <c r="B776" s="98" t="s">
        <v>2412</v>
      </c>
      <c r="C776" s="101" t="s">
        <v>5349</v>
      </c>
      <c r="D776" s="101" t="s">
        <v>2403</v>
      </c>
      <c r="E776" s="73" t="s">
        <v>2413</v>
      </c>
      <c r="F776" s="100" t="s">
        <v>81</v>
      </c>
      <c r="G776" s="72" t="e">
        <f>_xlfn.TEXTJOIN(", ",TRUE,B776,#REF!,#REF!,#REF!,D776,E776)</f>
        <v>#REF!</v>
      </c>
      <c r="H776" s="99"/>
      <c r="I776" s="99"/>
      <c r="J776" s="99"/>
      <c r="K776" s="99"/>
      <c r="L776" s="99"/>
      <c r="M776" s="77" t="s">
        <v>2414</v>
      </c>
    </row>
    <row r="777" spans="1:13" s="103" customFormat="1" ht="10.9" hidden="1" customHeight="1" x14ac:dyDescent="0.25">
      <c r="A777" s="89" t="s">
        <v>2415</v>
      </c>
      <c r="B777" s="98" t="s">
        <v>2416</v>
      </c>
      <c r="C777" s="101" t="s">
        <v>5349</v>
      </c>
      <c r="D777" s="101" t="s">
        <v>2403</v>
      </c>
      <c r="E777" s="73" t="s">
        <v>2417</v>
      </c>
      <c r="F777" s="100" t="s">
        <v>81</v>
      </c>
      <c r="G777" s="72" t="e">
        <f>_xlfn.TEXTJOIN(", ",TRUE,B777,#REF!,#REF!,#REF!,D777,E777)</f>
        <v>#REF!</v>
      </c>
      <c r="H777" s="99"/>
      <c r="I777" s="99"/>
      <c r="J777" s="99"/>
      <c r="K777" s="99"/>
      <c r="L777" s="99"/>
      <c r="M777" s="77">
        <v>0</v>
      </c>
    </row>
    <row r="778" spans="1:13" s="103" customFormat="1" ht="10.9" hidden="1" customHeight="1" x14ac:dyDescent="0.25">
      <c r="A778" s="89" t="s">
        <v>2418</v>
      </c>
      <c r="B778" s="98" t="s">
        <v>2419</v>
      </c>
      <c r="C778" s="101" t="s">
        <v>5349</v>
      </c>
      <c r="D778" s="101" t="s">
        <v>2403</v>
      </c>
      <c r="E778" s="73" t="s">
        <v>2403</v>
      </c>
      <c r="F778" s="100" t="s">
        <v>81</v>
      </c>
      <c r="G778" s="72" t="e">
        <f>_xlfn.TEXTJOIN(", ",TRUE,B778,#REF!,#REF!,#REF!,D778,E778)</f>
        <v>#REF!</v>
      </c>
      <c r="H778" s="99"/>
      <c r="I778" s="99"/>
      <c r="J778" s="99"/>
      <c r="K778" s="99"/>
      <c r="L778" s="99"/>
      <c r="M778" s="77">
        <v>0</v>
      </c>
    </row>
    <row r="779" spans="1:13" s="103" customFormat="1" ht="10.9" hidden="1" customHeight="1" x14ac:dyDescent="0.25">
      <c r="A779" s="89" t="s">
        <v>2420</v>
      </c>
      <c r="B779" s="98" t="s">
        <v>2421</v>
      </c>
      <c r="C779" s="101" t="s">
        <v>5349</v>
      </c>
      <c r="D779" s="101" t="s">
        <v>2403</v>
      </c>
      <c r="E779" s="73" t="s">
        <v>2422</v>
      </c>
      <c r="F779" s="100" t="s">
        <v>81</v>
      </c>
      <c r="G779" s="72" t="e">
        <f>_xlfn.TEXTJOIN(", ",TRUE,B779,#REF!,#REF!,#REF!,D779,E779)</f>
        <v>#REF!</v>
      </c>
      <c r="H779" s="99"/>
      <c r="I779" s="99"/>
      <c r="J779" s="99"/>
      <c r="K779" s="99"/>
      <c r="L779" s="99"/>
      <c r="M779" s="77" t="s">
        <v>88</v>
      </c>
    </row>
    <row r="780" spans="1:13" s="103" customFormat="1" ht="10.9" hidden="1" customHeight="1" x14ac:dyDescent="0.25">
      <c r="A780" s="89" t="s">
        <v>2423</v>
      </c>
      <c r="B780" s="102" t="s">
        <v>2424</v>
      </c>
      <c r="C780" s="101" t="s">
        <v>5349</v>
      </c>
      <c r="D780" s="101" t="s">
        <v>2403</v>
      </c>
      <c r="E780" s="73" t="s">
        <v>2403</v>
      </c>
      <c r="F780" s="100" t="s">
        <v>81</v>
      </c>
      <c r="G780" s="72" t="e">
        <f>_xlfn.TEXTJOIN(", ",TRUE,B780,#REF!,#REF!,#REF!,D780,E780)</f>
        <v>#REF!</v>
      </c>
      <c r="H780" s="99"/>
      <c r="I780" s="99"/>
      <c r="J780" s="99"/>
      <c r="K780" s="99"/>
      <c r="L780" s="99"/>
      <c r="M780" s="77">
        <v>0</v>
      </c>
    </row>
    <row r="781" spans="1:13" s="103" customFormat="1" ht="10.9" hidden="1" customHeight="1" x14ac:dyDescent="0.25">
      <c r="A781" s="89" t="s">
        <v>2425</v>
      </c>
      <c r="B781" s="104" t="s">
        <v>2426</v>
      </c>
      <c r="C781" s="101" t="s">
        <v>5349</v>
      </c>
      <c r="D781" s="101" t="s">
        <v>2403</v>
      </c>
      <c r="E781" s="73" t="s">
        <v>2427</v>
      </c>
      <c r="F781" s="100" t="s">
        <v>98</v>
      </c>
      <c r="G781" s="72" t="e">
        <f>_xlfn.TEXTJOIN(", ",TRUE,B781,#REF!,#REF!,#REF!,D781,E781)</f>
        <v>#REF!</v>
      </c>
      <c r="H781" s="99"/>
      <c r="I781" s="99"/>
      <c r="J781" s="99"/>
      <c r="K781" s="99"/>
      <c r="L781" s="99"/>
      <c r="M781" s="77">
        <v>0</v>
      </c>
    </row>
    <row r="782" spans="1:13" s="103" customFormat="1" ht="10.9" hidden="1" customHeight="1" x14ac:dyDescent="0.25">
      <c r="A782" s="89" t="s">
        <v>2428</v>
      </c>
      <c r="B782" s="104" t="s">
        <v>2429</v>
      </c>
      <c r="C782" s="101" t="s">
        <v>5349</v>
      </c>
      <c r="D782" s="101" t="s">
        <v>2403</v>
      </c>
      <c r="E782" s="73" t="s">
        <v>88</v>
      </c>
      <c r="F782" s="100" t="s">
        <v>98</v>
      </c>
      <c r="G782" s="72" t="e">
        <f>_xlfn.TEXTJOIN(", ",TRUE,B782,#REF!,#REF!,#REF!,D782,E782)</f>
        <v>#REF!</v>
      </c>
      <c r="H782" s="99"/>
      <c r="I782" s="99"/>
      <c r="J782" s="99"/>
      <c r="K782" s="99"/>
      <c r="L782" s="99"/>
      <c r="M782" s="77">
        <v>0</v>
      </c>
    </row>
    <row r="783" spans="1:13" s="103" customFormat="1" ht="10.9" hidden="1" customHeight="1" x14ac:dyDescent="0.25">
      <c r="A783" s="89" t="s">
        <v>2430</v>
      </c>
      <c r="B783" s="98" t="s">
        <v>2431</v>
      </c>
      <c r="C783" s="101" t="s">
        <v>5349</v>
      </c>
      <c r="D783" s="101" t="s">
        <v>2432</v>
      </c>
      <c r="E783" s="73" t="s">
        <v>2433</v>
      </c>
      <c r="F783" s="100"/>
      <c r="G783" s="72" t="e">
        <f>_xlfn.TEXTJOIN(", ",TRUE,B783,#REF!,#REF!,#REF!,D783,E783)</f>
        <v>#REF!</v>
      </c>
      <c r="H783" s="99"/>
      <c r="I783" s="99"/>
      <c r="J783" s="99"/>
      <c r="K783" s="99"/>
      <c r="L783" s="99"/>
      <c r="M783" s="77" t="s">
        <v>88</v>
      </c>
    </row>
    <row r="784" spans="1:13" s="103" customFormat="1" ht="10.9" hidden="1" customHeight="1" x14ac:dyDescent="0.25">
      <c r="A784" s="89" t="s">
        <v>2434</v>
      </c>
      <c r="B784" s="104" t="s">
        <v>2435</v>
      </c>
      <c r="C784" s="101" t="s">
        <v>5349</v>
      </c>
      <c r="D784" s="101" t="s">
        <v>2432</v>
      </c>
      <c r="E784" s="73" t="s">
        <v>88</v>
      </c>
      <c r="F784" s="100" t="s">
        <v>98</v>
      </c>
      <c r="G784" s="72" t="e">
        <f>_xlfn.TEXTJOIN(", ",TRUE,B784,#REF!,#REF!,#REF!,D784,E784)</f>
        <v>#REF!</v>
      </c>
      <c r="H784" s="99"/>
      <c r="I784" s="99"/>
      <c r="J784" s="99"/>
      <c r="K784" s="99"/>
      <c r="L784" s="99"/>
      <c r="M784" s="77" t="s">
        <v>2436</v>
      </c>
    </row>
    <row r="785" spans="1:13" s="103" customFormat="1" ht="10.9" hidden="1" customHeight="1" x14ac:dyDescent="0.25">
      <c r="A785" s="89" t="s">
        <v>2437</v>
      </c>
      <c r="B785" s="98" t="s">
        <v>2438</v>
      </c>
      <c r="C785" s="101" t="s">
        <v>5349</v>
      </c>
      <c r="D785" s="101" t="s">
        <v>2439</v>
      </c>
      <c r="E785" s="73" t="s">
        <v>88</v>
      </c>
      <c r="F785" s="100" t="s">
        <v>98</v>
      </c>
      <c r="G785" s="72" t="e">
        <f>_xlfn.TEXTJOIN(", ",TRUE,B785,#REF!,#REF!,#REF!,D785,E785)</f>
        <v>#REF!</v>
      </c>
      <c r="H785" s="99"/>
      <c r="I785" s="99"/>
      <c r="J785" s="99"/>
      <c r="K785" s="99"/>
      <c r="L785" s="99"/>
      <c r="M785" s="77" t="s">
        <v>2440</v>
      </c>
    </row>
    <row r="786" spans="1:13" s="103" customFormat="1" ht="10.9" hidden="1" customHeight="1" x14ac:dyDescent="0.25">
      <c r="A786" s="89" t="s">
        <v>2441</v>
      </c>
      <c r="B786" s="104" t="s">
        <v>2442</v>
      </c>
      <c r="C786" s="101" t="s">
        <v>5349</v>
      </c>
      <c r="D786" s="101" t="s">
        <v>2439</v>
      </c>
      <c r="E786" s="73" t="s">
        <v>2443</v>
      </c>
      <c r="F786" s="100" t="s">
        <v>98</v>
      </c>
      <c r="G786" s="72" t="e">
        <f>_xlfn.TEXTJOIN(", ",TRUE,B786,#REF!,#REF!,#REF!,D786,E786)</f>
        <v>#REF!</v>
      </c>
      <c r="H786" s="99"/>
      <c r="I786" s="99"/>
      <c r="J786" s="99"/>
      <c r="K786" s="99"/>
      <c r="L786" s="99"/>
      <c r="M786" s="77" t="s">
        <v>88</v>
      </c>
    </row>
    <row r="787" spans="1:13" s="103" customFormat="1" ht="10.9" hidden="1" customHeight="1" x14ac:dyDescent="0.25">
      <c r="A787" s="89" t="s">
        <v>2444</v>
      </c>
      <c r="B787" s="98" t="s">
        <v>2445</v>
      </c>
      <c r="C787" s="101" t="s">
        <v>5349</v>
      </c>
      <c r="D787" s="101" t="s">
        <v>2446</v>
      </c>
      <c r="E787" s="73" t="s">
        <v>88</v>
      </c>
      <c r="F787" s="100" t="s">
        <v>98</v>
      </c>
      <c r="G787" s="72" t="e">
        <f>_xlfn.TEXTJOIN(", ",TRUE,B787,#REF!,#REF!,#REF!,D787,E787)</f>
        <v>#REF!</v>
      </c>
      <c r="H787" s="99"/>
      <c r="I787" s="99"/>
      <c r="J787" s="99"/>
      <c r="K787" s="99"/>
      <c r="L787" s="99"/>
      <c r="M787" s="77" t="s">
        <v>159</v>
      </c>
    </row>
    <row r="788" spans="1:13" s="103" customFormat="1" ht="10.9" hidden="1" customHeight="1" x14ac:dyDescent="0.25">
      <c r="A788" s="89" t="s">
        <v>2447</v>
      </c>
      <c r="B788" s="98" t="s">
        <v>2448</v>
      </c>
      <c r="C788" s="101" t="s">
        <v>5349</v>
      </c>
      <c r="D788" s="101" t="s">
        <v>2446</v>
      </c>
      <c r="E788" s="73" t="s">
        <v>88</v>
      </c>
      <c r="F788" s="100" t="s">
        <v>98</v>
      </c>
      <c r="G788" s="72" t="e">
        <f>_xlfn.TEXTJOIN(", ",TRUE,B788,#REF!,#REF!,#REF!,D788,E788)</f>
        <v>#REF!</v>
      </c>
      <c r="H788" s="99"/>
      <c r="I788" s="99"/>
      <c r="J788" s="99"/>
      <c r="K788" s="99"/>
      <c r="L788" s="99"/>
      <c r="M788" s="77">
        <v>0</v>
      </c>
    </row>
    <row r="789" spans="1:13" s="103" customFormat="1" ht="10.9" hidden="1" customHeight="1" x14ac:dyDescent="0.25">
      <c r="A789" s="89" t="s">
        <v>2449</v>
      </c>
      <c r="B789" s="98" t="s">
        <v>2450</v>
      </c>
      <c r="C789" s="101" t="s">
        <v>5349</v>
      </c>
      <c r="D789" s="101" t="s">
        <v>2446</v>
      </c>
      <c r="E789" s="73" t="s">
        <v>2446</v>
      </c>
      <c r="F789" s="100" t="s">
        <v>81</v>
      </c>
      <c r="G789" s="72" t="e">
        <f>_xlfn.TEXTJOIN(", ",TRUE,B789,#REF!,#REF!,#REF!,D789,E789)</f>
        <v>#REF!</v>
      </c>
      <c r="H789" s="99">
        <v>45595</v>
      </c>
      <c r="I789" s="99"/>
      <c r="J789" s="99"/>
      <c r="K789" s="99"/>
      <c r="L789" s="99">
        <v>45595</v>
      </c>
      <c r="M789" s="77">
        <v>0</v>
      </c>
    </row>
    <row r="790" spans="1:13" s="103" customFormat="1" ht="10.9" hidden="1" customHeight="1" x14ac:dyDescent="0.25">
      <c r="A790" s="89" t="s">
        <v>2451</v>
      </c>
      <c r="B790" s="98" t="s">
        <v>2452</v>
      </c>
      <c r="C790" s="101" t="s">
        <v>5349</v>
      </c>
      <c r="D790" s="101" t="s">
        <v>2453</v>
      </c>
      <c r="E790" s="73" t="s">
        <v>2453</v>
      </c>
      <c r="F790" s="100" t="s">
        <v>130</v>
      </c>
      <c r="G790" s="72" t="e">
        <f>_xlfn.TEXTJOIN(", ",TRUE,B790,#REF!,#REF!,#REF!,D790,E790)</f>
        <v>#REF!</v>
      </c>
      <c r="H790" s="99">
        <v>44884</v>
      </c>
      <c r="I790" s="99"/>
      <c r="J790" s="99"/>
      <c r="K790" s="99"/>
      <c r="L790" s="99"/>
      <c r="M790" s="77">
        <v>0</v>
      </c>
    </row>
    <row r="791" spans="1:13" s="103" customFormat="1" ht="10.9" hidden="1" customHeight="1" x14ac:dyDescent="0.25">
      <c r="A791" s="89" t="s">
        <v>2454</v>
      </c>
      <c r="B791" s="104" t="s">
        <v>2455</v>
      </c>
      <c r="C791" s="101" t="s">
        <v>5349</v>
      </c>
      <c r="D791" s="101" t="s">
        <v>2456</v>
      </c>
      <c r="E791" s="73" t="s">
        <v>88</v>
      </c>
      <c r="F791" s="100" t="s">
        <v>98</v>
      </c>
      <c r="G791" s="72" t="e">
        <f>_xlfn.TEXTJOIN(", ",TRUE,B791,#REF!,#REF!,#REF!,D791,E791)</f>
        <v>#REF!</v>
      </c>
      <c r="H791" s="99"/>
      <c r="I791" s="99"/>
      <c r="J791" s="99"/>
      <c r="K791" s="99"/>
      <c r="L791" s="99"/>
      <c r="M791" s="77" t="s">
        <v>88</v>
      </c>
    </row>
    <row r="792" spans="1:13" s="103" customFormat="1" ht="10.9" customHeight="1" x14ac:dyDescent="0.25">
      <c r="A792" s="89" t="s">
        <v>2457</v>
      </c>
      <c r="B792" s="98" t="s">
        <v>2458</v>
      </c>
      <c r="C792" s="101" t="s">
        <v>5347</v>
      </c>
      <c r="D792" s="101" t="s">
        <v>2459</v>
      </c>
      <c r="E792" s="73" t="s">
        <v>2459</v>
      </c>
      <c r="F792" s="100" t="s">
        <v>98</v>
      </c>
      <c r="G792" s="72" t="e">
        <f>_xlfn.TEXTJOIN(", ",TRUE,B792,#REF!,#REF!,#REF!,D792,E792)</f>
        <v>#REF!</v>
      </c>
      <c r="H792" s="99">
        <v>45625</v>
      </c>
      <c r="I792" s="99"/>
      <c r="J792" s="99"/>
      <c r="K792" s="99"/>
      <c r="L792" s="99"/>
      <c r="M792" s="77" t="s">
        <v>2460</v>
      </c>
    </row>
    <row r="793" spans="1:13" s="103" customFormat="1" ht="10.9" customHeight="1" x14ac:dyDescent="0.25">
      <c r="A793" s="89" t="s">
        <v>2461</v>
      </c>
      <c r="B793" s="98" t="s">
        <v>2462</v>
      </c>
      <c r="C793" s="101" t="s">
        <v>5347</v>
      </c>
      <c r="D793" s="101" t="s">
        <v>2459</v>
      </c>
      <c r="E793" s="73" t="s">
        <v>2459</v>
      </c>
      <c r="F793" s="100" t="s">
        <v>81</v>
      </c>
      <c r="G793" s="72" t="e">
        <f>_xlfn.TEXTJOIN(", ",TRUE,B793,#REF!,#REF!,#REF!,D793,E793)</f>
        <v>#REF!</v>
      </c>
      <c r="H793" s="99"/>
      <c r="I793" s="99"/>
      <c r="J793" s="99"/>
      <c r="K793" s="99"/>
      <c r="L793" s="99"/>
      <c r="M793" s="77" t="s">
        <v>2463</v>
      </c>
    </row>
    <row r="794" spans="1:13" s="103" customFormat="1" ht="10.9" customHeight="1" x14ac:dyDescent="0.25">
      <c r="A794" s="89" t="s">
        <v>2464</v>
      </c>
      <c r="B794" s="98" t="s">
        <v>2465</v>
      </c>
      <c r="C794" s="101" t="s">
        <v>5347</v>
      </c>
      <c r="D794" s="101" t="s">
        <v>2459</v>
      </c>
      <c r="E794" s="73" t="s">
        <v>2459</v>
      </c>
      <c r="F794" s="100" t="s">
        <v>98</v>
      </c>
      <c r="G794" s="72" t="e">
        <f>_xlfn.TEXTJOIN(", ",TRUE,B794,#REF!,#REF!,#REF!,D794,E794)</f>
        <v>#REF!</v>
      </c>
      <c r="H794" s="99"/>
      <c r="I794" s="99"/>
      <c r="J794" s="99"/>
      <c r="K794" s="99"/>
      <c r="L794" s="99"/>
      <c r="M794" s="77">
        <v>0</v>
      </c>
    </row>
    <row r="795" spans="1:13" s="103" customFormat="1" ht="10.9" customHeight="1" x14ac:dyDescent="0.25">
      <c r="A795" s="89" t="s">
        <v>2466</v>
      </c>
      <c r="B795" s="98" t="s">
        <v>2467</v>
      </c>
      <c r="C795" s="101" t="s">
        <v>5347</v>
      </c>
      <c r="D795" s="101" t="s">
        <v>2459</v>
      </c>
      <c r="E795" s="73" t="s">
        <v>2459</v>
      </c>
      <c r="F795" s="100" t="s">
        <v>81</v>
      </c>
      <c r="G795" s="72" t="e">
        <f>_xlfn.TEXTJOIN(", ",TRUE,B795,#REF!,#REF!,#REF!,D795,E795)</f>
        <v>#REF!</v>
      </c>
      <c r="H795" s="99"/>
      <c r="I795" s="99"/>
      <c r="J795" s="99"/>
      <c r="K795" s="99"/>
      <c r="L795" s="99"/>
      <c r="M795" s="77" t="s">
        <v>2468</v>
      </c>
    </row>
    <row r="796" spans="1:13" s="103" customFormat="1" ht="10.9" customHeight="1" x14ac:dyDescent="0.25">
      <c r="A796" s="89" t="s">
        <v>2469</v>
      </c>
      <c r="B796" s="98" t="s">
        <v>2470</v>
      </c>
      <c r="C796" s="101" t="s">
        <v>5347</v>
      </c>
      <c r="D796" s="101" t="s">
        <v>2459</v>
      </c>
      <c r="E796" s="73" t="s">
        <v>2459</v>
      </c>
      <c r="F796" s="100" t="s">
        <v>81</v>
      </c>
      <c r="G796" s="72" t="e">
        <f>_xlfn.TEXTJOIN(", ",TRUE,B796,#REF!,#REF!,#REF!,D796,E796)</f>
        <v>#REF!</v>
      </c>
      <c r="H796" s="99">
        <v>45794</v>
      </c>
      <c r="I796" s="99"/>
      <c r="J796" s="99"/>
      <c r="K796" s="99"/>
      <c r="L796" s="99"/>
      <c r="M796" s="77" t="s">
        <v>88</v>
      </c>
    </row>
    <row r="797" spans="1:13" s="103" customFormat="1" ht="10.9" customHeight="1" x14ac:dyDescent="0.25">
      <c r="A797" s="89" t="s">
        <v>2471</v>
      </c>
      <c r="B797" s="98" t="s">
        <v>2472</v>
      </c>
      <c r="C797" s="101" t="s">
        <v>5347</v>
      </c>
      <c r="D797" s="101" t="s">
        <v>2459</v>
      </c>
      <c r="E797" s="73" t="s">
        <v>2459</v>
      </c>
      <c r="F797" s="100" t="s">
        <v>98</v>
      </c>
      <c r="G797" s="72" t="e">
        <f>_xlfn.TEXTJOIN(", ",TRUE,B797,#REF!,#REF!,#REF!,D797,E797)</f>
        <v>#REF!</v>
      </c>
      <c r="H797" s="99">
        <v>45551</v>
      </c>
      <c r="I797" s="99"/>
      <c r="J797" s="99"/>
      <c r="K797" s="99"/>
      <c r="L797" s="99"/>
      <c r="M797" s="77">
        <v>0</v>
      </c>
    </row>
    <row r="798" spans="1:13" s="103" customFormat="1" ht="10.9" customHeight="1" x14ac:dyDescent="0.25">
      <c r="A798" s="89" t="s">
        <v>2473</v>
      </c>
      <c r="B798" s="98" t="s">
        <v>2474</v>
      </c>
      <c r="C798" s="101" t="s">
        <v>5347</v>
      </c>
      <c r="D798" s="101" t="s">
        <v>2459</v>
      </c>
      <c r="E798" s="73" t="s">
        <v>2459</v>
      </c>
      <c r="F798" s="100" t="s">
        <v>98</v>
      </c>
      <c r="G798" s="72" t="e">
        <f>_xlfn.TEXTJOIN(", ",TRUE,B798,#REF!,#REF!,#REF!,D798,E798)</f>
        <v>#REF!</v>
      </c>
      <c r="H798" s="99"/>
      <c r="I798" s="99"/>
      <c r="J798" s="99"/>
      <c r="K798" s="99"/>
      <c r="L798" s="99"/>
      <c r="M798" s="77" t="s">
        <v>88</v>
      </c>
    </row>
    <row r="799" spans="1:13" s="103" customFormat="1" ht="10.9" customHeight="1" x14ac:dyDescent="0.25">
      <c r="A799" s="89" t="s">
        <v>2475</v>
      </c>
      <c r="B799" s="98" t="s">
        <v>2476</v>
      </c>
      <c r="C799" s="101" t="s">
        <v>5347</v>
      </c>
      <c r="D799" s="101" t="s">
        <v>2459</v>
      </c>
      <c r="E799" s="73" t="s">
        <v>2459</v>
      </c>
      <c r="F799" s="100" t="s">
        <v>449</v>
      </c>
      <c r="G799" s="72" t="e">
        <f>_xlfn.TEXTJOIN(", ",TRUE,B799,#REF!,#REF!,#REF!,D799,E799)</f>
        <v>#REF!</v>
      </c>
      <c r="H799" s="99" t="s">
        <v>716</v>
      </c>
      <c r="I799" s="99" t="s">
        <v>88</v>
      </c>
      <c r="J799" s="99" t="s">
        <v>716</v>
      </c>
      <c r="K799" s="99" t="s">
        <v>88</v>
      </c>
      <c r="L799" s="99" t="s">
        <v>88</v>
      </c>
      <c r="M799" s="77">
        <v>0</v>
      </c>
    </row>
    <row r="800" spans="1:13" s="103" customFormat="1" ht="10.9" customHeight="1" x14ac:dyDescent="0.25">
      <c r="A800" s="89" t="s">
        <v>1732</v>
      </c>
      <c r="B800" s="104" t="s">
        <v>2477</v>
      </c>
      <c r="C800" s="101" t="s">
        <v>5347</v>
      </c>
      <c r="D800" s="101" t="s">
        <v>2459</v>
      </c>
      <c r="E800" s="73" t="s">
        <v>2459</v>
      </c>
      <c r="F800" s="100" t="s">
        <v>98</v>
      </c>
      <c r="G800" s="72" t="e">
        <f>_xlfn.TEXTJOIN(", ",TRUE,B800,#REF!,#REF!,#REF!,D800,E800)</f>
        <v>#REF!</v>
      </c>
      <c r="H800" s="99"/>
      <c r="I800" s="99"/>
      <c r="J800" s="99"/>
      <c r="K800" s="99"/>
      <c r="L800" s="99"/>
      <c r="M800" s="77">
        <v>0</v>
      </c>
    </row>
    <row r="801" spans="1:13" s="103" customFormat="1" ht="10.9" customHeight="1" x14ac:dyDescent="0.25">
      <c r="A801" s="89" t="s">
        <v>2478</v>
      </c>
      <c r="B801" s="102" t="s">
        <v>2479</v>
      </c>
      <c r="C801" s="101" t="s">
        <v>5347</v>
      </c>
      <c r="D801" s="101" t="s">
        <v>2459</v>
      </c>
      <c r="E801" s="73" t="s">
        <v>2459</v>
      </c>
      <c r="F801" s="100" t="s">
        <v>98</v>
      </c>
      <c r="G801" s="72" t="e">
        <f>_xlfn.TEXTJOIN(", ",TRUE,B801,#REF!,#REF!,#REF!,D801,E801)</f>
        <v>#REF!</v>
      </c>
      <c r="H801" s="99">
        <v>45352</v>
      </c>
      <c r="I801" s="99"/>
      <c r="J801" s="99"/>
      <c r="K801" s="99"/>
      <c r="L801" s="99"/>
      <c r="M801" s="77" t="s">
        <v>2480</v>
      </c>
    </row>
    <row r="802" spans="1:13" s="103" customFormat="1" ht="10.9" customHeight="1" x14ac:dyDescent="0.25">
      <c r="A802" s="89" t="s">
        <v>2481</v>
      </c>
      <c r="B802" s="98" t="s">
        <v>2482</v>
      </c>
      <c r="C802" s="101" t="s">
        <v>5347</v>
      </c>
      <c r="D802" s="101" t="s">
        <v>2459</v>
      </c>
      <c r="E802" s="73" t="s">
        <v>2459</v>
      </c>
      <c r="F802" s="100" t="s">
        <v>81</v>
      </c>
      <c r="G802" s="72" t="e">
        <f>_xlfn.TEXTJOIN(", ",TRUE,B802,#REF!,#REF!,#REF!,D802,E802)</f>
        <v>#REF!</v>
      </c>
      <c r="H802" s="99">
        <v>45085</v>
      </c>
      <c r="I802" s="99">
        <v>45324</v>
      </c>
      <c r="J802" s="99"/>
      <c r="K802" s="99"/>
      <c r="L802" s="99"/>
      <c r="M802" s="77" t="s">
        <v>2483</v>
      </c>
    </row>
    <row r="803" spans="1:13" s="103" customFormat="1" ht="10.9" customHeight="1" x14ac:dyDescent="0.25">
      <c r="A803" s="89" t="s">
        <v>2484</v>
      </c>
      <c r="B803" s="98" t="s">
        <v>2485</v>
      </c>
      <c r="C803" s="101" t="s">
        <v>5347</v>
      </c>
      <c r="D803" s="101" t="s">
        <v>2459</v>
      </c>
      <c r="E803" s="73" t="s">
        <v>2459</v>
      </c>
      <c r="F803" s="100" t="s">
        <v>81</v>
      </c>
      <c r="G803" s="72" t="e">
        <f>_xlfn.TEXTJOIN(", ",TRUE,B803,#REF!,#REF!,#REF!,D803,E803)</f>
        <v>#REF!</v>
      </c>
      <c r="H803" s="99">
        <v>45085</v>
      </c>
      <c r="I803" s="99"/>
      <c r="J803" s="99"/>
      <c r="K803" s="99"/>
      <c r="L803" s="99"/>
      <c r="M803" s="77" t="s">
        <v>88</v>
      </c>
    </row>
    <row r="804" spans="1:13" s="103" customFormat="1" ht="10.9" customHeight="1" x14ac:dyDescent="0.25">
      <c r="A804" s="89" t="s">
        <v>2486</v>
      </c>
      <c r="B804" s="98" t="s">
        <v>2487</v>
      </c>
      <c r="C804" s="101" t="s">
        <v>5347</v>
      </c>
      <c r="D804" s="101" t="s">
        <v>2459</v>
      </c>
      <c r="E804" s="73" t="s">
        <v>2488</v>
      </c>
      <c r="F804" s="100" t="s">
        <v>98</v>
      </c>
      <c r="G804" s="72" t="e">
        <f>_xlfn.TEXTJOIN(", ",TRUE,B804,#REF!,#REF!,#REF!,D804,E804)</f>
        <v>#REF!</v>
      </c>
      <c r="H804" s="99">
        <v>45519</v>
      </c>
      <c r="I804" s="99"/>
      <c r="J804" s="99"/>
      <c r="K804" s="99"/>
      <c r="L804" s="99"/>
      <c r="M804" s="77" t="s">
        <v>2489</v>
      </c>
    </row>
    <row r="805" spans="1:13" s="103" customFormat="1" ht="10.9" customHeight="1" x14ac:dyDescent="0.25">
      <c r="A805" s="89" t="s">
        <v>2490</v>
      </c>
      <c r="B805" s="98" t="s">
        <v>2491</v>
      </c>
      <c r="C805" s="101" t="s">
        <v>5347</v>
      </c>
      <c r="D805" s="101" t="s">
        <v>2459</v>
      </c>
      <c r="E805" s="73" t="s">
        <v>2459</v>
      </c>
      <c r="F805" s="100" t="s">
        <v>282</v>
      </c>
      <c r="G805" s="72" t="e">
        <f>_xlfn.TEXTJOIN(", ",TRUE,B805,#REF!,#REF!,#REF!,D805,E805)</f>
        <v>#REF!</v>
      </c>
      <c r="H805" s="99">
        <v>44926</v>
      </c>
      <c r="I805" s="99">
        <v>45359</v>
      </c>
      <c r="J805" s="99"/>
      <c r="K805" s="99"/>
      <c r="L805" s="99"/>
      <c r="M805" s="77" t="s">
        <v>88</v>
      </c>
    </row>
    <row r="806" spans="1:13" s="103" customFormat="1" ht="10.9" customHeight="1" x14ac:dyDescent="0.25">
      <c r="A806" s="89" t="s">
        <v>2492</v>
      </c>
      <c r="B806" s="102" t="s">
        <v>2493</v>
      </c>
      <c r="C806" s="101" t="s">
        <v>5347</v>
      </c>
      <c r="D806" s="101" t="s">
        <v>2459</v>
      </c>
      <c r="E806" s="73" t="s">
        <v>2459</v>
      </c>
      <c r="F806" s="100" t="s">
        <v>98</v>
      </c>
      <c r="G806" s="72" t="e">
        <f>_xlfn.TEXTJOIN(", ",TRUE,B806,#REF!,#REF!,#REF!,D806,E806)</f>
        <v>#REF!</v>
      </c>
      <c r="H806" s="99"/>
      <c r="I806" s="99"/>
      <c r="J806" s="99"/>
      <c r="K806" s="99"/>
      <c r="L806" s="99"/>
      <c r="M806" s="77" t="s">
        <v>88</v>
      </c>
    </row>
    <row r="807" spans="1:13" s="103" customFormat="1" ht="10.9" customHeight="1" x14ac:dyDescent="0.25">
      <c r="A807" s="89" t="s">
        <v>2494</v>
      </c>
      <c r="B807" s="104" t="s">
        <v>2495</v>
      </c>
      <c r="C807" s="101" t="s">
        <v>5347</v>
      </c>
      <c r="D807" s="101" t="s">
        <v>2459</v>
      </c>
      <c r="E807" s="73" t="s">
        <v>2459</v>
      </c>
      <c r="F807" s="100" t="s">
        <v>98</v>
      </c>
      <c r="G807" s="72" t="e">
        <f>_xlfn.TEXTJOIN(", ",TRUE,B807,#REF!,#REF!,#REF!,D807,E807)</f>
        <v>#REF!</v>
      </c>
      <c r="H807" s="99"/>
      <c r="I807" s="99"/>
      <c r="J807" s="99"/>
      <c r="K807" s="99"/>
      <c r="L807" s="99"/>
      <c r="M807" s="77" t="s">
        <v>88</v>
      </c>
    </row>
    <row r="808" spans="1:13" s="103" customFormat="1" ht="10.9" customHeight="1" x14ac:dyDescent="0.25">
      <c r="A808" s="89" t="s">
        <v>2496</v>
      </c>
      <c r="B808" s="98" t="s">
        <v>2497</v>
      </c>
      <c r="C808" s="101" t="s">
        <v>5347</v>
      </c>
      <c r="D808" s="101" t="s">
        <v>2459</v>
      </c>
      <c r="E808" s="73" t="s">
        <v>2459</v>
      </c>
      <c r="F808" s="100" t="s">
        <v>98</v>
      </c>
      <c r="G808" s="72" t="e">
        <f>_xlfn.TEXTJOIN(", ",TRUE,B808,#REF!,#REF!,#REF!,D808,E808)</f>
        <v>#REF!</v>
      </c>
      <c r="H808" s="99">
        <v>44882</v>
      </c>
      <c r="I808" s="99"/>
      <c r="J808" s="99"/>
      <c r="K808" s="99"/>
      <c r="L808" s="99"/>
      <c r="M808" s="77" t="s">
        <v>88</v>
      </c>
    </row>
    <row r="809" spans="1:13" s="103" customFormat="1" ht="10.9" customHeight="1" x14ac:dyDescent="0.25">
      <c r="A809" s="89" t="s">
        <v>2496</v>
      </c>
      <c r="B809" s="98" t="s">
        <v>2498</v>
      </c>
      <c r="C809" s="101" t="s">
        <v>5347</v>
      </c>
      <c r="D809" s="101" t="s">
        <v>2459</v>
      </c>
      <c r="E809" s="73" t="s">
        <v>2459</v>
      </c>
      <c r="F809" s="100" t="s">
        <v>98</v>
      </c>
      <c r="G809" s="72" t="e">
        <f>_xlfn.TEXTJOIN(", ",TRUE,B809,#REF!,#REF!,#REF!,D809,E809)</f>
        <v>#REF!</v>
      </c>
      <c r="H809" s="99"/>
      <c r="I809" s="99"/>
      <c r="J809" s="99"/>
      <c r="K809" s="99"/>
      <c r="L809" s="99"/>
      <c r="M809" s="77" t="s">
        <v>88</v>
      </c>
    </row>
    <row r="810" spans="1:13" s="103" customFormat="1" ht="10.9" customHeight="1" x14ac:dyDescent="0.25">
      <c r="A810" s="89" t="s">
        <v>2499</v>
      </c>
      <c r="B810" s="98" t="s">
        <v>2500</v>
      </c>
      <c r="C810" s="101" t="s">
        <v>5347</v>
      </c>
      <c r="D810" s="101" t="s">
        <v>2459</v>
      </c>
      <c r="E810" s="73" t="s">
        <v>2459</v>
      </c>
      <c r="F810" s="100" t="s">
        <v>98</v>
      </c>
      <c r="G810" s="72" t="e">
        <f>_xlfn.TEXTJOIN(", ",TRUE,B810,#REF!,#REF!,#REF!,D810,E810)</f>
        <v>#REF!</v>
      </c>
      <c r="H810" s="99">
        <v>45680</v>
      </c>
      <c r="I810" s="99"/>
      <c r="J810" s="99"/>
      <c r="K810" s="99"/>
      <c r="L810" s="99"/>
      <c r="M810" s="77" t="s">
        <v>88</v>
      </c>
    </row>
    <row r="811" spans="1:13" s="103" customFormat="1" ht="10.9" customHeight="1" x14ac:dyDescent="0.25">
      <c r="A811" s="89" t="s">
        <v>2499</v>
      </c>
      <c r="B811" s="98" t="s">
        <v>2501</v>
      </c>
      <c r="C811" s="101" t="s">
        <v>5347</v>
      </c>
      <c r="D811" s="101" t="s">
        <v>2459</v>
      </c>
      <c r="E811" s="73" t="s">
        <v>2459</v>
      </c>
      <c r="F811" s="100" t="s">
        <v>2502</v>
      </c>
      <c r="G811" s="72" t="e">
        <f>_xlfn.TEXTJOIN(", ",TRUE,B811,#REF!,#REF!,#REF!,D811,E811)</f>
        <v>#REF!</v>
      </c>
      <c r="H811" s="99">
        <v>45317</v>
      </c>
      <c r="I811" s="99"/>
      <c r="J811" s="99"/>
      <c r="K811" s="99"/>
      <c r="L811" s="99"/>
      <c r="M811" s="77" t="s">
        <v>88</v>
      </c>
    </row>
    <row r="812" spans="1:13" s="103" customFormat="1" ht="10.9" customHeight="1" x14ac:dyDescent="0.25">
      <c r="A812" s="89" t="s">
        <v>2503</v>
      </c>
      <c r="B812" s="98" t="s">
        <v>2504</v>
      </c>
      <c r="C812" s="101" t="s">
        <v>5347</v>
      </c>
      <c r="D812" s="101" t="s">
        <v>2459</v>
      </c>
      <c r="E812" s="73" t="s">
        <v>2459</v>
      </c>
      <c r="F812" s="100" t="s">
        <v>81</v>
      </c>
      <c r="G812" s="72" t="e">
        <f>_xlfn.TEXTJOIN(", ",TRUE,B812,#REF!,#REF!,#REF!,D812,E812)</f>
        <v>#REF!</v>
      </c>
      <c r="H812" s="99"/>
      <c r="I812" s="99"/>
      <c r="J812" s="99"/>
      <c r="K812" s="99"/>
      <c r="L812" s="99"/>
      <c r="M812" s="77" t="s">
        <v>88</v>
      </c>
    </row>
    <row r="813" spans="1:13" s="103" customFormat="1" ht="10.9" customHeight="1" x14ac:dyDescent="0.25">
      <c r="A813" s="89" t="s">
        <v>2503</v>
      </c>
      <c r="B813" s="98" t="s">
        <v>2504</v>
      </c>
      <c r="C813" s="101" t="s">
        <v>5347</v>
      </c>
      <c r="D813" s="101" t="s">
        <v>2459</v>
      </c>
      <c r="E813" s="73" t="s">
        <v>2459</v>
      </c>
      <c r="F813" s="100" t="s">
        <v>81</v>
      </c>
      <c r="G813" s="72" t="e">
        <f>_xlfn.TEXTJOIN(", ",TRUE,B813,#REF!,#REF!,#REF!,D813,E813)</f>
        <v>#REF!</v>
      </c>
      <c r="H813" s="99"/>
      <c r="I813" s="99"/>
      <c r="J813" s="99"/>
      <c r="K813" s="99"/>
      <c r="L813" s="99"/>
      <c r="M813" s="77" t="s">
        <v>2505</v>
      </c>
    </row>
    <row r="814" spans="1:13" s="103" customFormat="1" ht="10.9" customHeight="1" x14ac:dyDescent="0.25">
      <c r="A814" s="89" t="s">
        <v>2506</v>
      </c>
      <c r="B814" s="98" t="s">
        <v>2507</v>
      </c>
      <c r="C814" s="101" t="s">
        <v>5347</v>
      </c>
      <c r="D814" s="101" t="s">
        <v>2459</v>
      </c>
      <c r="E814" s="73" t="s">
        <v>2459</v>
      </c>
      <c r="F814" s="100" t="s">
        <v>187</v>
      </c>
      <c r="G814" s="72" t="e">
        <f>_xlfn.TEXTJOIN(", ",TRUE,B814,#REF!,#REF!,#REF!,D814,E814)</f>
        <v>#REF!</v>
      </c>
      <c r="H814" s="99">
        <v>45175</v>
      </c>
      <c r="I814" s="99"/>
      <c r="J814" s="99"/>
      <c r="K814" s="99"/>
      <c r="L814" s="99"/>
      <c r="M814" s="77">
        <v>0</v>
      </c>
    </row>
    <row r="815" spans="1:13" s="103" customFormat="1" ht="10.9" customHeight="1" x14ac:dyDescent="0.25">
      <c r="A815" s="89" t="s">
        <v>2508</v>
      </c>
      <c r="B815" s="98" t="s">
        <v>2509</v>
      </c>
      <c r="C815" s="101" t="s">
        <v>5347</v>
      </c>
      <c r="D815" s="101" t="s">
        <v>2459</v>
      </c>
      <c r="E815" s="73" t="s">
        <v>2459</v>
      </c>
      <c r="F815" s="100" t="s">
        <v>98</v>
      </c>
      <c r="G815" s="72" t="e">
        <f>_xlfn.TEXTJOIN(", ",TRUE,B815,#REF!,#REF!,#REF!,D815,E815)</f>
        <v>#REF!</v>
      </c>
      <c r="H815" s="99"/>
      <c r="I815" s="99"/>
      <c r="J815" s="99"/>
      <c r="K815" s="99"/>
      <c r="L815" s="99"/>
      <c r="M815" s="77" t="s">
        <v>88</v>
      </c>
    </row>
    <row r="816" spans="1:13" s="103" customFormat="1" ht="10.9" customHeight="1" x14ac:dyDescent="0.25">
      <c r="A816" s="89" t="s">
        <v>2469</v>
      </c>
      <c r="B816" s="98" t="s">
        <v>2510</v>
      </c>
      <c r="C816" s="101" t="s">
        <v>5347</v>
      </c>
      <c r="D816" s="101" t="s">
        <v>2459</v>
      </c>
      <c r="E816" s="73" t="s">
        <v>2459</v>
      </c>
      <c r="F816" s="100" t="s">
        <v>437</v>
      </c>
      <c r="G816" s="72" t="e">
        <f>_xlfn.TEXTJOIN(", ",TRUE,B816,#REF!,#REF!,#REF!,D816,E816)</f>
        <v>#REF!</v>
      </c>
      <c r="H816" s="99"/>
      <c r="I816" s="99">
        <v>45257</v>
      </c>
      <c r="J816" s="99"/>
      <c r="K816" s="99"/>
      <c r="L816" s="99"/>
      <c r="M816" s="77" t="s">
        <v>2511</v>
      </c>
    </row>
    <row r="817" spans="1:13" s="103" customFormat="1" ht="10.9" customHeight="1" x14ac:dyDescent="0.25">
      <c r="A817" s="89" t="s">
        <v>2512</v>
      </c>
      <c r="B817" s="98" t="s">
        <v>2513</v>
      </c>
      <c r="C817" s="101" t="s">
        <v>5347</v>
      </c>
      <c r="D817" s="101" t="s">
        <v>2459</v>
      </c>
      <c r="E817" s="73" t="s">
        <v>2459</v>
      </c>
      <c r="F817" s="100" t="s">
        <v>130</v>
      </c>
      <c r="G817" s="72" t="e">
        <f>_xlfn.TEXTJOIN(", ",TRUE,B817,#REF!,#REF!,#REF!,D817,E817)</f>
        <v>#REF!</v>
      </c>
      <c r="H817" s="99">
        <v>45340</v>
      </c>
      <c r="I817" s="99"/>
      <c r="J817" s="99"/>
      <c r="K817" s="99">
        <v>45340</v>
      </c>
      <c r="L817" s="99"/>
      <c r="M817" s="77" t="s">
        <v>2514</v>
      </c>
    </row>
    <row r="818" spans="1:13" s="103" customFormat="1" ht="10.9" customHeight="1" x14ac:dyDescent="0.25">
      <c r="A818" s="89" t="s">
        <v>2515</v>
      </c>
      <c r="B818" s="98" t="s">
        <v>2516</v>
      </c>
      <c r="C818" s="101" t="s">
        <v>5347</v>
      </c>
      <c r="D818" s="101" t="s">
        <v>2459</v>
      </c>
      <c r="E818" s="73" t="s">
        <v>2459</v>
      </c>
      <c r="F818" s="100" t="s">
        <v>98</v>
      </c>
      <c r="G818" s="72" t="e">
        <f>_xlfn.TEXTJOIN(", ",TRUE,B818,#REF!,#REF!,#REF!,D818,E818)</f>
        <v>#REF!</v>
      </c>
      <c r="H818" s="99">
        <v>45401</v>
      </c>
      <c r="I818" s="99"/>
      <c r="J818" s="99"/>
      <c r="K818" s="99"/>
      <c r="L818" s="99"/>
      <c r="M818" s="77">
        <v>0</v>
      </c>
    </row>
    <row r="819" spans="1:13" s="103" customFormat="1" ht="10.9" customHeight="1" x14ac:dyDescent="0.25">
      <c r="A819" s="89" t="s">
        <v>933</v>
      </c>
      <c r="B819" s="98" t="s">
        <v>2517</v>
      </c>
      <c r="C819" s="101" t="s">
        <v>5347</v>
      </c>
      <c r="D819" s="101" t="s">
        <v>2459</v>
      </c>
      <c r="E819" s="73" t="s">
        <v>2459</v>
      </c>
      <c r="F819" s="100" t="s">
        <v>98</v>
      </c>
      <c r="G819" s="72" t="e">
        <f>_xlfn.TEXTJOIN(", ",TRUE,B819,#REF!,#REF!,#REF!,D819,E819)</f>
        <v>#REF!</v>
      </c>
      <c r="H819" s="99">
        <v>45495</v>
      </c>
      <c r="I819" s="99"/>
      <c r="J819" s="99"/>
      <c r="K819" s="99"/>
      <c r="L819" s="99"/>
      <c r="M819" s="77">
        <v>0</v>
      </c>
    </row>
    <row r="820" spans="1:13" s="103" customFormat="1" ht="10.9" customHeight="1" x14ac:dyDescent="0.25">
      <c r="A820" s="89" t="s">
        <v>2518</v>
      </c>
      <c r="B820" s="98" t="s">
        <v>2519</v>
      </c>
      <c r="C820" s="101" t="s">
        <v>5347</v>
      </c>
      <c r="D820" s="101" t="s">
        <v>2459</v>
      </c>
      <c r="E820" s="73" t="s">
        <v>2459</v>
      </c>
      <c r="F820" s="100" t="s">
        <v>81</v>
      </c>
      <c r="G820" s="72" t="e">
        <f>_xlfn.TEXTJOIN(", ",TRUE,B820,#REF!,#REF!,#REF!,D820,E820)</f>
        <v>#REF!</v>
      </c>
      <c r="H820" s="99"/>
      <c r="I820" s="99"/>
      <c r="J820" s="99"/>
      <c r="K820" s="99"/>
      <c r="L820" s="99"/>
      <c r="M820" s="77">
        <v>0</v>
      </c>
    </row>
    <row r="821" spans="1:13" s="103" customFormat="1" ht="10.9" customHeight="1" x14ac:dyDescent="0.25">
      <c r="A821" s="89" t="s">
        <v>2520</v>
      </c>
      <c r="B821" s="98" t="s">
        <v>2521</v>
      </c>
      <c r="C821" s="101" t="s">
        <v>5347</v>
      </c>
      <c r="D821" s="101" t="s">
        <v>2459</v>
      </c>
      <c r="E821" s="73" t="s">
        <v>2459</v>
      </c>
      <c r="F821" s="100" t="s">
        <v>98</v>
      </c>
      <c r="G821" s="72" t="e">
        <f>_xlfn.TEXTJOIN(", ",TRUE,B821,#REF!,#REF!,#REF!,D821,E821)</f>
        <v>#REF!</v>
      </c>
      <c r="H821" s="99">
        <v>45823</v>
      </c>
      <c r="I821" s="99"/>
      <c r="J821" s="99"/>
      <c r="K821" s="99"/>
      <c r="L821" s="99"/>
      <c r="M821" s="77">
        <v>0</v>
      </c>
    </row>
    <row r="822" spans="1:13" s="103" customFormat="1" ht="10.9" customHeight="1" x14ac:dyDescent="0.25">
      <c r="A822" s="89" t="s">
        <v>2522</v>
      </c>
      <c r="B822" s="98" t="s">
        <v>2523</v>
      </c>
      <c r="C822" s="101" t="s">
        <v>5347</v>
      </c>
      <c r="D822" s="101" t="s">
        <v>2459</v>
      </c>
      <c r="E822" s="73" t="s">
        <v>2459</v>
      </c>
      <c r="F822" s="100" t="s">
        <v>98</v>
      </c>
      <c r="G822" s="72" t="e">
        <f>_xlfn.TEXTJOIN(", ",TRUE,B822,#REF!,#REF!,#REF!,D822,E822)</f>
        <v>#REF!</v>
      </c>
      <c r="H822" s="99">
        <v>45456</v>
      </c>
      <c r="I822" s="99">
        <v>45456</v>
      </c>
      <c r="J822" s="99"/>
      <c r="K822" s="99"/>
      <c r="L822" s="99"/>
      <c r="M822" s="77" t="s">
        <v>88</v>
      </c>
    </row>
    <row r="823" spans="1:13" s="103" customFormat="1" ht="10.9" customHeight="1" x14ac:dyDescent="0.25">
      <c r="A823" s="89" t="s">
        <v>2524</v>
      </c>
      <c r="B823" s="104" t="s">
        <v>2525</v>
      </c>
      <c r="C823" s="101" t="s">
        <v>5347</v>
      </c>
      <c r="D823" s="101" t="s">
        <v>2459</v>
      </c>
      <c r="E823" s="73" t="s">
        <v>2459</v>
      </c>
      <c r="F823" s="100" t="s">
        <v>98</v>
      </c>
      <c r="G823" s="72" t="e">
        <f>_xlfn.TEXTJOIN(", ",TRUE,B823,#REF!,#REF!,#REF!,D823,E823)</f>
        <v>#REF!</v>
      </c>
      <c r="H823" s="99"/>
      <c r="I823" s="99"/>
      <c r="J823" s="99"/>
      <c r="K823" s="99"/>
      <c r="L823" s="99"/>
      <c r="M823" s="77">
        <v>0</v>
      </c>
    </row>
    <row r="824" spans="1:13" s="103" customFormat="1" ht="10.9" customHeight="1" x14ac:dyDescent="0.25">
      <c r="A824" s="89" t="s">
        <v>2526</v>
      </c>
      <c r="B824" s="98" t="s">
        <v>2527</v>
      </c>
      <c r="C824" s="101" t="s">
        <v>5347</v>
      </c>
      <c r="D824" s="101" t="s">
        <v>2459</v>
      </c>
      <c r="E824" s="73" t="s">
        <v>2459</v>
      </c>
      <c r="F824" s="100" t="s">
        <v>81</v>
      </c>
      <c r="G824" s="72" t="e">
        <f>_xlfn.TEXTJOIN(", ",TRUE,B824,#REF!,#REF!,#REF!,D824,E824)</f>
        <v>#REF!</v>
      </c>
      <c r="H824" s="99">
        <v>45470</v>
      </c>
      <c r="I824" s="99"/>
      <c r="J824" s="99"/>
      <c r="K824" s="99"/>
      <c r="L824" s="99"/>
      <c r="M824" s="77" t="s">
        <v>88</v>
      </c>
    </row>
    <row r="825" spans="1:13" s="103" customFormat="1" ht="10.9" customHeight="1" x14ac:dyDescent="0.25">
      <c r="A825" s="89" t="s">
        <v>2528</v>
      </c>
      <c r="B825" s="98" t="s">
        <v>2529</v>
      </c>
      <c r="C825" s="101" t="s">
        <v>5347</v>
      </c>
      <c r="D825" s="101" t="s">
        <v>2459</v>
      </c>
      <c r="E825" s="73" t="s">
        <v>2459</v>
      </c>
      <c r="F825" s="100" t="s">
        <v>98</v>
      </c>
      <c r="G825" s="72" t="e">
        <f>_xlfn.TEXTJOIN(", ",TRUE,B825,#REF!,#REF!,#REF!,D825,E825)</f>
        <v>#REF!</v>
      </c>
      <c r="H825" s="99">
        <v>45554</v>
      </c>
      <c r="I825" s="99"/>
      <c r="J825" s="99"/>
      <c r="K825" s="99"/>
      <c r="L825" s="99"/>
      <c r="M825" s="77" t="s">
        <v>2530</v>
      </c>
    </row>
    <row r="826" spans="1:13" s="103" customFormat="1" ht="10.9" customHeight="1" x14ac:dyDescent="0.25">
      <c r="A826" s="89" t="s">
        <v>2531</v>
      </c>
      <c r="B826" s="102" t="s">
        <v>2532</v>
      </c>
      <c r="C826" s="101" t="s">
        <v>5347</v>
      </c>
      <c r="D826" s="101" t="s">
        <v>2459</v>
      </c>
      <c r="E826" s="73" t="s">
        <v>2459</v>
      </c>
      <c r="F826" s="100" t="s">
        <v>282</v>
      </c>
      <c r="G826" s="72" t="e">
        <f>_xlfn.TEXTJOIN(", ",TRUE,B826,#REF!,#REF!,#REF!,D826,E826)</f>
        <v>#REF!</v>
      </c>
      <c r="H826" s="99">
        <v>44889</v>
      </c>
      <c r="I826" s="99"/>
      <c r="J826" s="99"/>
      <c r="K826" s="99"/>
      <c r="L826" s="99"/>
      <c r="M826" s="77">
        <v>0</v>
      </c>
    </row>
    <row r="827" spans="1:13" s="103" customFormat="1" ht="10.9" customHeight="1" x14ac:dyDescent="0.25">
      <c r="A827" s="89" t="s">
        <v>2533</v>
      </c>
      <c r="B827" s="102" t="s">
        <v>2534</v>
      </c>
      <c r="C827" s="101" t="s">
        <v>5347</v>
      </c>
      <c r="D827" s="101" t="s">
        <v>2459</v>
      </c>
      <c r="E827" s="73" t="s">
        <v>2459</v>
      </c>
      <c r="F827" s="100" t="s">
        <v>98</v>
      </c>
      <c r="G827" s="72" t="e">
        <f>_xlfn.TEXTJOIN(", ",TRUE,B827,#REF!,#REF!,#REF!,D827,E827)</f>
        <v>#REF!</v>
      </c>
      <c r="H827" s="99"/>
      <c r="I827" s="99"/>
      <c r="J827" s="99"/>
      <c r="K827" s="99"/>
      <c r="L827" s="99"/>
      <c r="M827" s="77">
        <v>0</v>
      </c>
    </row>
    <row r="828" spans="1:13" s="103" customFormat="1" ht="10.9" customHeight="1" x14ac:dyDescent="0.25">
      <c r="A828" s="89" t="s">
        <v>2535</v>
      </c>
      <c r="B828" s="98" t="s">
        <v>2536</v>
      </c>
      <c r="C828" s="101" t="s">
        <v>5347</v>
      </c>
      <c r="D828" s="101" t="s">
        <v>2459</v>
      </c>
      <c r="E828" s="73" t="s">
        <v>2459</v>
      </c>
      <c r="F828" s="100" t="s">
        <v>130</v>
      </c>
      <c r="G828" s="72" t="e">
        <f>_xlfn.TEXTJOIN(", ",TRUE,B828,#REF!,#REF!,#REF!,D828,E828)</f>
        <v>#REF!</v>
      </c>
      <c r="H828" s="99"/>
      <c r="I828" s="99"/>
      <c r="J828" s="99"/>
      <c r="K828" s="99"/>
      <c r="L828" s="99"/>
      <c r="M828" s="77">
        <v>0</v>
      </c>
    </row>
    <row r="829" spans="1:13" s="103" customFormat="1" ht="10.9" customHeight="1" x14ac:dyDescent="0.25">
      <c r="A829" s="89" t="s">
        <v>2537</v>
      </c>
      <c r="B829" s="98" t="s">
        <v>2538</v>
      </c>
      <c r="C829" s="101" t="s">
        <v>5347</v>
      </c>
      <c r="D829" s="101" t="s">
        <v>2459</v>
      </c>
      <c r="E829" s="73" t="s">
        <v>2459</v>
      </c>
      <c r="F829" s="100" t="s">
        <v>98</v>
      </c>
      <c r="G829" s="72" t="e">
        <f>_xlfn.TEXTJOIN(", ",TRUE,B829,#REF!,#REF!,#REF!,D829,E829)</f>
        <v>#REF!</v>
      </c>
      <c r="H829" s="99">
        <v>45400</v>
      </c>
      <c r="I829" s="99"/>
      <c r="J829" s="99"/>
      <c r="K829" s="99">
        <v>45400</v>
      </c>
      <c r="L829" s="99"/>
      <c r="M829" s="77" t="s">
        <v>88</v>
      </c>
    </row>
    <row r="830" spans="1:13" s="103" customFormat="1" ht="10.9" customHeight="1" x14ac:dyDescent="0.25">
      <c r="A830" s="89" t="s">
        <v>2539</v>
      </c>
      <c r="B830" s="98" t="s">
        <v>2540</v>
      </c>
      <c r="C830" s="101" t="s">
        <v>5347</v>
      </c>
      <c r="D830" s="101" t="s">
        <v>2459</v>
      </c>
      <c r="E830" s="73" t="s">
        <v>2459</v>
      </c>
      <c r="F830" s="100" t="s">
        <v>98</v>
      </c>
      <c r="G830" s="72" t="e">
        <f>_xlfn.TEXTJOIN(", ",TRUE,B830,#REF!,#REF!,#REF!,D830,E830)</f>
        <v>#REF!</v>
      </c>
      <c r="H830" s="99">
        <v>45763</v>
      </c>
      <c r="I830" s="99"/>
      <c r="J830" s="99"/>
      <c r="K830" s="99"/>
      <c r="L830" s="99"/>
      <c r="M830" s="77" t="s">
        <v>2541</v>
      </c>
    </row>
    <row r="831" spans="1:13" s="103" customFormat="1" ht="10.9" customHeight="1" x14ac:dyDescent="0.25">
      <c r="A831" s="89" t="s">
        <v>2542</v>
      </c>
      <c r="B831" s="98" t="s">
        <v>2543</v>
      </c>
      <c r="C831" s="101" t="s">
        <v>5347</v>
      </c>
      <c r="D831" s="92" t="s">
        <v>2459</v>
      </c>
      <c r="E831" s="62" t="s">
        <v>2459</v>
      </c>
      <c r="F831" s="100" t="s">
        <v>130</v>
      </c>
      <c r="G831" s="72" t="e">
        <f>_xlfn.TEXTJOIN(", ",TRUE,B831,#REF!,#REF!,#REF!,D831,E831)</f>
        <v>#REF!</v>
      </c>
      <c r="H831" s="99">
        <v>45353</v>
      </c>
      <c r="I831" s="99"/>
      <c r="J831" s="99"/>
      <c r="K831" s="99"/>
      <c r="L831" s="99"/>
      <c r="M831" s="77" t="s">
        <v>88</v>
      </c>
    </row>
    <row r="832" spans="1:13" s="103" customFormat="1" ht="10.9" customHeight="1" x14ac:dyDescent="0.25">
      <c r="A832" s="89" t="s">
        <v>2544</v>
      </c>
      <c r="B832" s="98" t="s">
        <v>2545</v>
      </c>
      <c r="C832" s="101" t="s">
        <v>5347</v>
      </c>
      <c r="D832" s="101" t="s">
        <v>2459</v>
      </c>
      <c r="E832" s="73" t="s">
        <v>2459</v>
      </c>
      <c r="F832" s="100" t="s">
        <v>106</v>
      </c>
      <c r="G832" s="72" t="e">
        <f>_xlfn.TEXTJOIN(", ",TRUE,B832,#REF!,#REF!,#REF!,D832,E832)</f>
        <v>#REF!</v>
      </c>
      <c r="H832" s="99">
        <v>45877</v>
      </c>
      <c r="I832" s="99"/>
      <c r="J832" s="99"/>
      <c r="K832" s="99"/>
      <c r="L832" s="99">
        <v>45877</v>
      </c>
      <c r="M832" s="77" t="s">
        <v>2546</v>
      </c>
    </row>
    <row r="833" spans="1:13" s="103" customFormat="1" ht="10.9" hidden="1" customHeight="1" x14ac:dyDescent="0.25">
      <c r="A833" s="89" t="s">
        <v>2547</v>
      </c>
      <c r="B833" s="98" t="s">
        <v>2548</v>
      </c>
      <c r="C833" s="101" t="s">
        <v>5349</v>
      </c>
      <c r="D833" s="101" t="s">
        <v>2459</v>
      </c>
      <c r="E833" s="73" t="s">
        <v>2459</v>
      </c>
      <c r="F833" s="100" t="s">
        <v>130</v>
      </c>
      <c r="G833" s="72" t="e">
        <f>_xlfn.TEXTJOIN(", ",TRUE,B833,#REF!,#REF!,#REF!,D833,E833)</f>
        <v>#REF!</v>
      </c>
      <c r="H833" s="99">
        <v>45208</v>
      </c>
      <c r="I833" s="99"/>
      <c r="J833" s="99"/>
      <c r="K833" s="99"/>
      <c r="L833" s="99"/>
      <c r="M833" s="77" t="s">
        <v>2549</v>
      </c>
    </row>
    <row r="834" spans="1:13" s="103" customFormat="1" ht="10.9" hidden="1" customHeight="1" x14ac:dyDescent="0.25">
      <c r="A834" s="89" t="s">
        <v>2550</v>
      </c>
      <c r="B834" s="102" t="s">
        <v>2551</v>
      </c>
      <c r="C834" s="101" t="s">
        <v>5349</v>
      </c>
      <c r="D834" s="101" t="s">
        <v>2459</v>
      </c>
      <c r="E834" s="73" t="s">
        <v>2459</v>
      </c>
      <c r="F834" s="100" t="s">
        <v>2552</v>
      </c>
      <c r="G834" s="72" t="e">
        <f>_xlfn.TEXTJOIN(", ",TRUE,B834,#REF!,#REF!,#REF!,D834,E834)</f>
        <v>#REF!</v>
      </c>
      <c r="H834" s="99"/>
      <c r="I834" s="99"/>
      <c r="J834" s="99"/>
      <c r="K834" s="99"/>
      <c r="L834" s="99"/>
      <c r="M834" s="77" t="s">
        <v>2553</v>
      </c>
    </row>
    <row r="835" spans="1:13" s="103" customFormat="1" ht="10.9" customHeight="1" x14ac:dyDescent="0.25">
      <c r="A835" s="89" t="s">
        <v>2554</v>
      </c>
      <c r="B835" s="98" t="s">
        <v>2555</v>
      </c>
      <c r="C835" s="101" t="s">
        <v>5347</v>
      </c>
      <c r="D835" s="101" t="s">
        <v>2556</v>
      </c>
      <c r="E835" s="74" t="s">
        <v>2557</v>
      </c>
      <c r="F835" s="100" t="s">
        <v>98</v>
      </c>
      <c r="G835" s="72" t="e">
        <f>_xlfn.TEXTJOIN(", ",TRUE,B835,#REF!,#REF!,#REF!,D835,E835)</f>
        <v>#REF!</v>
      </c>
      <c r="H835" s="99"/>
      <c r="I835" s="99"/>
      <c r="J835" s="99"/>
      <c r="K835" s="99"/>
      <c r="L835" s="99"/>
      <c r="M835" s="77" t="s">
        <v>643</v>
      </c>
    </row>
    <row r="836" spans="1:13" s="103" customFormat="1" ht="10.9" customHeight="1" x14ac:dyDescent="0.25">
      <c r="A836" s="89" t="s">
        <v>2558</v>
      </c>
      <c r="B836" s="98" t="s">
        <v>2559</v>
      </c>
      <c r="C836" s="101" t="s">
        <v>5347</v>
      </c>
      <c r="D836" s="101" t="s">
        <v>2556</v>
      </c>
      <c r="E836" s="73" t="s">
        <v>2556</v>
      </c>
      <c r="F836" s="100" t="s">
        <v>98</v>
      </c>
      <c r="G836" s="72" t="e">
        <f>_xlfn.TEXTJOIN(", ",TRUE,B836,#REF!,#REF!,#REF!,D836,E836)</f>
        <v>#REF!</v>
      </c>
      <c r="H836" s="99"/>
      <c r="I836" s="99"/>
      <c r="J836" s="99"/>
      <c r="K836" s="99"/>
      <c r="L836" s="99"/>
      <c r="M836" s="77">
        <v>0</v>
      </c>
    </row>
    <row r="837" spans="1:13" s="103" customFormat="1" ht="10.9" customHeight="1" x14ac:dyDescent="0.25">
      <c r="A837" s="89" t="s">
        <v>2560</v>
      </c>
      <c r="B837" s="98" t="s">
        <v>2561</v>
      </c>
      <c r="C837" s="101" t="s">
        <v>5347</v>
      </c>
      <c r="D837" s="101" t="s">
        <v>2556</v>
      </c>
      <c r="E837" s="73" t="s">
        <v>2556</v>
      </c>
      <c r="F837" s="100" t="s">
        <v>98</v>
      </c>
      <c r="G837" s="72" t="e">
        <f>_xlfn.TEXTJOIN(", ",TRUE,B837,#REF!,#REF!,#REF!,D837,E837)</f>
        <v>#REF!</v>
      </c>
      <c r="H837" s="99"/>
      <c r="I837" s="99"/>
      <c r="J837" s="99"/>
      <c r="K837" s="99"/>
      <c r="L837" s="99"/>
      <c r="M837" s="77" t="s">
        <v>2562</v>
      </c>
    </row>
    <row r="838" spans="1:13" s="103" customFormat="1" ht="10.9" customHeight="1" x14ac:dyDescent="0.25">
      <c r="A838" s="89" t="s">
        <v>2563</v>
      </c>
      <c r="B838" s="104" t="s">
        <v>2564</v>
      </c>
      <c r="C838" s="101" t="s">
        <v>5347</v>
      </c>
      <c r="D838" s="101" t="s">
        <v>2556</v>
      </c>
      <c r="E838" s="74" t="s">
        <v>2565</v>
      </c>
      <c r="F838" s="100" t="s">
        <v>98</v>
      </c>
      <c r="G838" s="72" t="e">
        <f>_xlfn.TEXTJOIN(", ",TRUE,B838,#REF!,#REF!,#REF!,D838,E838)</f>
        <v>#REF!</v>
      </c>
      <c r="H838" s="99"/>
      <c r="I838" s="99"/>
      <c r="J838" s="99"/>
      <c r="K838" s="99"/>
      <c r="L838" s="99"/>
      <c r="M838" s="77" t="s">
        <v>88</v>
      </c>
    </row>
    <row r="839" spans="1:13" s="103" customFormat="1" ht="10.9" customHeight="1" x14ac:dyDescent="0.25">
      <c r="A839" s="91" t="s">
        <v>2566</v>
      </c>
      <c r="B839" s="104" t="s">
        <v>2567</v>
      </c>
      <c r="C839" s="101" t="s">
        <v>5347</v>
      </c>
      <c r="D839" s="101" t="s">
        <v>2556</v>
      </c>
      <c r="E839" s="74" t="s">
        <v>2568</v>
      </c>
      <c r="F839" s="100" t="s">
        <v>98</v>
      </c>
      <c r="G839" s="72" t="e">
        <f>_xlfn.TEXTJOIN(", ",TRUE,B839,#REF!,#REF!,#REF!,D839,E839)</f>
        <v>#REF!</v>
      </c>
      <c r="H839" s="99"/>
      <c r="I839" s="99"/>
      <c r="J839" s="99"/>
      <c r="K839" s="99"/>
      <c r="L839" s="99"/>
      <c r="M839" s="77" t="s">
        <v>2569</v>
      </c>
    </row>
    <row r="840" spans="1:13" s="103" customFormat="1" ht="10.9" customHeight="1" x14ac:dyDescent="0.25">
      <c r="A840" s="89" t="s">
        <v>2570</v>
      </c>
      <c r="B840" s="98" t="s">
        <v>2571</v>
      </c>
      <c r="C840" s="101" t="s">
        <v>5347</v>
      </c>
      <c r="D840" s="101" t="s">
        <v>2556</v>
      </c>
      <c r="E840" s="74" t="s">
        <v>2572</v>
      </c>
      <c r="F840" s="100" t="s">
        <v>98</v>
      </c>
      <c r="G840" s="72" t="e">
        <f>_xlfn.TEXTJOIN(", ",TRUE,B840,#REF!,#REF!,#REF!,D840,E840)</f>
        <v>#REF!</v>
      </c>
      <c r="H840" s="99"/>
      <c r="I840" s="99"/>
      <c r="J840" s="99"/>
      <c r="K840" s="99"/>
      <c r="L840" s="99"/>
      <c r="M840" s="77">
        <v>0</v>
      </c>
    </row>
    <row r="841" spans="1:13" s="103" customFormat="1" ht="10.9" customHeight="1" x14ac:dyDescent="0.25">
      <c r="A841" s="89" t="s">
        <v>2573</v>
      </c>
      <c r="B841" s="98" t="s">
        <v>2574</v>
      </c>
      <c r="C841" s="101" t="s">
        <v>5347</v>
      </c>
      <c r="D841" s="101" t="s">
        <v>2556</v>
      </c>
      <c r="E841" s="73" t="s">
        <v>2575</v>
      </c>
      <c r="F841" s="100" t="s">
        <v>81</v>
      </c>
      <c r="G841" s="72" t="e">
        <f>_xlfn.TEXTJOIN(", ",TRUE,B841,#REF!,#REF!,#REF!,D841,E841)</f>
        <v>#REF!</v>
      </c>
      <c r="H841" s="99">
        <v>45199</v>
      </c>
      <c r="I841" s="99"/>
      <c r="J841" s="99"/>
      <c r="K841" s="99"/>
      <c r="L841" s="99">
        <v>45199</v>
      </c>
      <c r="M841" s="77">
        <v>0</v>
      </c>
    </row>
    <row r="842" spans="1:13" s="103" customFormat="1" ht="10.9" customHeight="1" x14ac:dyDescent="0.25">
      <c r="A842" s="89" t="s">
        <v>2576</v>
      </c>
      <c r="B842" s="98" t="s">
        <v>2577</v>
      </c>
      <c r="C842" s="101" t="s">
        <v>5347</v>
      </c>
      <c r="D842" s="101" t="s">
        <v>2556</v>
      </c>
      <c r="E842" s="74" t="s">
        <v>2578</v>
      </c>
      <c r="F842" s="100" t="s">
        <v>98</v>
      </c>
      <c r="G842" s="72" t="e">
        <f>_xlfn.TEXTJOIN(", ",TRUE,B842,#REF!,#REF!,#REF!,D842,E842)</f>
        <v>#REF!</v>
      </c>
      <c r="H842" s="99"/>
      <c r="I842" s="99"/>
      <c r="J842" s="99"/>
      <c r="K842" s="99"/>
      <c r="L842" s="99"/>
      <c r="M842" s="77">
        <v>0</v>
      </c>
    </row>
    <row r="843" spans="1:13" s="103" customFormat="1" ht="10.9" customHeight="1" x14ac:dyDescent="0.25">
      <c r="A843" s="89" t="s">
        <v>2579</v>
      </c>
      <c r="B843" s="98" t="s">
        <v>2580</v>
      </c>
      <c r="C843" s="101" t="s">
        <v>5347</v>
      </c>
      <c r="D843" s="101" t="s">
        <v>2556</v>
      </c>
      <c r="E843" s="73" t="s">
        <v>2556</v>
      </c>
      <c r="F843" s="100" t="s">
        <v>81</v>
      </c>
      <c r="G843" s="72" t="e">
        <f>_xlfn.TEXTJOIN(", ",TRUE,B843,#REF!,#REF!,#REF!,D843,E843)</f>
        <v>#REF!</v>
      </c>
      <c r="H843" s="99">
        <v>45132</v>
      </c>
      <c r="I843" s="99"/>
      <c r="J843" s="99"/>
      <c r="K843" s="99"/>
      <c r="L843" s="99">
        <v>45120</v>
      </c>
      <c r="M843" s="77" t="s">
        <v>88</v>
      </c>
    </row>
    <row r="844" spans="1:13" s="103" customFormat="1" ht="10.9" customHeight="1" x14ac:dyDescent="0.25">
      <c r="A844" s="89" t="s">
        <v>2581</v>
      </c>
      <c r="B844" s="98" t="s">
        <v>2582</v>
      </c>
      <c r="C844" s="101" t="s">
        <v>5347</v>
      </c>
      <c r="D844" s="101" t="s">
        <v>2556</v>
      </c>
      <c r="E844" s="74" t="s">
        <v>2583</v>
      </c>
      <c r="F844" s="100" t="s">
        <v>98</v>
      </c>
      <c r="G844" s="72" t="e">
        <f>_xlfn.TEXTJOIN(", ",TRUE,B844,#REF!,#REF!,#REF!,D844,E844)</f>
        <v>#REF!</v>
      </c>
      <c r="H844" s="99"/>
      <c r="I844" s="99"/>
      <c r="J844" s="99"/>
      <c r="K844" s="99"/>
      <c r="L844" s="99"/>
      <c r="M844" s="77" t="s">
        <v>88</v>
      </c>
    </row>
    <row r="845" spans="1:13" s="103" customFormat="1" ht="10.9" customHeight="1" x14ac:dyDescent="0.25">
      <c r="A845" s="89" t="s">
        <v>2584</v>
      </c>
      <c r="B845" s="98" t="s">
        <v>2585</v>
      </c>
      <c r="C845" s="101" t="s">
        <v>5347</v>
      </c>
      <c r="D845" s="101" t="s">
        <v>2556</v>
      </c>
      <c r="E845" s="74" t="s">
        <v>2586</v>
      </c>
      <c r="F845" s="100" t="s">
        <v>98</v>
      </c>
      <c r="G845" s="72" t="e">
        <f>_xlfn.TEXTJOIN(", ",TRUE,B845,#REF!,#REF!,#REF!,D845,E845)</f>
        <v>#REF!</v>
      </c>
      <c r="H845" s="99"/>
      <c r="I845" s="99"/>
      <c r="J845" s="99"/>
      <c r="K845" s="99"/>
      <c r="L845" s="99"/>
      <c r="M845" s="77" t="s">
        <v>2587</v>
      </c>
    </row>
    <row r="846" spans="1:13" s="103" customFormat="1" ht="10.9" customHeight="1" x14ac:dyDescent="0.25">
      <c r="A846" s="89" t="s">
        <v>2588</v>
      </c>
      <c r="B846" s="98" t="s">
        <v>2589</v>
      </c>
      <c r="C846" s="101" t="s">
        <v>5347</v>
      </c>
      <c r="D846" s="101" t="s">
        <v>2556</v>
      </c>
      <c r="E846" s="73" t="s">
        <v>2590</v>
      </c>
      <c r="F846" s="100" t="s">
        <v>81</v>
      </c>
      <c r="G846" s="72" t="e">
        <f>_xlfn.TEXTJOIN(", ",TRUE,B846,#REF!,#REF!,#REF!,D846,E846)</f>
        <v>#REF!</v>
      </c>
      <c r="H846" s="99"/>
      <c r="I846" s="99"/>
      <c r="J846" s="99"/>
      <c r="K846" s="99"/>
      <c r="L846" s="99"/>
      <c r="M846" s="77" t="s">
        <v>2591</v>
      </c>
    </row>
    <row r="847" spans="1:13" s="103" customFormat="1" ht="10.9" customHeight="1" x14ac:dyDescent="0.25">
      <c r="A847" s="89" t="s">
        <v>2592</v>
      </c>
      <c r="B847" s="98" t="s">
        <v>2593</v>
      </c>
      <c r="C847" s="101" t="s">
        <v>5347</v>
      </c>
      <c r="D847" s="101" t="s">
        <v>2556</v>
      </c>
      <c r="E847" s="73" t="s">
        <v>2594</v>
      </c>
      <c r="F847" s="100" t="s">
        <v>81</v>
      </c>
      <c r="G847" s="72" t="e">
        <f>_xlfn.TEXTJOIN(", ",TRUE,B847,#REF!,#REF!,#REF!,D847,E847)</f>
        <v>#REF!</v>
      </c>
      <c r="H847" s="99"/>
      <c r="I847" s="99"/>
      <c r="J847" s="99"/>
      <c r="K847" s="99"/>
      <c r="L847" s="99"/>
      <c r="M847" s="77">
        <v>0</v>
      </c>
    </row>
    <row r="848" spans="1:13" s="103" customFormat="1" ht="10.9" customHeight="1" x14ac:dyDescent="0.25">
      <c r="A848" s="89" t="s">
        <v>2595</v>
      </c>
      <c r="B848" s="98" t="s">
        <v>2596</v>
      </c>
      <c r="C848" s="101" t="s">
        <v>5347</v>
      </c>
      <c r="D848" s="101" t="s">
        <v>2556</v>
      </c>
      <c r="E848" s="73" t="s">
        <v>2556</v>
      </c>
      <c r="F848" s="100" t="s">
        <v>98</v>
      </c>
      <c r="G848" s="72" t="e">
        <f>_xlfn.TEXTJOIN(", ",TRUE,B848,#REF!,#REF!,#REF!,D848,E848)</f>
        <v>#REF!</v>
      </c>
      <c r="H848" s="99"/>
      <c r="I848" s="99"/>
      <c r="J848" s="99"/>
      <c r="K848" s="99"/>
      <c r="L848" s="99"/>
      <c r="M848" s="77">
        <v>0</v>
      </c>
    </row>
    <row r="849" spans="1:13" s="103" customFormat="1" ht="10.9" customHeight="1" x14ac:dyDescent="0.25">
      <c r="A849" s="89" t="s">
        <v>2597</v>
      </c>
      <c r="B849" s="102" t="s">
        <v>2598</v>
      </c>
      <c r="C849" s="101" t="s">
        <v>5347</v>
      </c>
      <c r="D849" s="101" t="s">
        <v>2556</v>
      </c>
      <c r="E849" s="73" t="s">
        <v>2556</v>
      </c>
      <c r="F849" s="100" t="s">
        <v>81</v>
      </c>
      <c r="G849" s="72" t="e">
        <f>_xlfn.TEXTJOIN(", ",TRUE,B849,#REF!,#REF!,#REF!,D849,E849)</f>
        <v>#REF!</v>
      </c>
      <c r="H849" s="99"/>
      <c r="I849" s="99"/>
      <c r="J849" s="99"/>
      <c r="K849" s="99"/>
      <c r="L849" s="99"/>
      <c r="M849" s="77" t="s">
        <v>2599</v>
      </c>
    </row>
    <row r="850" spans="1:13" s="103" customFormat="1" ht="10.9" customHeight="1" x14ac:dyDescent="0.25">
      <c r="A850" s="89" t="s">
        <v>2600</v>
      </c>
      <c r="B850" s="98" t="s">
        <v>2601</v>
      </c>
      <c r="C850" s="101" t="s">
        <v>5347</v>
      </c>
      <c r="D850" s="101" t="s">
        <v>2556</v>
      </c>
      <c r="E850" s="73" t="s">
        <v>2556</v>
      </c>
      <c r="F850" s="100" t="s">
        <v>98</v>
      </c>
      <c r="G850" s="72" t="e">
        <f>_xlfn.TEXTJOIN(", ",TRUE,B850,#REF!,#REF!,#REF!,D850,E850)</f>
        <v>#REF!</v>
      </c>
      <c r="H850" s="99">
        <v>44933</v>
      </c>
      <c r="I850" s="99"/>
      <c r="J850" s="99"/>
      <c r="K850" s="99"/>
      <c r="L850" s="99"/>
      <c r="M850" s="77" t="s">
        <v>88</v>
      </c>
    </row>
    <row r="851" spans="1:13" s="103" customFormat="1" ht="10.9" customHeight="1" x14ac:dyDescent="0.25">
      <c r="A851" s="89" t="s">
        <v>2602</v>
      </c>
      <c r="B851" s="104" t="s">
        <v>2603</v>
      </c>
      <c r="C851" s="101" t="s">
        <v>5347</v>
      </c>
      <c r="D851" s="101" t="s">
        <v>2556</v>
      </c>
      <c r="E851" s="73" t="s">
        <v>2604</v>
      </c>
      <c r="F851" s="100" t="s">
        <v>98</v>
      </c>
      <c r="G851" s="72" t="e">
        <f>_xlfn.TEXTJOIN(", ",TRUE,B851,#REF!,#REF!,#REF!,D851,E851)</f>
        <v>#REF!</v>
      </c>
      <c r="H851" s="99"/>
      <c r="I851" s="99"/>
      <c r="J851" s="99"/>
      <c r="K851" s="99"/>
      <c r="L851" s="99"/>
      <c r="M851" s="77">
        <v>0</v>
      </c>
    </row>
    <row r="852" spans="1:13" s="103" customFormat="1" ht="10.9" customHeight="1" x14ac:dyDescent="0.25">
      <c r="A852" s="89" t="s">
        <v>2605</v>
      </c>
      <c r="B852" s="102" t="s">
        <v>2606</v>
      </c>
      <c r="C852" s="101" t="s">
        <v>5347</v>
      </c>
      <c r="D852" s="101" t="s">
        <v>2556</v>
      </c>
      <c r="E852" s="73" t="s">
        <v>2556</v>
      </c>
      <c r="F852" s="100" t="s">
        <v>81</v>
      </c>
      <c r="G852" s="72" t="e">
        <f>_xlfn.TEXTJOIN(", ",TRUE,B852,#REF!,#REF!,#REF!,D852,E852)</f>
        <v>#REF!</v>
      </c>
      <c r="H852" s="99">
        <v>45363</v>
      </c>
      <c r="I852" s="99">
        <v>45363</v>
      </c>
      <c r="J852" s="99"/>
      <c r="K852" s="99"/>
      <c r="L852" s="99"/>
      <c r="M852" s="77">
        <v>0</v>
      </c>
    </row>
    <row r="853" spans="1:13" s="103" customFormat="1" ht="10.9" customHeight="1" x14ac:dyDescent="0.25">
      <c r="A853" s="89" t="s">
        <v>2607</v>
      </c>
      <c r="B853" s="104" t="s">
        <v>2608</v>
      </c>
      <c r="C853" s="101" t="s">
        <v>5347</v>
      </c>
      <c r="D853" s="101" t="s">
        <v>2556</v>
      </c>
      <c r="E853" s="74" t="s">
        <v>2609</v>
      </c>
      <c r="F853" s="100" t="s">
        <v>98</v>
      </c>
      <c r="G853" s="72" t="e">
        <f>_xlfn.TEXTJOIN(", ",TRUE,B853,#REF!,#REF!,#REF!,D853,E853)</f>
        <v>#REF!</v>
      </c>
      <c r="H853" s="99"/>
      <c r="I853" s="99"/>
      <c r="J853" s="99"/>
      <c r="K853" s="99"/>
      <c r="L853" s="99"/>
      <c r="M853" s="77">
        <v>0</v>
      </c>
    </row>
    <row r="854" spans="1:13" s="103" customFormat="1" ht="10.9" customHeight="1" x14ac:dyDescent="0.25">
      <c r="A854" s="89" t="s">
        <v>2610</v>
      </c>
      <c r="B854" s="98" t="s">
        <v>2611</v>
      </c>
      <c r="C854" s="101" t="s">
        <v>5347</v>
      </c>
      <c r="D854" s="101" t="s">
        <v>2556</v>
      </c>
      <c r="E854" s="73" t="s">
        <v>2556</v>
      </c>
      <c r="F854" s="100" t="s">
        <v>81</v>
      </c>
      <c r="G854" s="72" t="e">
        <f>_xlfn.TEXTJOIN(", ",TRUE,B854,#REF!,#REF!,#REF!,D854,E854)</f>
        <v>#REF!</v>
      </c>
      <c r="H854" s="99">
        <v>45592</v>
      </c>
      <c r="I854" s="99"/>
      <c r="J854" s="99"/>
      <c r="K854" s="99"/>
      <c r="L854" s="99"/>
      <c r="M854" s="77">
        <v>0</v>
      </c>
    </row>
    <row r="855" spans="1:13" s="103" customFormat="1" ht="10.9" customHeight="1" x14ac:dyDescent="0.25">
      <c r="A855" s="89" t="s">
        <v>2612</v>
      </c>
      <c r="B855" s="98" t="s">
        <v>2613</v>
      </c>
      <c r="C855" s="101" t="s">
        <v>5347</v>
      </c>
      <c r="D855" s="101" t="s">
        <v>2556</v>
      </c>
      <c r="E855" s="73" t="s">
        <v>2556</v>
      </c>
      <c r="F855" s="100" t="s">
        <v>81</v>
      </c>
      <c r="G855" s="72" t="e">
        <f>_xlfn.TEXTJOIN(", ",TRUE,B855,#REF!,#REF!,#REF!,D855,E855)</f>
        <v>#REF!</v>
      </c>
      <c r="H855" s="99"/>
      <c r="I855" s="99"/>
      <c r="J855" s="99"/>
      <c r="K855" s="99"/>
      <c r="L855" s="99"/>
      <c r="M855" s="77" t="s">
        <v>2614</v>
      </c>
    </row>
    <row r="856" spans="1:13" s="103" customFormat="1" ht="10.9" customHeight="1" x14ac:dyDescent="0.25">
      <c r="A856" s="89" t="s">
        <v>2615</v>
      </c>
      <c r="B856" s="104" t="s">
        <v>2616</v>
      </c>
      <c r="C856" s="101" t="s">
        <v>5347</v>
      </c>
      <c r="D856" s="101" t="s">
        <v>2556</v>
      </c>
      <c r="E856" s="74" t="s">
        <v>2617</v>
      </c>
      <c r="F856" s="100" t="s">
        <v>98</v>
      </c>
      <c r="G856" s="72" t="e">
        <f>_xlfn.TEXTJOIN(", ",TRUE,B856,#REF!,#REF!,#REF!,D856,E856)</f>
        <v>#REF!</v>
      </c>
      <c r="H856" s="99"/>
      <c r="I856" s="99"/>
      <c r="J856" s="99"/>
      <c r="K856" s="99"/>
      <c r="L856" s="99"/>
      <c r="M856" s="77" t="s">
        <v>88</v>
      </c>
    </row>
    <row r="857" spans="1:13" s="103" customFormat="1" ht="10.9" customHeight="1" x14ac:dyDescent="0.25">
      <c r="A857" s="89" t="s">
        <v>2618</v>
      </c>
      <c r="B857" s="104" t="s">
        <v>2619</v>
      </c>
      <c r="C857" s="101" t="s">
        <v>5347</v>
      </c>
      <c r="D857" s="101" t="s">
        <v>2556</v>
      </c>
      <c r="E857" s="73"/>
      <c r="F857" s="100" t="s">
        <v>98</v>
      </c>
      <c r="G857" s="72" t="e">
        <f>_xlfn.TEXTJOIN(", ",TRUE,B857,#REF!,#REF!,#REF!,D857,E857)</f>
        <v>#REF!</v>
      </c>
      <c r="H857" s="99"/>
      <c r="I857" s="99"/>
      <c r="J857" s="99"/>
      <c r="K857" s="99"/>
      <c r="L857" s="99"/>
      <c r="M857" s="77" t="s">
        <v>2620</v>
      </c>
    </row>
    <row r="858" spans="1:13" s="103" customFormat="1" ht="10.9" customHeight="1" x14ac:dyDescent="0.25">
      <c r="A858" s="89" t="s">
        <v>2621</v>
      </c>
      <c r="B858" s="98" t="s">
        <v>2622</v>
      </c>
      <c r="C858" s="101" t="s">
        <v>5347</v>
      </c>
      <c r="D858" s="101" t="s">
        <v>2556</v>
      </c>
      <c r="E858" s="73" t="s">
        <v>2556</v>
      </c>
      <c r="F858" s="100" t="s">
        <v>98</v>
      </c>
      <c r="G858" s="72" t="e">
        <f>_xlfn.TEXTJOIN(", ",TRUE,B858,#REF!,#REF!,#REF!,D858,E858)</f>
        <v>#REF!</v>
      </c>
      <c r="H858" s="99"/>
      <c r="I858" s="99"/>
      <c r="J858" s="99"/>
      <c r="K858" s="99"/>
      <c r="L858" s="99"/>
      <c r="M858" s="77" t="s">
        <v>2623</v>
      </c>
    </row>
    <row r="859" spans="1:13" s="103" customFormat="1" ht="10.9" customHeight="1" x14ac:dyDescent="0.25">
      <c r="A859" s="89" t="s">
        <v>2624</v>
      </c>
      <c r="B859" s="102" t="s">
        <v>2625</v>
      </c>
      <c r="C859" s="101" t="s">
        <v>5347</v>
      </c>
      <c r="D859" s="101" t="s">
        <v>2556</v>
      </c>
      <c r="E859" s="73" t="s">
        <v>2556</v>
      </c>
      <c r="F859" s="100" t="s">
        <v>81</v>
      </c>
      <c r="G859" s="72" t="e">
        <f>_xlfn.TEXTJOIN(", ",TRUE,B859,#REF!,#REF!,#REF!,D859,E859)</f>
        <v>#REF!</v>
      </c>
      <c r="H859" s="99">
        <v>45384</v>
      </c>
      <c r="I859" s="99"/>
      <c r="J859" s="99"/>
      <c r="K859" s="99"/>
      <c r="L859" s="99"/>
      <c r="M859" s="77" t="s">
        <v>88</v>
      </c>
    </row>
    <row r="860" spans="1:13" s="103" customFormat="1" ht="10.9" hidden="1" customHeight="1" x14ac:dyDescent="0.25">
      <c r="A860" s="89" t="s">
        <v>2626</v>
      </c>
      <c r="B860" s="98" t="s">
        <v>2627</v>
      </c>
      <c r="C860" s="101" t="s">
        <v>5349</v>
      </c>
      <c r="D860" s="101" t="s">
        <v>2628</v>
      </c>
      <c r="E860" s="73" t="s">
        <v>2628</v>
      </c>
      <c r="F860" s="100" t="s">
        <v>81</v>
      </c>
      <c r="G860" s="72" t="e">
        <f>_xlfn.TEXTJOIN(", ",TRUE,B860,#REF!,#REF!,#REF!,D860,E860)</f>
        <v>#REF!</v>
      </c>
      <c r="H860" s="99">
        <v>45443</v>
      </c>
      <c r="I860" s="99"/>
      <c r="J860" s="99"/>
      <c r="K860" s="99"/>
      <c r="L860" s="99"/>
      <c r="M860" s="77" t="s">
        <v>2629</v>
      </c>
    </row>
    <row r="861" spans="1:13" s="103" customFormat="1" ht="10.9" hidden="1" customHeight="1" x14ac:dyDescent="0.25">
      <c r="A861" s="89" t="s">
        <v>2630</v>
      </c>
      <c r="B861" s="98" t="s">
        <v>2631</v>
      </c>
      <c r="C861" s="101" t="s">
        <v>5349</v>
      </c>
      <c r="D861" s="101" t="s">
        <v>2632</v>
      </c>
      <c r="E861" s="73" t="s">
        <v>88</v>
      </c>
      <c r="F861" s="100" t="s">
        <v>98</v>
      </c>
      <c r="G861" s="72" t="e">
        <f>_xlfn.TEXTJOIN(", ",TRUE,B861,#REF!,#REF!,#REF!,D861,E861)</f>
        <v>#REF!</v>
      </c>
      <c r="H861" s="99"/>
      <c r="I861" s="99"/>
      <c r="J861" s="99"/>
      <c r="K861" s="99"/>
      <c r="L861" s="99"/>
      <c r="M861" s="77" t="s">
        <v>88</v>
      </c>
    </row>
    <row r="862" spans="1:13" s="103" customFormat="1" ht="10.9" hidden="1" customHeight="1" x14ac:dyDescent="0.25">
      <c r="A862" s="89" t="s">
        <v>2633</v>
      </c>
      <c r="B862" s="102" t="s">
        <v>2634</v>
      </c>
      <c r="C862" s="101" t="s">
        <v>5348</v>
      </c>
      <c r="D862" s="101" t="s">
        <v>2635</v>
      </c>
      <c r="E862" s="73" t="s">
        <v>88</v>
      </c>
      <c r="F862" s="100" t="s">
        <v>98</v>
      </c>
      <c r="G862" s="72" t="e">
        <f>_xlfn.TEXTJOIN(", ",TRUE,B862,#REF!,#REF!,#REF!,D862,E862)</f>
        <v>#REF!</v>
      </c>
      <c r="H862" s="99"/>
      <c r="I862" s="99"/>
      <c r="J862" s="99"/>
      <c r="K862" s="99"/>
      <c r="L862" s="99"/>
      <c r="M862" s="77" t="s">
        <v>88</v>
      </c>
    </row>
    <row r="863" spans="1:13" s="103" customFormat="1" ht="10.9" hidden="1" customHeight="1" x14ac:dyDescent="0.25">
      <c r="A863" s="89" t="s">
        <v>2636</v>
      </c>
      <c r="B863" s="98" t="s">
        <v>2637</v>
      </c>
      <c r="C863" s="101" t="s">
        <v>5349</v>
      </c>
      <c r="D863" s="101" t="s">
        <v>2638</v>
      </c>
      <c r="E863" s="73" t="s">
        <v>88</v>
      </c>
      <c r="F863" s="100" t="s">
        <v>98</v>
      </c>
      <c r="G863" s="72" t="e">
        <f>_xlfn.TEXTJOIN(", ",TRUE,B863,#REF!,#REF!,#REF!,D863,E863)</f>
        <v>#REF!</v>
      </c>
      <c r="H863" s="99"/>
      <c r="I863" s="99"/>
      <c r="J863" s="99"/>
      <c r="K863" s="99"/>
      <c r="L863" s="99"/>
      <c r="M863" s="77">
        <v>0</v>
      </c>
    </row>
    <row r="864" spans="1:13" s="103" customFormat="1" ht="10.9" hidden="1" customHeight="1" x14ac:dyDescent="0.25">
      <c r="A864" s="89" t="s">
        <v>2639</v>
      </c>
      <c r="B864" s="102" t="s">
        <v>2640</v>
      </c>
      <c r="C864" s="101" t="s">
        <v>5349</v>
      </c>
      <c r="D864" s="101" t="s">
        <v>2641</v>
      </c>
      <c r="E864" s="73" t="s">
        <v>88</v>
      </c>
      <c r="F864" s="100" t="s">
        <v>98</v>
      </c>
      <c r="G864" s="72" t="e">
        <f>_xlfn.TEXTJOIN(", ",TRUE,B864,#REF!,#REF!,#REF!,D864,E864)</f>
        <v>#REF!</v>
      </c>
      <c r="H864" s="99"/>
      <c r="I864" s="99"/>
      <c r="J864" s="99"/>
      <c r="K864" s="99"/>
      <c r="L864" s="99"/>
      <c r="M864" s="77" t="s">
        <v>2642</v>
      </c>
    </row>
    <row r="865" spans="1:13" s="103" customFormat="1" ht="10.9" hidden="1" customHeight="1" x14ac:dyDescent="0.25">
      <c r="A865" s="89" t="s">
        <v>2643</v>
      </c>
      <c r="B865" s="98" t="s">
        <v>2644</v>
      </c>
      <c r="C865" s="101" t="s">
        <v>5348</v>
      </c>
      <c r="D865" s="101" t="s">
        <v>738</v>
      </c>
      <c r="E865" s="74" t="s">
        <v>2645</v>
      </c>
      <c r="F865" s="100" t="s">
        <v>130</v>
      </c>
      <c r="G865" s="72" t="e">
        <f>_xlfn.TEXTJOIN(", ",TRUE,B865,#REF!,#REF!,#REF!,D865,E865)</f>
        <v>#REF!</v>
      </c>
      <c r="H865" s="99">
        <v>45183</v>
      </c>
      <c r="I865" s="99"/>
      <c r="J865" s="99"/>
      <c r="K865" s="99"/>
      <c r="L865" s="99"/>
      <c r="M865" s="77" t="s">
        <v>88</v>
      </c>
    </row>
    <row r="866" spans="1:13" s="103" customFormat="1" ht="10.9" hidden="1" customHeight="1" x14ac:dyDescent="0.25">
      <c r="A866" s="89" t="s">
        <v>2646</v>
      </c>
      <c r="B866" s="98" t="s">
        <v>2647</v>
      </c>
      <c r="C866" s="101" t="s">
        <v>5348</v>
      </c>
      <c r="D866" s="101" t="s">
        <v>738</v>
      </c>
      <c r="E866" s="74" t="s">
        <v>2648</v>
      </c>
      <c r="F866" s="100" t="s">
        <v>98</v>
      </c>
      <c r="G866" s="72" t="e">
        <f>_xlfn.TEXTJOIN(", ",TRUE,B866,#REF!,#REF!,#REF!,D866,E866)</f>
        <v>#REF!</v>
      </c>
      <c r="H866" s="99">
        <v>44992</v>
      </c>
      <c r="I866" s="99">
        <v>45454</v>
      </c>
      <c r="J866" s="99"/>
      <c r="K866" s="99"/>
      <c r="L866" s="99"/>
      <c r="M866" s="77" t="s">
        <v>88</v>
      </c>
    </row>
    <row r="867" spans="1:13" s="103" customFormat="1" ht="10.9" hidden="1" customHeight="1" x14ac:dyDescent="0.25">
      <c r="A867" s="89" t="s">
        <v>2649</v>
      </c>
      <c r="B867" s="98" t="s">
        <v>2650</v>
      </c>
      <c r="C867" s="101" t="s">
        <v>5348</v>
      </c>
      <c r="D867" s="101" t="s">
        <v>738</v>
      </c>
      <c r="E867" s="74" t="s">
        <v>2651</v>
      </c>
      <c r="F867" s="100" t="s">
        <v>98</v>
      </c>
      <c r="G867" s="72" t="e">
        <f>_xlfn.TEXTJOIN(", ",TRUE,B867,#REF!,#REF!,#REF!,D867,E867)</f>
        <v>#REF!</v>
      </c>
      <c r="H867" s="99"/>
      <c r="I867" s="99"/>
      <c r="J867" s="99"/>
      <c r="K867" s="99"/>
      <c r="L867" s="99"/>
      <c r="M867" s="77">
        <v>0</v>
      </c>
    </row>
    <row r="868" spans="1:13" s="103" customFormat="1" ht="10.9" hidden="1" customHeight="1" x14ac:dyDescent="0.25">
      <c r="A868" s="89" t="s">
        <v>2652</v>
      </c>
      <c r="B868" s="104" t="s">
        <v>2653</v>
      </c>
      <c r="C868" s="101" t="s">
        <v>5348</v>
      </c>
      <c r="D868" s="101" t="s">
        <v>738</v>
      </c>
      <c r="E868" s="74" t="s">
        <v>2654</v>
      </c>
      <c r="F868" s="100" t="s">
        <v>98</v>
      </c>
      <c r="G868" s="72" t="e">
        <f>_xlfn.TEXTJOIN(", ",TRUE,B868,#REF!,#REF!,#REF!,D868,E868)</f>
        <v>#REF!</v>
      </c>
      <c r="H868" s="99"/>
      <c r="I868" s="99"/>
      <c r="J868" s="99"/>
      <c r="K868" s="99"/>
      <c r="L868" s="99"/>
      <c r="M868" s="77">
        <v>0</v>
      </c>
    </row>
    <row r="869" spans="1:13" s="103" customFormat="1" ht="10.9" hidden="1" customHeight="1" x14ac:dyDescent="0.25">
      <c r="A869" s="89" t="s">
        <v>2655</v>
      </c>
      <c r="B869" s="102" t="s">
        <v>2656</v>
      </c>
      <c r="C869" s="101" t="s">
        <v>5348</v>
      </c>
      <c r="D869" s="101" t="s">
        <v>2657</v>
      </c>
      <c r="E869" s="73" t="s">
        <v>2657</v>
      </c>
      <c r="F869" s="100" t="s">
        <v>437</v>
      </c>
      <c r="G869" s="72" t="e">
        <f>_xlfn.TEXTJOIN(", ",TRUE,B869,#REF!,#REF!,#REF!,D869,E869)</f>
        <v>#REF!</v>
      </c>
      <c r="H869" s="99">
        <v>45817</v>
      </c>
      <c r="I869" s="99"/>
      <c r="J869" s="99"/>
      <c r="K869" s="99"/>
      <c r="L869" s="99"/>
      <c r="M869" s="77">
        <v>0</v>
      </c>
    </row>
    <row r="870" spans="1:13" s="103" customFormat="1" ht="10.9" hidden="1" customHeight="1" x14ac:dyDescent="0.25">
      <c r="A870" s="89" t="s">
        <v>2658</v>
      </c>
      <c r="B870" s="104" t="s">
        <v>2659</v>
      </c>
      <c r="C870" s="101" t="s">
        <v>5349</v>
      </c>
      <c r="D870" s="101" t="s">
        <v>2660</v>
      </c>
      <c r="E870" s="73" t="s">
        <v>88</v>
      </c>
      <c r="F870" s="100" t="s">
        <v>98</v>
      </c>
      <c r="G870" s="72" t="e">
        <f>_xlfn.TEXTJOIN(", ",TRUE,B870,#REF!,#REF!,#REF!,D870,E870)</f>
        <v>#REF!</v>
      </c>
      <c r="H870" s="99"/>
      <c r="I870" s="99"/>
      <c r="J870" s="99"/>
      <c r="K870" s="99"/>
      <c r="L870" s="99"/>
      <c r="M870" s="77" t="s">
        <v>2661</v>
      </c>
    </row>
    <row r="871" spans="1:13" s="103" customFormat="1" ht="10.9" hidden="1" customHeight="1" x14ac:dyDescent="0.25">
      <c r="A871" s="89" t="s">
        <v>2662</v>
      </c>
      <c r="B871" s="98" t="s">
        <v>2663</v>
      </c>
      <c r="C871" s="101" t="s">
        <v>5349</v>
      </c>
      <c r="D871" s="101" t="s">
        <v>2664</v>
      </c>
      <c r="E871" s="73" t="s">
        <v>2664</v>
      </c>
      <c r="F871" s="100" t="s">
        <v>81</v>
      </c>
      <c r="G871" s="72" t="e">
        <f>_xlfn.TEXTJOIN(", ",TRUE,B871,#REF!,#REF!,#REF!,D871,E871)</f>
        <v>#REF!</v>
      </c>
      <c r="H871" s="99"/>
      <c r="I871" s="99"/>
      <c r="J871" s="99"/>
      <c r="K871" s="99"/>
      <c r="L871" s="99"/>
      <c r="M871" s="77">
        <v>0</v>
      </c>
    </row>
    <row r="872" spans="1:13" s="103" customFormat="1" ht="10.9" hidden="1" customHeight="1" x14ac:dyDescent="0.25">
      <c r="A872" s="89" t="s">
        <v>2665</v>
      </c>
      <c r="B872" s="98" t="s">
        <v>2666</v>
      </c>
      <c r="C872" s="101" t="s">
        <v>5349</v>
      </c>
      <c r="D872" s="101" t="s">
        <v>2664</v>
      </c>
      <c r="E872" s="73" t="s">
        <v>2664</v>
      </c>
      <c r="F872" s="100" t="s">
        <v>98</v>
      </c>
      <c r="G872" s="72" t="e">
        <f>_xlfn.TEXTJOIN(", ",TRUE,B872,#REF!,#REF!,#REF!,D872,E872)</f>
        <v>#REF!</v>
      </c>
      <c r="H872" s="99"/>
      <c r="I872" s="99"/>
      <c r="J872" s="99"/>
      <c r="K872" s="99"/>
      <c r="L872" s="99"/>
      <c r="M872" s="77" t="s">
        <v>88</v>
      </c>
    </row>
    <row r="873" spans="1:13" s="103" customFormat="1" ht="10.9" hidden="1" customHeight="1" x14ac:dyDescent="0.25">
      <c r="A873" s="89" t="s">
        <v>2667</v>
      </c>
      <c r="B873" s="102" t="s">
        <v>2668</v>
      </c>
      <c r="C873" s="101" t="s">
        <v>5349</v>
      </c>
      <c r="D873" s="101" t="s">
        <v>2664</v>
      </c>
      <c r="E873" s="73" t="s">
        <v>2664</v>
      </c>
      <c r="F873" s="100" t="s">
        <v>130</v>
      </c>
      <c r="G873" s="72" t="e">
        <f>_xlfn.TEXTJOIN(", ",TRUE,B873,#REF!,#REF!,#REF!,D873,E873)</f>
        <v>#REF!</v>
      </c>
      <c r="H873" s="99"/>
      <c r="I873" s="99"/>
      <c r="J873" s="99"/>
      <c r="K873" s="99"/>
      <c r="L873" s="99"/>
      <c r="M873" s="77">
        <v>0</v>
      </c>
    </row>
    <row r="874" spans="1:13" s="103" customFormat="1" ht="10.9" hidden="1" customHeight="1" x14ac:dyDescent="0.25">
      <c r="A874" s="89" t="s">
        <v>2669</v>
      </c>
      <c r="B874" s="98" t="s">
        <v>2670</v>
      </c>
      <c r="C874" s="101" t="s">
        <v>5348</v>
      </c>
      <c r="D874" s="101" t="s">
        <v>2671</v>
      </c>
      <c r="E874" s="73" t="s">
        <v>2672</v>
      </c>
      <c r="F874" s="100" t="s">
        <v>98</v>
      </c>
      <c r="G874" s="72" t="e">
        <f>_xlfn.TEXTJOIN(", ",TRUE,B874,#REF!,#REF!,#REF!,D874,E874)</f>
        <v>#REF!</v>
      </c>
      <c r="H874" s="99">
        <v>45659</v>
      </c>
      <c r="I874" s="99"/>
      <c r="J874" s="99"/>
      <c r="K874" s="99"/>
      <c r="L874" s="99"/>
      <c r="M874" s="77" t="s">
        <v>88</v>
      </c>
    </row>
    <row r="875" spans="1:13" s="103" customFormat="1" ht="10.9" hidden="1" customHeight="1" x14ac:dyDescent="0.25">
      <c r="A875" s="89" t="s">
        <v>655</v>
      </c>
      <c r="B875" s="102" t="s">
        <v>2673</v>
      </c>
      <c r="C875" s="101" t="s">
        <v>5349</v>
      </c>
      <c r="D875" s="101" t="s">
        <v>2674</v>
      </c>
      <c r="E875" s="73" t="s">
        <v>2674</v>
      </c>
      <c r="F875" s="100" t="s">
        <v>98</v>
      </c>
      <c r="G875" s="72" t="e">
        <f>_xlfn.TEXTJOIN(", ",TRUE,B875,#REF!,#REF!,#REF!,D875,E875)</f>
        <v>#REF!</v>
      </c>
      <c r="H875" s="99"/>
      <c r="I875" s="99"/>
      <c r="J875" s="99"/>
      <c r="K875" s="99"/>
      <c r="L875" s="99"/>
      <c r="M875" s="77" t="s">
        <v>2675</v>
      </c>
    </row>
    <row r="876" spans="1:13" s="103" customFormat="1" ht="10.9" customHeight="1" x14ac:dyDescent="0.25">
      <c r="A876" s="89" t="s">
        <v>2676</v>
      </c>
      <c r="B876" s="98" t="s">
        <v>2677</v>
      </c>
      <c r="C876" s="101" t="s">
        <v>5347</v>
      </c>
      <c r="D876" s="101" t="s">
        <v>2678</v>
      </c>
      <c r="E876" s="74" t="s">
        <v>2679</v>
      </c>
      <c r="F876" s="100" t="s">
        <v>81</v>
      </c>
      <c r="G876" s="72" t="e">
        <f>_xlfn.TEXTJOIN(", ",TRUE,B876,#REF!,#REF!,#REF!,D876,E876)</f>
        <v>#REF!</v>
      </c>
      <c r="H876" s="99"/>
      <c r="I876" s="99"/>
      <c r="J876" s="99"/>
      <c r="K876" s="99"/>
      <c r="L876" s="99"/>
      <c r="M876" s="77" t="s">
        <v>88</v>
      </c>
    </row>
    <row r="877" spans="1:13" s="103" customFormat="1" ht="10.9" customHeight="1" x14ac:dyDescent="0.25">
      <c r="A877" s="89" t="s">
        <v>2680</v>
      </c>
      <c r="B877" s="98" t="s">
        <v>2681</v>
      </c>
      <c r="C877" s="101" t="s">
        <v>5347</v>
      </c>
      <c r="D877" s="101" t="s">
        <v>2678</v>
      </c>
      <c r="E877" s="73" t="s">
        <v>2682</v>
      </c>
      <c r="F877" s="100" t="s">
        <v>81</v>
      </c>
      <c r="G877" s="72" t="e">
        <f>_xlfn.TEXTJOIN(", ",TRUE,B877,#REF!,#REF!,#REF!,D877,E877)</f>
        <v>#REF!</v>
      </c>
      <c r="H877" s="99"/>
      <c r="I877" s="99"/>
      <c r="J877" s="99"/>
      <c r="K877" s="99"/>
      <c r="L877" s="99"/>
      <c r="M877" s="77" t="s">
        <v>2683</v>
      </c>
    </row>
    <row r="878" spans="1:13" s="103" customFormat="1" ht="10.9" customHeight="1" x14ac:dyDescent="0.25">
      <c r="A878" s="89" t="s">
        <v>2684</v>
      </c>
      <c r="B878" s="102" t="s">
        <v>2685</v>
      </c>
      <c r="C878" s="101" t="s">
        <v>5347</v>
      </c>
      <c r="D878" s="101" t="s">
        <v>2686</v>
      </c>
      <c r="E878" s="73" t="s">
        <v>2687</v>
      </c>
      <c r="F878" s="100" t="s">
        <v>251</v>
      </c>
      <c r="G878" s="72" t="e">
        <f>_xlfn.TEXTJOIN(", ",TRUE,B878,#REF!,#REF!,#REF!,D878,E878)</f>
        <v>#REF!</v>
      </c>
      <c r="H878" s="99">
        <v>45377</v>
      </c>
      <c r="I878" s="99"/>
      <c r="J878" s="99"/>
      <c r="K878" s="99"/>
      <c r="L878" s="99"/>
      <c r="M878" s="77" t="s">
        <v>88</v>
      </c>
    </row>
    <row r="879" spans="1:13" s="103" customFormat="1" ht="10.9" customHeight="1" x14ac:dyDescent="0.25">
      <c r="A879" s="89" t="s">
        <v>2688</v>
      </c>
      <c r="B879" s="98" t="s">
        <v>2689</v>
      </c>
      <c r="C879" s="101" t="s">
        <v>5347</v>
      </c>
      <c r="D879" s="101" t="s">
        <v>2686</v>
      </c>
      <c r="E879" s="74" t="s">
        <v>2690</v>
      </c>
      <c r="F879" s="100" t="s">
        <v>98</v>
      </c>
      <c r="G879" s="72" t="e">
        <f>_xlfn.TEXTJOIN(", ",TRUE,B879,#REF!,#REF!,#REF!,D879,E879)</f>
        <v>#REF!</v>
      </c>
      <c r="H879" s="99"/>
      <c r="I879" s="99"/>
      <c r="J879" s="99"/>
      <c r="K879" s="99"/>
      <c r="L879" s="99"/>
      <c r="M879" s="77" t="s">
        <v>2691</v>
      </c>
    </row>
    <row r="880" spans="1:13" s="103" customFormat="1" ht="10.9" customHeight="1" x14ac:dyDescent="0.25">
      <c r="A880" s="89" t="s">
        <v>2692</v>
      </c>
      <c r="B880" s="98" t="s">
        <v>2693</v>
      </c>
      <c r="C880" s="101" t="s">
        <v>5347</v>
      </c>
      <c r="D880" s="101" t="s">
        <v>2686</v>
      </c>
      <c r="E880" s="74" t="s">
        <v>2694</v>
      </c>
      <c r="F880" s="100" t="s">
        <v>98</v>
      </c>
      <c r="G880" s="72" t="e">
        <f>_xlfn.TEXTJOIN(", ",TRUE,B880,#REF!,#REF!,#REF!,D880,E880)</f>
        <v>#REF!</v>
      </c>
      <c r="H880" s="99"/>
      <c r="I880" s="99"/>
      <c r="J880" s="99"/>
      <c r="K880" s="99"/>
      <c r="L880" s="99"/>
      <c r="M880" s="77" t="s">
        <v>88</v>
      </c>
    </row>
    <row r="881" spans="1:13" s="103" customFormat="1" ht="10.9" customHeight="1" x14ac:dyDescent="0.25">
      <c r="A881" s="89" t="s">
        <v>2695</v>
      </c>
      <c r="B881" s="98" t="s">
        <v>2696</v>
      </c>
      <c r="C881" s="101" t="s">
        <v>5347</v>
      </c>
      <c r="D881" s="101" t="s">
        <v>2686</v>
      </c>
      <c r="E881" s="73" t="s">
        <v>2686</v>
      </c>
      <c r="F881" s="100" t="s">
        <v>98</v>
      </c>
      <c r="G881" s="72" t="e">
        <f>_xlfn.TEXTJOIN(", ",TRUE,B881,#REF!,#REF!,#REF!,D881,E881)</f>
        <v>#REF!</v>
      </c>
      <c r="H881" s="99"/>
      <c r="I881" s="99">
        <v>45511</v>
      </c>
      <c r="J881" s="99"/>
      <c r="K881" s="99"/>
      <c r="L881" s="99"/>
      <c r="M881" s="77" t="s">
        <v>88</v>
      </c>
    </row>
    <row r="882" spans="1:13" s="103" customFormat="1" ht="10.9" customHeight="1" x14ac:dyDescent="0.25">
      <c r="A882" s="89" t="s">
        <v>2697</v>
      </c>
      <c r="B882" s="98" t="s">
        <v>2698</v>
      </c>
      <c r="C882" s="101" t="s">
        <v>5347</v>
      </c>
      <c r="D882" s="101" t="s">
        <v>2686</v>
      </c>
      <c r="E882" s="73" t="s">
        <v>2686</v>
      </c>
      <c r="F882" s="100" t="s">
        <v>81</v>
      </c>
      <c r="G882" s="72" t="e">
        <f>_xlfn.TEXTJOIN(", ",TRUE,B882,#REF!,#REF!,#REF!,D882,E882)</f>
        <v>#REF!</v>
      </c>
      <c r="H882" s="99">
        <v>45029</v>
      </c>
      <c r="I882" s="99"/>
      <c r="J882" s="99"/>
      <c r="K882" s="99"/>
      <c r="L882" s="99"/>
      <c r="M882" s="77">
        <v>0</v>
      </c>
    </row>
    <row r="883" spans="1:13" s="103" customFormat="1" ht="10.9" customHeight="1" x14ac:dyDescent="0.25">
      <c r="A883" s="89" t="s">
        <v>2699</v>
      </c>
      <c r="B883" s="98" t="s">
        <v>2700</v>
      </c>
      <c r="C883" s="101" t="s">
        <v>5347</v>
      </c>
      <c r="D883" s="101" t="s">
        <v>2701</v>
      </c>
      <c r="E883" s="73" t="s">
        <v>2702</v>
      </c>
      <c r="F883" s="100" t="s">
        <v>81</v>
      </c>
      <c r="G883" s="72" t="e">
        <f>_xlfn.TEXTJOIN(", ",TRUE,B883,#REF!,#REF!,#REF!,D883,E883)</f>
        <v>#REF!</v>
      </c>
      <c r="H883" s="99"/>
      <c r="I883" s="99"/>
      <c r="J883" s="99"/>
      <c r="K883" s="99"/>
      <c r="L883" s="99"/>
      <c r="M883" s="77">
        <v>0</v>
      </c>
    </row>
    <row r="884" spans="1:13" s="103" customFormat="1" ht="10.9" customHeight="1" x14ac:dyDescent="0.25">
      <c r="A884" s="89" t="s">
        <v>2703</v>
      </c>
      <c r="B884" s="98" t="s">
        <v>2704</v>
      </c>
      <c r="C884" s="101" t="s">
        <v>5347</v>
      </c>
      <c r="D884" s="101" t="s">
        <v>2701</v>
      </c>
      <c r="E884" s="73" t="s">
        <v>2705</v>
      </c>
      <c r="F884" s="100" t="s">
        <v>81</v>
      </c>
      <c r="G884" s="72" t="e">
        <f>_xlfn.TEXTJOIN(", ",TRUE,B884,#REF!,#REF!,#REF!,D884,E884)</f>
        <v>#REF!</v>
      </c>
      <c r="H884" s="99"/>
      <c r="I884" s="99"/>
      <c r="J884" s="99"/>
      <c r="K884" s="99"/>
      <c r="L884" s="99"/>
      <c r="M884" s="77">
        <v>0</v>
      </c>
    </row>
    <row r="885" spans="1:13" s="103" customFormat="1" ht="10.9" customHeight="1" x14ac:dyDescent="0.25">
      <c r="A885" s="89" t="s">
        <v>2706</v>
      </c>
      <c r="B885" s="98" t="s">
        <v>2707</v>
      </c>
      <c r="C885" s="101" t="s">
        <v>5347</v>
      </c>
      <c r="D885" s="101" t="s">
        <v>2701</v>
      </c>
      <c r="E885" s="73" t="s">
        <v>2708</v>
      </c>
      <c r="F885" s="100" t="s">
        <v>81</v>
      </c>
      <c r="G885" s="72" t="e">
        <f>_xlfn.TEXTJOIN(", ",TRUE,B885,#REF!,#REF!,#REF!,D885,E885)</f>
        <v>#REF!</v>
      </c>
      <c r="H885" s="99">
        <v>44347</v>
      </c>
      <c r="I885" s="99">
        <v>44347</v>
      </c>
      <c r="J885" s="99"/>
      <c r="K885" s="99"/>
      <c r="L885" s="99"/>
      <c r="M885" s="77" t="s">
        <v>88</v>
      </c>
    </row>
    <row r="886" spans="1:13" s="103" customFormat="1" ht="10.9" customHeight="1" x14ac:dyDescent="0.25">
      <c r="A886" s="89" t="s">
        <v>2709</v>
      </c>
      <c r="B886" s="98" t="s">
        <v>2710</v>
      </c>
      <c r="C886" s="101" t="s">
        <v>5347</v>
      </c>
      <c r="D886" s="101" t="s">
        <v>2701</v>
      </c>
      <c r="E886" s="74" t="s">
        <v>2711</v>
      </c>
      <c r="F886" s="100" t="s">
        <v>251</v>
      </c>
      <c r="G886" s="72" t="e">
        <f>_xlfn.TEXTJOIN(", ",TRUE,B886,#REF!,#REF!,#REF!,D886,E886)</f>
        <v>#REF!</v>
      </c>
      <c r="H886" s="99"/>
      <c r="I886" s="99"/>
      <c r="J886" s="99"/>
      <c r="K886" s="99"/>
      <c r="L886" s="99"/>
      <c r="M886" s="77" t="s">
        <v>88</v>
      </c>
    </row>
    <row r="887" spans="1:13" s="103" customFormat="1" ht="10.9" customHeight="1" x14ac:dyDescent="0.25">
      <c r="A887" s="89" t="s">
        <v>2712</v>
      </c>
      <c r="B887" s="98" t="s">
        <v>2713</v>
      </c>
      <c r="C887" s="101" t="s">
        <v>5347</v>
      </c>
      <c r="D887" s="101" t="s">
        <v>2701</v>
      </c>
      <c r="E887" s="73" t="s">
        <v>2705</v>
      </c>
      <c r="F887" s="100" t="s">
        <v>130</v>
      </c>
      <c r="G887" s="72" t="e">
        <f>_xlfn.TEXTJOIN(", ",TRUE,B887,#REF!,#REF!,#REF!,D887,E887)</f>
        <v>#REF!</v>
      </c>
      <c r="H887" s="99"/>
      <c r="I887" s="99"/>
      <c r="J887" s="99"/>
      <c r="K887" s="99"/>
      <c r="L887" s="99"/>
      <c r="M887" s="77" t="s">
        <v>88</v>
      </c>
    </row>
    <row r="888" spans="1:13" s="103" customFormat="1" ht="10.9" customHeight="1" x14ac:dyDescent="0.25">
      <c r="A888" s="89" t="s">
        <v>2714</v>
      </c>
      <c r="B888" s="98" t="s">
        <v>2715</v>
      </c>
      <c r="C888" s="101" t="s">
        <v>5347</v>
      </c>
      <c r="D888" s="101" t="s">
        <v>2701</v>
      </c>
      <c r="E888" s="74" t="s">
        <v>2716</v>
      </c>
      <c r="F888" s="100" t="s">
        <v>130</v>
      </c>
      <c r="G888" s="72" t="e">
        <f>_xlfn.TEXTJOIN(", ",TRUE,B888,#REF!,#REF!,#REF!,D888,E888)</f>
        <v>#REF!</v>
      </c>
      <c r="H888" s="99">
        <v>45730</v>
      </c>
      <c r="I888" s="99"/>
      <c r="J888" s="99"/>
      <c r="K888" s="99"/>
      <c r="L888" s="99"/>
      <c r="M888" s="77" t="s">
        <v>88</v>
      </c>
    </row>
    <row r="889" spans="1:13" s="103" customFormat="1" ht="10.9" customHeight="1" x14ac:dyDescent="0.25">
      <c r="A889" s="89" t="s">
        <v>2717</v>
      </c>
      <c r="B889" s="98" t="s">
        <v>2718</v>
      </c>
      <c r="C889" s="101" t="s">
        <v>5347</v>
      </c>
      <c r="D889" s="101" t="s">
        <v>2701</v>
      </c>
      <c r="E889" s="74" t="s">
        <v>2719</v>
      </c>
      <c r="F889" s="100" t="s">
        <v>282</v>
      </c>
      <c r="G889" s="72" t="e">
        <f>_xlfn.TEXTJOIN(", ",TRUE,B889,#REF!,#REF!,#REF!,D889,E889)</f>
        <v>#REF!</v>
      </c>
      <c r="H889" s="99"/>
      <c r="I889" s="99"/>
      <c r="J889" s="99"/>
      <c r="K889" s="99"/>
      <c r="L889" s="99"/>
      <c r="M889" s="77" t="s">
        <v>643</v>
      </c>
    </row>
    <row r="890" spans="1:13" s="103" customFormat="1" ht="10.9" customHeight="1" x14ac:dyDescent="0.25">
      <c r="A890" s="89" t="s">
        <v>2720</v>
      </c>
      <c r="B890" s="98" t="s">
        <v>2721</v>
      </c>
      <c r="C890" s="101" t="s">
        <v>5347</v>
      </c>
      <c r="D890" s="101" t="s">
        <v>2701</v>
      </c>
      <c r="E890" s="74" t="s">
        <v>2722</v>
      </c>
      <c r="F890" s="100" t="s">
        <v>98</v>
      </c>
      <c r="G890" s="72" t="e">
        <f>_xlfn.TEXTJOIN(", ",TRUE,B890,#REF!,#REF!,#REF!,D890,E890)</f>
        <v>#REF!</v>
      </c>
      <c r="H890" s="99"/>
      <c r="I890" s="99"/>
      <c r="J890" s="99"/>
      <c r="K890" s="99"/>
      <c r="L890" s="99"/>
      <c r="M890" s="77">
        <v>0</v>
      </c>
    </row>
    <row r="891" spans="1:13" s="103" customFormat="1" ht="10.9" customHeight="1" x14ac:dyDescent="0.25">
      <c r="A891" s="89" t="s">
        <v>2723</v>
      </c>
      <c r="B891" s="98" t="s">
        <v>2724</v>
      </c>
      <c r="C891" s="101" t="s">
        <v>5347</v>
      </c>
      <c r="D891" s="101" t="s">
        <v>2701</v>
      </c>
      <c r="E891" s="73" t="s">
        <v>2725</v>
      </c>
      <c r="F891" s="100" t="s">
        <v>81</v>
      </c>
      <c r="G891" s="72" t="e">
        <f>_xlfn.TEXTJOIN(", ",TRUE,B891,#REF!,#REF!,#REF!,D891,E891)</f>
        <v>#REF!</v>
      </c>
      <c r="H891" s="99">
        <v>45354</v>
      </c>
      <c r="I891" s="99"/>
      <c r="J891" s="99"/>
      <c r="K891" s="99"/>
      <c r="L891" s="99"/>
      <c r="M891" s="77" t="s">
        <v>88</v>
      </c>
    </row>
    <row r="892" spans="1:13" s="103" customFormat="1" ht="10.9" customHeight="1" x14ac:dyDescent="0.25">
      <c r="A892" s="89" t="s">
        <v>2726</v>
      </c>
      <c r="B892" s="98" t="s">
        <v>2727</v>
      </c>
      <c r="C892" s="101" t="s">
        <v>5347</v>
      </c>
      <c r="D892" s="101" t="s">
        <v>2701</v>
      </c>
      <c r="E892" s="73" t="s">
        <v>2728</v>
      </c>
      <c r="F892" s="100" t="s">
        <v>130</v>
      </c>
      <c r="G892" s="72" t="e">
        <f>_xlfn.TEXTJOIN(", ",TRUE,B892,#REF!,#REF!,#REF!,D892,E892)</f>
        <v>#REF!</v>
      </c>
      <c r="H892" s="99"/>
      <c r="I892" s="99" t="s">
        <v>88</v>
      </c>
      <c r="J892" s="99"/>
      <c r="K892" s="99" t="s">
        <v>88</v>
      </c>
      <c r="L892" s="99" t="s">
        <v>88</v>
      </c>
      <c r="M892" s="77" t="s">
        <v>88</v>
      </c>
    </row>
    <row r="893" spans="1:13" s="103" customFormat="1" ht="10.9" customHeight="1" x14ac:dyDescent="0.25">
      <c r="A893" s="89" t="s">
        <v>2729</v>
      </c>
      <c r="B893" s="98" t="s">
        <v>2730</v>
      </c>
      <c r="C893" s="101" t="s">
        <v>5347</v>
      </c>
      <c r="D893" s="101" t="s">
        <v>2701</v>
      </c>
      <c r="E893" s="73" t="s">
        <v>2731</v>
      </c>
      <c r="F893" s="100" t="s">
        <v>130</v>
      </c>
      <c r="G893" s="72" t="e">
        <f>_xlfn.TEXTJOIN(", ",TRUE,B893,#REF!,#REF!,#REF!,D893,E893)</f>
        <v>#REF!</v>
      </c>
      <c r="H893" s="99">
        <v>45517</v>
      </c>
      <c r="I893" s="99"/>
      <c r="J893" s="99"/>
      <c r="K893" s="99"/>
      <c r="L893" s="99"/>
      <c r="M893" s="77" t="s">
        <v>159</v>
      </c>
    </row>
    <row r="894" spans="1:13" s="103" customFormat="1" ht="10.9" customHeight="1" x14ac:dyDescent="0.25">
      <c r="A894" s="89" t="s">
        <v>2732</v>
      </c>
      <c r="B894" s="98" t="s">
        <v>2733</v>
      </c>
      <c r="C894" s="101" t="s">
        <v>5347</v>
      </c>
      <c r="D894" s="101" t="s">
        <v>2701</v>
      </c>
      <c r="E894" s="73" t="s">
        <v>2705</v>
      </c>
      <c r="F894" s="100" t="s">
        <v>81</v>
      </c>
      <c r="G894" s="72" t="e">
        <f>_xlfn.TEXTJOIN(", ",TRUE,B894,#REF!,#REF!,#REF!,D894,E894)</f>
        <v>#REF!</v>
      </c>
      <c r="H894" s="99">
        <v>45200</v>
      </c>
      <c r="I894" s="99"/>
      <c r="J894" s="99"/>
      <c r="K894" s="99"/>
      <c r="L894" s="99"/>
      <c r="M894" s="77" t="s">
        <v>88</v>
      </c>
    </row>
    <row r="895" spans="1:13" s="103" customFormat="1" ht="10.9" customHeight="1" x14ac:dyDescent="0.25">
      <c r="A895" s="89" t="s">
        <v>2732</v>
      </c>
      <c r="B895" s="98" t="s">
        <v>2733</v>
      </c>
      <c r="C895" s="101" t="s">
        <v>5347</v>
      </c>
      <c r="D895" s="101" t="s">
        <v>2701</v>
      </c>
      <c r="E895" s="73" t="s">
        <v>2705</v>
      </c>
      <c r="F895" s="100" t="s">
        <v>81</v>
      </c>
      <c r="G895" s="72" t="e">
        <f>_xlfn.TEXTJOIN(", ",TRUE,B895,#REF!,#REF!,#REF!,D895,E895)</f>
        <v>#REF!</v>
      </c>
      <c r="H895" s="99">
        <v>45200</v>
      </c>
      <c r="I895" s="99"/>
      <c r="J895" s="99"/>
      <c r="K895" s="99"/>
      <c r="L895" s="99"/>
      <c r="M895" s="77">
        <v>0</v>
      </c>
    </row>
    <row r="896" spans="1:13" s="103" customFormat="1" ht="10.9" customHeight="1" x14ac:dyDescent="0.25">
      <c r="A896" s="89" t="s">
        <v>2734</v>
      </c>
      <c r="B896" s="98" t="s">
        <v>2735</v>
      </c>
      <c r="C896" s="101" t="s">
        <v>5347</v>
      </c>
      <c r="D896" s="101" t="s">
        <v>2701</v>
      </c>
      <c r="E896" s="74" t="s">
        <v>2736</v>
      </c>
      <c r="F896" s="100" t="s">
        <v>130</v>
      </c>
      <c r="G896" s="72" t="e">
        <f>_xlfn.TEXTJOIN(", ",TRUE,B896,#REF!,#REF!,#REF!,D896,E896)</f>
        <v>#REF!</v>
      </c>
      <c r="H896" s="99"/>
      <c r="I896" s="99">
        <v>45214</v>
      </c>
      <c r="J896" s="99">
        <v>46041</v>
      </c>
      <c r="K896" s="99"/>
      <c r="L896" s="99"/>
      <c r="M896" s="77">
        <v>0</v>
      </c>
    </row>
    <row r="897" spans="1:13" s="103" customFormat="1" ht="10.9" customHeight="1" x14ac:dyDescent="0.25">
      <c r="A897" s="89" t="s">
        <v>2737</v>
      </c>
      <c r="B897" s="98" t="s">
        <v>2738</v>
      </c>
      <c r="C897" s="101" t="s">
        <v>5347</v>
      </c>
      <c r="D897" s="101" t="s">
        <v>2701</v>
      </c>
      <c r="E897" s="74" t="s">
        <v>2739</v>
      </c>
      <c r="F897" s="100" t="s">
        <v>98</v>
      </c>
      <c r="G897" s="72" t="e">
        <f>_xlfn.TEXTJOIN(", ",TRUE,B897,#REF!,#REF!,#REF!,D897,E897)</f>
        <v>#REF!</v>
      </c>
      <c r="H897" s="99"/>
      <c r="I897" s="99">
        <v>45307</v>
      </c>
      <c r="J897" s="99"/>
      <c r="K897" s="99"/>
      <c r="L897" s="99"/>
      <c r="M897" s="77" t="s">
        <v>643</v>
      </c>
    </row>
    <row r="898" spans="1:13" s="103" customFormat="1" ht="10.9" customHeight="1" x14ac:dyDescent="0.25">
      <c r="A898" s="89" t="s">
        <v>2740</v>
      </c>
      <c r="B898" s="98" t="s">
        <v>2741</v>
      </c>
      <c r="C898" s="101" t="s">
        <v>5347</v>
      </c>
      <c r="D898" s="101" t="s">
        <v>2701</v>
      </c>
      <c r="E898" s="73" t="s">
        <v>2742</v>
      </c>
      <c r="F898" s="100" t="s">
        <v>81</v>
      </c>
      <c r="G898" s="72" t="e">
        <f>_xlfn.TEXTJOIN(", ",TRUE,B898,#REF!,#REF!,#REF!,D898,E898)</f>
        <v>#REF!</v>
      </c>
      <c r="H898" s="99">
        <v>44896</v>
      </c>
      <c r="I898" s="99"/>
      <c r="J898" s="99"/>
      <c r="K898" s="99"/>
      <c r="L898" s="99"/>
      <c r="M898" s="77">
        <v>0</v>
      </c>
    </row>
    <row r="899" spans="1:13" s="103" customFormat="1" ht="10.9" customHeight="1" x14ac:dyDescent="0.25">
      <c r="A899" s="89" t="s">
        <v>2743</v>
      </c>
      <c r="B899" s="98" t="s">
        <v>2744</v>
      </c>
      <c r="C899" s="101" t="s">
        <v>5347</v>
      </c>
      <c r="D899" s="101" t="s">
        <v>2701</v>
      </c>
      <c r="E899" s="73" t="s">
        <v>2705</v>
      </c>
      <c r="F899" s="100" t="s">
        <v>130</v>
      </c>
      <c r="G899" s="72" t="e">
        <f>_xlfn.TEXTJOIN(", ",TRUE,B899,#REF!,#REF!,#REF!,D899,E899)</f>
        <v>#REF!</v>
      </c>
      <c r="H899" s="99">
        <v>45159</v>
      </c>
      <c r="I899" s="99">
        <v>45329</v>
      </c>
      <c r="J899" s="99"/>
      <c r="K899" s="99">
        <v>45408</v>
      </c>
      <c r="L899" s="99"/>
      <c r="M899" s="77" t="s">
        <v>88</v>
      </c>
    </row>
    <row r="900" spans="1:13" s="103" customFormat="1" ht="10.9" customHeight="1" x14ac:dyDescent="0.25">
      <c r="A900" s="89" t="s">
        <v>2745</v>
      </c>
      <c r="B900" s="98" t="s">
        <v>2746</v>
      </c>
      <c r="C900" s="101" t="s">
        <v>5347</v>
      </c>
      <c r="D900" s="101" t="s">
        <v>2701</v>
      </c>
      <c r="E900" s="73" t="s">
        <v>2747</v>
      </c>
      <c r="F900" s="100" t="s">
        <v>98</v>
      </c>
      <c r="G900" s="72" t="e">
        <f>_xlfn.TEXTJOIN(", ",TRUE,B900,#REF!,#REF!,#REF!,D900,E900)</f>
        <v>#REF!</v>
      </c>
      <c r="H900" s="99"/>
      <c r="I900" s="99"/>
      <c r="J900" s="99"/>
      <c r="K900" s="99"/>
      <c r="L900" s="99"/>
      <c r="M900" s="77" t="s">
        <v>2748</v>
      </c>
    </row>
    <row r="901" spans="1:13" s="103" customFormat="1" ht="10.9" customHeight="1" x14ac:dyDescent="0.25">
      <c r="A901" s="89" t="s">
        <v>2749</v>
      </c>
      <c r="B901" s="98" t="s">
        <v>2750</v>
      </c>
      <c r="C901" s="101" t="s">
        <v>5347</v>
      </c>
      <c r="D901" s="101" t="s">
        <v>2701</v>
      </c>
      <c r="E901" s="74" t="s">
        <v>2751</v>
      </c>
      <c r="F901" s="100" t="s">
        <v>187</v>
      </c>
      <c r="G901" s="72" t="e">
        <f>_xlfn.TEXTJOIN(", ",TRUE,B901,#REF!,#REF!,#REF!,D901,E901)</f>
        <v>#REF!</v>
      </c>
      <c r="H901" s="99">
        <v>45243</v>
      </c>
      <c r="I901" s="99">
        <v>44958</v>
      </c>
      <c r="J901" s="99"/>
      <c r="K901" s="99"/>
      <c r="L901" s="99"/>
      <c r="M901" s="77" t="s">
        <v>88</v>
      </c>
    </row>
    <row r="902" spans="1:13" s="103" customFormat="1" ht="10.9" customHeight="1" x14ac:dyDescent="0.25">
      <c r="A902" s="89" t="s">
        <v>2749</v>
      </c>
      <c r="B902" s="98" t="s">
        <v>2752</v>
      </c>
      <c r="C902" s="101" t="s">
        <v>5347</v>
      </c>
      <c r="D902" s="101" t="s">
        <v>2701</v>
      </c>
      <c r="E902" s="74" t="s">
        <v>2751</v>
      </c>
      <c r="F902" s="100" t="s">
        <v>187</v>
      </c>
      <c r="G902" s="72" t="e">
        <f>_xlfn.TEXTJOIN(", ",TRUE,B902,#REF!,#REF!,#REF!,D902,E902)</f>
        <v>#REF!</v>
      </c>
      <c r="H902" s="99">
        <v>45460</v>
      </c>
      <c r="I902" s="99"/>
      <c r="J902" s="99"/>
      <c r="K902" s="99"/>
      <c r="L902" s="99"/>
      <c r="M902" s="77" t="s">
        <v>88</v>
      </c>
    </row>
    <row r="903" spans="1:13" s="103" customFormat="1" ht="10.9" customHeight="1" x14ac:dyDescent="0.25">
      <c r="A903" s="89" t="s">
        <v>2753</v>
      </c>
      <c r="B903" s="102" t="s">
        <v>2754</v>
      </c>
      <c r="C903" s="101" t="s">
        <v>5347</v>
      </c>
      <c r="D903" s="101" t="s">
        <v>2701</v>
      </c>
      <c r="E903" s="73" t="s">
        <v>2755</v>
      </c>
      <c r="F903" s="100" t="s">
        <v>81</v>
      </c>
      <c r="G903" s="72" t="e">
        <f>_xlfn.TEXTJOIN(", ",TRUE,B903,#REF!,#REF!,#REF!,D903,E903)</f>
        <v>#REF!</v>
      </c>
      <c r="H903" s="99">
        <v>45123</v>
      </c>
      <c r="I903" s="99"/>
      <c r="J903" s="99"/>
      <c r="K903" s="99"/>
      <c r="L903" s="99"/>
      <c r="M903" s="77">
        <v>0</v>
      </c>
    </row>
    <row r="904" spans="1:13" s="103" customFormat="1" ht="10.9" customHeight="1" x14ac:dyDescent="0.25">
      <c r="A904" s="89" t="s">
        <v>2756</v>
      </c>
      <c r="B904" s="102" t="s">
        <v>2757</v>
      </c>
      <c r="C904" s="101" t="s">
        <v>5347</v>
      </c>
      <c r="D904" s="101" t="s">
        <v>2701</v>
      </c>
      <c r="E904" s="73" t="s">
        <v>2747</v>
      </c>
      <c r="F904" s="100" t="s">
        <v>130</v>
      </c>
      <c r="G904" s="72" t="e">
        <f>_xlfn.TEXTJOIN(", ",TRUE,B904,#REF!,#REF!,#REF!,D904,E904)</f>
        <v>#REF!</v>
      </c>
      <c r="H904" s="99"/>
      <c r="I904" s="99"/>
      <c r="J904" s="99"/>
      <c r="K904" s="99"/>
      <c r="L904" s="99"/>
      <c r="M904" s="77">
        <v>0</v>
      </c>
    </row>
    <row r="905" spans="1:13" s="103" customFormat="1" ht="10.9" customHeight="1" x14ac:dyDescent="0.25">
      <c r="A905" s="89" t="s">
        <v>2758</v>
      </c>
      <c r="B905" s="102" t="s">
        <v>2759</v>
      </c>
      <c r="C905" s="101" t="s">
        <v>5347</v>
      </c>
      <c r="D905" s="101" t="s">
        <v>2701</v>
      </c>
      <c r="E905" s="73" t="s">
        <v>2760</v>
      </c>
      <c r="F905" s="100" t="s">
        <v>81</v>
      </c>
      <c r="G905" s="72" t="e">
        <f>_xlfn.TEXTJOIN(", ",TRUE,B905,#REF!,#REF!,#REF!,D905,E905)</f>
        <v>#REF!</v>
      </c>
      <c r="H905" s="99">
        <v>45546</v>
      </c>
      <c r="I905" s="99">
        <v>45558</v>
      </c>
      <c r="J905" s="99"/>
      <c r="K905" s="99"/>
      <c r="L905" s="99"/>
      <c r="M905" s="77" t="s">
        <v>88</v>
      </c>
    </row>
    <row r="906" spans="1:13" s="103" customFormat="1" ht="10.9" customHeight="1" x14ac:dyDescent="0.25">
      <c r="A906" s="89" t="s">
        <v>2761</v>
      </c>
      <c r="B906" s="98" t="s">
        <v>2762</v>
      </c>
      <c r="C906" s="101" t="s">
        <v>5347</v>
      </c>
      <c r="D906" s="101" t="s">
        <v>2701</v>
      </c>
      <c r="E906" s="74" t="s">
        <v>2739</v>
      </c>
      <c r="F906" s="100" t="s">
        <v>130</v>
      </c>
      <c r="G906" s="72" t="e">
        <f>_xlfn.TEXTJOIN(", ",TRUE,B906,#REF!,#REF!,#REF!,D906,E906)</f>
        <v>#REF!</v>
      </c>
      <c r="H906" s="99">
        <v>45302</v>
      </c>
      <c r="I906" s="99">
        <v>45525</v>
      </c>
      <c r="J906" s="99"/>
      <c r="K906" s="99">
        <v>45302</v>
      </c>
      <c r="L906" s="99"/>
      <c r="M906" s="77" t="s">
        <v>88</v>
      </c>
    </row>
    <row r="907" spans="1:13" s="103" customFormat="1" ht="10.9" customHeight="1" x14ac:dyDescent="0.25">
      <c r="A907" s="89" t="s">
        <v>2763</v>
      </c>
      <c r="B907" s="105" t="s">
        <v>2764</v>
      </c>
      <c r="C907" s="101" t="s">
        <v>5347</v>
      </c>
      <c r="D907" s="101" t="s">
        <v>2701</v>
      </c>
      <c r="E907" s="74" t="s">
        <v>2765</v>
      </c>
      <c r="F907" s="100" t="s">
        <v>130</v>
      </c>
      <c r="G907" s="72" t="e">
        <f>_xlfn.TEXTJOIN(", ",TRUE,B907,#REF!,#REF!,#REF!,D907,E907)</f>
        <v>#REF!</v>
      </c>
      <c r="H907" s="99">
        <v>45303</v>
      </c>
      <c r="I907" s="99">
        <v>45465</v>
      </c>
      <c r="J907" s="99"/>
      <c r="K907" s="99"/>
      <c r="L907" s="99"/>
      <c r="M907" s="77" t="s">
        <v>88</v>
      </c>
    </row>
    <row r="908" spans="1:13" s="103" customFormat="1" ht="10.9" customHeight="1" x14ac:dyDescent="0.25">
      <c r="A908" s="89" t="s">
        <v>2766</v>
      </c>
      <c r="B908" s="98" t="s">
        <v>2767</v>
      </c>
      <c r="C908" s="101" t="s">
        <v>5347</v>
      </c>
      <c r="D908" s="101" t="s">
        <v>2701</v>
      </c>
      <c r="E908" s="74" t="s">
        <v>2768</v>
      </c>
      <c r="F908" s="100" t="s">
        <v>130</v>
      </c>
      <c r="G908" s="72" t="e">
        <f>_xlfn.TEXTJOIN(", ",TRUE,B908,#REF!,#REF!,#REF!,D908,E908)</f>
        <v>#REF!</v>
      </c>
      <c r="H908" s="99">
        <v>45015</v>
      </c>
      <c r="I908" s="99">
        <v>45214</v>
      </c>
      <c r="J908" s="99"/>
      <c r="K908" s="99"/>
      <c r="L908" s="99"/>
      <c r="M908" s="77" t="s">
        <v>88</v>
      </c>
    </row>
    <row r="909" spans="1:13" s="103" customFormat="1" ht="10.9" customHeight="1" x14ac:dyDescent="0.25">
      <c r="A909" s="89" t="s">
        <v>2769</v>
      </c>
      <c r="B909" s="104" t="s">
        <v>2770</v>
      </c>
      <c r="C909" s="101" t="s">
        <v>5347</v>
      </c>
      <c r="D909" s="101" t="s">
        <v>2701</v>
      </c>
      <c r="E909" s="73" t="s">
        <v>2771</v>
      </c>
      <c r="F909" s="100" t="s">
        <v>130</v>
      </c>
      <c r="G909" s="72" t="e">
        <f>_xlfn.TEXTJOIN(", ",TRUE,B909,#REF!,#REF!,#REF!,D909,E909)</f>
        <v>#REF!</v>
      </c>
      <c r="H909" s="99"/>
      <c r="I909" s="99"/>
      <c r="J909" s="99"/>
      <c r="K909" s="99"/>
      <c r="L909" s="99"/>
      <c r="M909" s="77" t="s">
        <v>88</v>
      </c>
    </row>
    <row r="910" spans="1:13" s="103" customFormat="1" ht="10.9" customHeight="1" x14ac:dyDescent="0.25">
      <c r="A910" s="89" t="s">
        <v>2772</v>
      </c>
      <c r="B910" s="98" t="s">
        <v>2773</v>
      </c>
      <c r="C910" s="101" t="s">
        <v>5347</v>
      </c>
      <c r="D910" s="101" t="s">
        <v>2701</v>
      </c>
      <c r="E910" s="74" t="s">
        <v>2774</v>
      </c>
      <c r="F910" s="100" t="s">
        <v>98</v>
      </c>
      <c r="G910" s="72" t="e">
        <f>_xlfn.TEXTJOIN(", ",TRUE,B910,#REF!,#REF!,#REF!,D910,E910)</f>
        <v>#REF!</v>
      </c>
      <c r="H910" s="99"/>
      <c r="I910" s="99">
        <v>45601</v>
      </c>
      <c r="J910" s="99"/>
      <c r="K910" s="99"/>
      <c r="L910" s="99"/>
      <c r="M910" s="77" t="s">
        <v>2775</v>
      </c>
    </row>
    <row r="911" spans="1:13" s="103" customFormat="1" ht="10.9" customHeight="1" x14ac:dyDescent="0.25">
      <c r="A911" s="89" t="s">
        <v>2776</v>
      </c>
      <c r="B911" s="102" t="s">
        <v>2777</v>
      </c>
      <c r="C911" s="101" t="s">
        <v>5347</v>
      </c>
      <c r="D911" s="101" t="s">
        <v>2701</v>
      </c>
      <c r="E911" s="74" t="s">
        <v>2778</v>
      </c>
      <c r="F911" s="100" t="s">
        <v>130</v>
      </c>
      <c r="G911" s="72" t="e">
        <f>_xlfn.TEXTJOIN(", ",TRUE,B911,#REF!,#REF!,#REF!,D911,E911)</f>
        <v>#REF!</v>
      </c>
      <c r="H911" s="99">
        <v>45717</v>
      </c>
      <c r="I911" s="99">
        <v>45578</v>
      </c>
      <c r="J911" s="99"/>
      <c r="K911" s="99"/>
      <c r="L911" s="99"/>
      <c r="M911" s="77" t="s">
        <v>2779</v>
      </c>
    </row>
    <row r="912" spans="1:13" s="103" customFormat="1" ht="10.9" customHeight="1" x14ac:dyDescent="0.25">
      <c r="A912" s="89" t="s">
        <v>2780</v>
      </c>
      <c r="B912" s="98" t="s">
        <v>2781</v>
      </c>
      <c r="C912" s="101" t="s">
        <v>5347</v>
      </c>
      <c r="D912" s="101" t="s">
        <v>2701</v>
      </c>
      <c r="E912" s="73" t="s">
        <v>2782</v>
      </c>
      <c r="F912" s="100" t="s">
        <v>130</v>
      </c>
      <c r="G912" s="72" t="e">
        <f>_xlfn.TEXTJOIN(", ",TRUE,B912,#REF!,#REF!,#REF!,D912,E912)</f>
        <v>#REF!</v>
      </c>
      <c r="H912" s="99">
        <v>45395</v>
      </c>
      <c r="I912" s="99">
        <v>45390</v>
      </c>
      <c r="J912" s="99"/>
      <c r="K912" s="99">
        <v>44679</v>
      </c>
      <c r="L912" s="99">
        <v>45395</v>
      </c>
      <c r="M912" s="77" t="s">
        <v>2783</v>
      </c>
    </row>
    <row r="913" spans="1:13" s="103" customFormat="1" ht="10.9" customHeight="1" x14ac:dyDescent="0.25">
      <c r="A913" s="89" t="s">
        <v>2784</v>
      </c>
      <c r="B913" s="104" t="s">
        <v>2785</v>
      </c>
      <c r="C913" s="101" t="s">
        <v>5347</v>
      </c>
      <c r="D913" s="101" t="s">
        <v>2701</v>
      </c>
      <c r="E913" s="73" t="s">
        <v>2782</v>
      </c>
      <c r="F913" s="100" t="s">
        <v>106</v>
      </c>
      <c r="G913" s="72" t="e">
        <f>_xlfn.TEXTJOIN(", ",TRUE,B913,#REF!,#REF!,#REF!,D913,E913)</f>
        <v>#REF!</v>
      </c>
      <c r="H913" s="99"/>
      <c r="I913" s="99"/>
      <c r="J913" s="99"/>
      <c r="K913" s="99"/>
      <c r="L913" s="99"/>
      <c r="M913" s="77" t="s">
        <v>88</v>
      </c>
    </row>
    <row r="914" spans="1:13" s="103" customFormat="1" ht="10.9" customHeight="1" x14ac:dyDescent="0.25">
      <c r="A914" s="89" t="s">
        <v>2786</v>
      </c>
      <c r="B914" s="102" t="s">
        <v>2787</v>
      </c>
      <c r="C914" s="101" t="s">
        <v>5347</v>
      </c>
      <c r="D914" s="101" t="s">
        <v>2701</v>
      </c>
      <c r="E914" s="80" t="s">
        <v>2788</v>
      </c>
      <c r="F914" s="100" t="s">
        <v>277</v>
      </c>
      <c r="G914" s="81" t="e">
        <f>_xlfn.TEXTJOIN(", ",TRUE,B914,#REF!,#REF!,#REF!,D914,E914)</f>
        <v>#REF!</v>
      </c>
      <c r="H914" s="99">
        <v>44273</v>
      </c>
      <c r="I914" s="99">
        <v>44273</v>
      </c>
      <c r="J914" s="99"/>
      <c r="K914" s="99"/>
      <c r="L914" s="99">
        <v>44366</v>
      </c>
      <c r="M914" s="82" t="s">
        <v>88</v>
      </c>
    </row>
    <row r="915" spans="1:13" s="103" customFormat="1" ht="10.9" customHeight="1" x14ac:dyDescent="0.25">
      <c r="A915" s="89" t="s">
        <v>2789</v>
      </c>
      <c r="B915" s="104" t="s">
        <v>2790</v>
      </c>
      <c r="C915" s="101" t="s">
        <v>5347</v>
      </c>
      <c r="D915" s="101" t="s">
        <v>2701</v>
      </c>
      <c r="E915" s="74" t="s">
        <v>2791</v>
      </c>
      <c r="F915" s="100" t="s">
        <v>98</v>
      </c>
      <c r="G915" s="72" t="e">
        <f>_xlfn.TEXTJOIN(", ",TRUE,B915,#REF!,#REF!,#REF!,D915,E915)</f>
        <v>#REF!</v>
      </c>
      <c r="H915" s="99"/>
      <c r="I915" s="99"/>
      <c r="J915" s="99"/>
      <c r="K915" s="99"/>
      <c r="L915" s="99"/>
      <c r="M915" s="77" t="s">
        <v>2792</v>
      </c>
    </row>
    <row r="916" spans="1:13" s="103" customFormat="1" ht="10.9" hidden="1" customHeight="1" x14ac:dyDescent="0.25">
      <c r="A916" s="89" t="s">
        <v>2793</v>
      </c>
      <c r="B916" s="104" t="s">
        <v>2794</v>
      </c>
      <c r="C916" s="101" t="s">
        <v>5349</v>
      </c>
      <c r="D916" s="101" t="s">
        <v>2795</v>
      </c>
      <c r="E916" s="74" t="s">
        <v>2796</v>
      </c>
      <c r="F916" s="100" t="s">
        <v>98</v>
      </c>
      <c r="G916" s="72" t="e">
        <f>_xlfn.TEXTJOIN(", ",TRUE,B916,#REF!,#REF!,#REF!,D916,E916)</f>
        <v>#REF!</v>
      </c>
      <c r="H916" s="99"/>
      <c r="I916" s="99"/>
      <c r="J916" s="99"/>
      <c r="K916" s="99"/>
      <c r="L916" s="99"/>
      <c r="M916" s="77" t="s">
        <v>2797</v>
      </c>
    </row>
    <row r="917" spans="1:13" s="103" customFormat="1" ht="10.9" hidden="1" customHeight="1" x14ac:dyDescent="0.25">
      <c r="A917" s="89" t="s">
        <v>2798</v>
      </c>
      <c r="B917" s="104" t="s">
        <v>2799</v>
      </c>
      <c r="C917" s="101" t="s">
        <v>5349</v>
      </c>
      <c r="D917" s="101" t="s">
        <v>2795</v>
      </c>
      <c r="E917" s="73" t="s">
        <v>2800</v>
      </c>
      <c r="F917" s="100" t="s">
        <v>98</v>
      </c>
      <c r="G917" s="72" t="e">
        <f>_xlfn.TEXTJOIN(", ",TRUE,B917,#REF!,#REF!,#REF!,D917,E917)</f>
        <v>#REF!</v>
      </c>
      <c r="H917" s="99"/>
      <c r="I917" s="99"/>
      <c r="J917" s="99"/>
      <c r="K917" s="99"/>
      <c r="L917" s="99"/>
      <c r="M917" s="77">
        <v>0</v>
      </c>
    </row>
    <row r="918" spans="1:13" s="103" customFormat="1" ht="10.9" hidden="1" customHeight="1" x14ac:dyDescent="0.25">
      <c r="A918" s="89" t="s">
        <v>2801</v>
      </c>
      <c r="B918" s="104" t="s">
        <v>2802</v>
      </c>
      <c r="C918" s="101" t="s">
        <v>5348</v>
      </c>
      <c r="D918" s="101" t="s">
        <v>2795</v>
      </c>
      <c r="E918" s="74" t="s">
        <v>2803</v>
      </c>
      <c r="F918" s="100" t="s">
        <v>98</v>
      </c>
      <c r="G918" s="72" t="e">
        <f>_xlfn.TEXTJOIN(", ",TRUE,B918,#REF!,#REF!,#REF!,D918,E918)</f>
        <v>#REF!</v>
      </c>
      <c r="H918" s="99"/>
      <c r="I918" s="99"/>
      <c r="J918" s="99"/>
      <c r="K918" s="99"/>
      <c r="L918" s="99"/>
      <c r="M918" s="77" t="s">
        <v>88</v>
      </c>
    </row>
    <row r="919" spans="1:13" s="103" customFormat="1" ht="10.9" hidden="1" customHeight="1" x14ac:dyDescent="0.25">
      <c r="A919" s="89" t="s">
        <v>2804</v>
      </c>
      <c r="B919" s="104" t="s">
        <v>2805</v>
      </c>
      <c r="C919" s="101" t="s">
        <v>5348</v>
      </c>
      <c r="D919" s="101" t="s">
        <v>2795</v>
      </c>
      <c r="E919" s="74" t="s">
        <v>2806</v>
      </c>
      <c r="F919" s="100" t="s">
        <v>98</v>
      </c>
      <c r="G919" s="72" t="e">
        <f>_xlfn.TEXTJOIN(", ",TRUE,B919,#REF!,#REF!,#REF!,D919,E919)</f>
        <v>#REF!</v>
      </c>
      <c r="H919" s="99"/>
      <c r="I919" s="99"/>
      <c r="J919" s="99"/>
      <c r="K919" s="99"/>
      <c r="L919" s="99"/>
      <c r="M919" s="77">
        <v>0</v>
      </c>
    </row>
    <row r="920" spans="1:13" s="103" customFormat="1" ht="10.9" hidden="1" customHeight="1" x14ac:dyDescent="0.25">
      <c r="A920" s="89" t="s">
        <v>2807</v>
      </c>
      <c r="B920" s="104" t="s">
        <v>2808</v>
      </c>
      <c r="C920" s="101" t="s">
        <v>5348</v>
      </c>
      <c r="D920" s="101" t="s">
        <v>2795</v>
      </c>
      <c r="E920" s="73" t="s">
        <v>2809</v>
      </c>
      <c r="F920" s="100" t="s">
        <v>98</v>
      </c>
      <c r="G920" s="72" t="e">
        <f>_xlfn.TEXTJOIN(", ",TRUE,B920,#REF!,#REF!,#REF!,D920,E920)</f>
        <v>#REF!</v>
      </c>
      <c r="H920" s="99"/>
      <c r="I920" s="99"/>
      <c r="J920" s="99"/>
      <c r="K920" s="99"/>
      <c r="L920" s="99"/>
      <c r="M920" s="77" t="s">
        <v>2810</v>
      </c>
    </row>
    <row r="921" spans="1:13" s="103" customFormat="1" ht="10.9" customHeight="1" x14ac:dyDescent="0.25">
      <c r="A921" s="89" t="s">
        <v>2811</v>
      </c>
      <c r="B921" s="98" t="s">
        <v>2812</v>
      </c>
      <c r="C921" s="101" t="s">
        <v>5347</v>
      </c>
      <c r="D921" s="101" t="s">
        <v>2813</v>
      </c>
      <c r="E921" s="73" t="s">
        <v>2814</v>
      </c>
      <c r="F921" s="100" t="s">
        <v>81</v>
      </c>
      <c r="G921" s="72" t="e">
        <f>_xlfn.TEXTJOIN(", ",TRUE,B921,#REF!,#REF!,#REF!,D921,E921)</f>
        <v>#REF!</v>
      </c>
      <c r="H921" s="99">
        <v>45786</v>
      </c>
      <c r="I921" s="99"/>
      <c r="J921" s="99"/>
      <c r="K921" s="99"/>
      <c r="L921" s="99"/>
      <c r="M921" s="77" t="s">
        <v>2815</v>
      </c>
    </row>
    <row r="922" spans="1:13" s="103" customFormat="1" ht="10.9" hidden="1" customHeight="1" x14ac:dyDescent="0.25">
      <c r="A922" s="89" t="s">
        <v>2816</v>
      </c>
      <c r="B922" s="98" t="s">
        <v>2817</v>
      </c>
      <c r="C922" s="101" t="s">
        <v>5349</v>
      </c>
      <c r="D922" s="101" t="s">
        <v>2818</v>
      </c>
      <c r="E922" s="73" t="s">
        <v>2818</v>
      </c>
      <c r="F922" s="100" t="s">
        <v>81</v>
      </c>
      <c r="G922" s="72" t="e">
        <f>_xlfn.TEXTJOIN(", ",TRUE,B922,#REF!,#REF!,#REF!,D922,E922)</f>
        <v>#REF!</v>
      </c>
      <c r="H922" s="99"/>
      <c r="I922" s="99"/>
      <c r="J922" s="99"/>
      <c r="K922" s="99"/>
      <c r="L922" s="99"/>
      <c r="M922" s="77" t="s">
        <v>2819</v>
      </c>
    </row>
    <row r="923" spans="1:13" s="103" customFormat="1" ht="10.9" hidden="1" customHeight="1" x14ac:dyDescent="0.25">
      <c r="A923" s="89" t="s">
        <v>2820</v>
      </c>
      <c r="B923" s="102" t="s">
        <v>2821</v>
      </c>
      <c r="C923" s="101" t="s">
        <v>5348</v>
      </c>
      <c r="D923" s="101" t="s">
        <v>2818</v>
      </c>
      <c r="E923" s="73" t="s">
        <v>2822</v>
      </c>
      <c r="F923" s="100" t="s">
        <v>81</v>
      </c>
      <c r="G923" s="72" t="e">
        <f>_xlfn.TEXTJOIN(", ",TRUE,B923,#REF!,#REF!,#REF!,D923,E923)</f>
        <v>#REF!</v>
      </c>
      <c r="H923" s="99"/>
      <c r="I923" s="99"/>
      <c r="J923" s="99"/>
      <c r="K923" s="99"/>
      <c r="L923" s="99"/>
      <c r="M923" s="77" t="s">
        <v>2823</v>
      </c>
    </row>
    <row r="924" spans="1:13" s="103" customFormat="1" ht="10.9" hidden="1" customHeight="1" x14ac:dyDescent="0.25">
      <c r="A924" s="89" t="s">
        <v>2824</v>
      </c>
      <c r="B924" s="98" t="s">
        <v>2825</v>
      </c>
      <c r="C924" s="101" t="s">
        <v>5349</v>
      </c>
      <c r="D924" s="101" t="s">
        <v>2826</v>
      </c>
      <c r="E924" s="73" t="s">
        <v>2826</v>
      </c>
      <c r="F924" s="100" t="s">
        <v>81</v>
      </c>
      <c r="G924" s="72" t="e">
        <f>_xlfn.TEXTJOIN(", ",TRUE,B924,#REF!,#REF!,#REF!,D924,E924)</f>
        <v>#REF!</v>
      </c>
      <c r="H924" s="99"/>
      <c r="I924" s="99"/>
      <c r="J924" s="99"/>
      <c r="K924" s="99"/>
      <c r="L924" s="99"/>
      <c r="M924" s="77" t="s">
        <v>88</v>
      </c>
    </row>
    <row r="925" spans="1:13" s="103" customFormat="1" ht="10.9" hidden="1" customHeight="1" x14ac:dyDescent="0.25">
      <c r="A925" s="89" t="s">
        <v>2807</v>
      </c>
      <c r="B925" s="102" t="s">
        <v>2827</v>
      </c>
      <c r="C925" s="101" t="s">
        <v>5348</v>
      </c>
      <c r="D925" s="101" t="s">
        <v>2828</v>
      </c>
      <c r="E925" s="73" t="s">
        <v>2828</v>
      </c>
      <c r="F925" s="100" t="s">
        <v>98</v>
      </c>
      <c r="G925" s="72" t="e">
        <f>_xlfn.TEXTJOIN(", ",TRUE,B925,#REF!,#REF!,#REF!,D925,E925)</f>
        <v>#REF!</v>
      </c>
      <c r="H925" s="99">
        <v>45210</v>
      </c>
      <c r="I925" s="99"/>
      <c r="J925" s="99"/>
      <c r="K925" s="99"/>
      <c r="L925" s="99"/>
      <c r="M925" s="77">
        <v>0</v>
      </c>
    </row>
    <row r="926" spans="1:13" s="103" customFormat="1" ht="10.9" hidden="1" customHeight="1" x14ac:dyDescent="0.25">
      <c r="A926" s="89" t="s">
        <v>2829</v>
      </c>
      <c r="B926" s="104" t="s">
        <v>2830</v>
      </c>
      <c r="C926" s="101" t="s">
        <v>5349</v>
      </c>
      <c r="D926" s="101" t="s">
        <v>2831</v>
      </c>
      <c r="E926" s="73" t="s">
        <v>88</v>
      </c>
      <c r="F926" s="100" t="s">
        <v>98</v>
      </c>
      <c r="G926" s="72" t="e">
        <f>_xlfn.TEXTJOIN(", ",TRUE,B926,#REF!,#REF!,#REF!,D926,E926)</f>
        <v>#REF!</v>
      </c>
      <c r="H926" s="99"/>
      <c r="I926" s="99"/>
      <c r="J926" s="99"/>
      <c r="K926" s="99"/>
      <c r="L926" s="99"/>
      <c r="M926" s="77">
        <v>0</v>
      </c>
    </row>
    <row r="927" spans="1:13" s="103" customFormat="1" ht="10.9" hidden="1" customHeight="1" x14ac:dyDescent="0.25">
      <c r="A927" s="89" t="s">
        <v>2832</v>
      </c>
      <c r="B927" s="104" t="s">
        <v>2833</v>
      </c>
      <c r="C927" s="101" t="s">
        <v>5348</v>
      </c>
      <c r="D927" s="101" t="s">
        <v>2834</v>
      </c>
      <c r="E927" s="74" t="s">
        <v>2835</v>
      </c>
      <c r="F927" s="100"/>
      <c r="G927" s="72" t="e">
        <f>_xlfn.TEXTJOIN(", ",TRUE,B927,#REF!,#REF!,#REF!,D927,E927)</f>
        <v>#REF!</v>
      </c>
      <c r="H927" s="99"/>
      <c r="I927" s="99"/>
      <c r="J927" s="99"/>
      <c r="K927" s="99"/>
      <c r="L927" s="99"/>
      <c r="M927" s="77" t="s">
        <v>2836</v>
      </c>
    </row>
    <row r="928" spans="1:13" s="103" customFormat="1" ht="10.9" hidden="1" customHeight="1" x14ac:dyDescent="0.25">
      <c r="A928" s="89" t="s">
        <v>2837</v>
      </c>
      <c r="B928" s="98" t="s">
        <v>2838</v>
      </c>
      <c r="C928" s="101" t="s">
        <v>5348</v>
      </c>
      <c r="D928" s="101" t="s">
        <v>2834</v>
      </c>
      <c r="E928" s="73" t="s">
        <v>2834</v>
      </c>
      <c r="F928" s="100" t="s">
        <v>81</v>
      </c>
      <c r="G928" s="72" t="e">
        <f>_xlfn.TEXTJOIN(", ",TRUE,B928,#REF!,#REF!,#REF!,D928,E928)</f>
        <v>#REF!</v>
      </c>
      <c r="H928" s="99">
        <v>45486</v>
      </c>
      <c r="I928" s="99">
        <v>45486</v>
      </c>
      <c r="J928" s="99"/>
      <c r="K928" s="99"/>
      <c r="L928" s="99"/>
      <c r="M928" s="77" t="s">
        <v>88</v>
      </c>
    </row>
    <row r="929" spans="1:13" s="103" customFormat="1" ht="10.9" hidden="1" customHeight="1" x14ac:dyDescent="0.25">
      <c r="A929" s="89" t="s">
        <v>2839</v>
      </c>
      <c r="B929" s="102" t="s">
        <v>2840</v>
      </c>
      <c r="C929" s="101" t="s">
        <v>5348</v>
      </c>
      <c r="D929" s="101" t="s">
        <v>2834</v>
      </c>
      <c r="E929" s="73" t="s">
        <v>2841</v>
      </c>
      <c r="F929" s="100" t="s">
        <v>81</v>
      </c>
      <c r="G929" s="72" t="e">
        <f>_xlfn.TEXTJOIN(", ",TRUE,B929,#REF!,#REF!,#REF!,D929,E929)</f>
        <v>#REF!</v>
      </c>
      <c r="H929" s="99"/>
      <c r="I929" s="99"/>
      <c r="J929" s="99"/>
      <c r="K929" s="99"/>
      <c r="L929" s="99"/>
      <c r="M929" s="77" t="s">
        <v>2842</v>
      </c>
    </row>
    <row r="930" spans="1:13" s="103" customFormat="1" ht="10.9" hidden="1" customHeight="1" x14ac:dyDescent="0.25">
      <c r="A930" s="89" t="s">
        <v>2843</v>
      </c>
      <c r="B930" s="98" t="s">
        <v>2844</v>
      </c>
      <c r="C930" s="101" t="s">
        <v>5348</v>
      </c>
      <c r="D930" s="101" t="s">
        <v>2834</v>
      </c>
      <c r="E930" s="73" t="s">
        <v>2834</v>
      </c>
      <c r="F930" s="100" t="s">
        <v>81</v>
      </c>
      <c r="G930" s="72" t="e">
        <f>_xlfn.TEXTJOIN(", ",TRUE,B930,#REF!,#REF!,#REF!,D930,E930)</f>
        <v>#REF!</v>
      </c>
      <c r="H930" s="99">
        <v>45046</v>
      </c>
      <c r="I930" s="99"/>
      <c r="J930" s="99"/>
      <c r="K930" s="99"/>
      <c r="L930" s="99"/>
      <c r="M930" s="77" t="s">
        <v>2845</v>
      </c>
    </row>
    <row r="931" spans="1:13" s="103" customFormat="1" ht="10.9" hidden="1" customHeight="1" x14ac:dyDescent="0.25">
      <c r="A931" s="89" t="s">
        <v>2846</v>
      </c>
      <c r="B931" s="104" t="s">
        <v>2847</v>
      </c>
      <c r="C931" s="101" t="s">
        <v>5348</v>
      </c>
      <c r="D931" s="101" t="s">
        <v>2834</v>
      </c>
      <c r="E931" s="73" t="s">
        <v>2848</v>
      </c>
      <c r="F931" s="100" t="s">
        <v>98</v>
      </c>
      <c r="G931" s="72" t="e">
        <f>_xlfn.TEXTJOIN(", ",TRUE,B931,#REF!,#REF!,#REF!,D931,E931)</f>
        <v>#REF!</v>
      </c>
      <c r="H931" s="99"/>
      <c r="I931" s="99"/>
      <c r="J931" s="99"/>
      <c r="K931" s="99"/>
      <c r="L931" s="99"/>
      <c r="M931" s="77">
        <v>0</v>
      </c>
    </row>
    <row r="932" spans="1:13" s="103" customFormat="1" ht="10.9" hidden="1" customHeight="1" x14ac:dyDescent="0.25">
      <c r="A932" s="89" t="s">
        <v>2849</v>
      </c>
      <c r="B932" s="102" t="s">
        <v>2850</v>
      </c>
      <c r="C932" s="101" t="s">
        <v>5348</v>
      </c>
      <c r="D932" s="101" t="s">
        <v>2834</v>
      </c>
      <c r="E932" s="73" t="s">
        <v>2834</v>
      </c>
      <c r="F932" s="100" t="s">
        <v>81</v>
      </c>
      <c r="G932" s="72" t="e">
        <f>_xlfn.TEXTJOIN(", ",TRUE,B932,#REF!,#REF!,#REF!,D932,E932)</f>
        <v>#REF!</v>
      </c>
      <c r="H932" s="99">
        <v>45590</v>
      </c>
      <c r="I932" s="99"/>
      <c r="J932" s="99"/>
      <c r="K932" s="99"/>
      <c r="L932" s="99"/>
      <c r="M932" s="77" t="s">
        <v>2851</v>
      </c>
    </row>
    <row r="933" spans="1:13" s="103" customFormat="1" ht="10.9" hidden="1" customHeight="1" x14ac:dyDescent="0.25">
      <c r="A933" s="89" t="s">
        <v>2852</v>
      </c>
      <c r="B933" s="102" t="s">
        <v>2853</v>
      </c>
      <c r="C933" s="101" t="s">
        <v>5349</v>
      </c>
      <c r="D933" s="101" t="s">
        <v>2854</v>
      </c>
      <c r="E933" s="73" t="s">
        <v>2854</v>
      </c>
      <c r="F933" s="100" t="s">
        <v>81</v>
      </c>
      <c r="G933" s="72" t="e">
        <f>_xlfn.TEXTJOIN(", ",TRUE,B933,#REF!,#REF!,#REF!,D933,E933)</f>
        <v>#REF!</v>
      </c>
      <c r="H933" s="99"/>
      <c r="I933" s="99"/>
      <c r="J933" s="99"/>
      <c r="K933" s="99"/>
      <c r="L933" s="99"/>
      <c r="M933" s="77" t="s">
        <v>2855</v>
      </c>
    </row>
    <row r="934" spans="1:13" s="103" customFormat="1" ht="10.9" hidden="1" customHeight="1" x14ac:dyDescent="0.25">
      <c r="A934" s="89" t="s">
        <v>2856</v>
      </c>
      <c r="B934" s="102" t="s">
        <v>2857</v>
      </c>
      <c r="C934" s="101" t="s">
        <v>5348</v>
      </c>
      <c r="D934" s="101" t="s">
        <v>2858</v>
      </c>
      <c r="E934" s="73" t="s">
        <v>2859</v>
      </c>
      <c r="F934" s="100" t="s">
        <v>179</v>
      </c>
      <c r="G934" s="72" t="e">
        <f>_xlfn.TEXTJOIN(", ",TRUE,B934,#REF!,#REF!,#REF!,D934,E934)</f>
        <v>#REF!</v>
      </c>
      <c r="H934" s="99"/>
      <c r="I934" s="99"/>
      <c r="J934" s="99"/>
      <c r="K934" s="99"/>
      <c r="L934" s="99"/>
      <c r="M934" s="77" t="s">
        <v>88</v>
      </c>
    </row>
    <row r="935" spans="1:13" s="103" customFormat="1" ht="10.9" hidden="1" customHeight="1" x14ac:dyDescent="0.25">
      <c r="A935" s="89" t="s">
        <v>2860</v>
      </c>
      <c r="B935" s="98" t="s">
        <v>2861</v>
      </c>
      <c r="C935" s="101" t="s">
        <v>5348</v>
      </c>
      <c r="D935" s="101" t="s">
        <v>2862</v>
      </c>
      <c r="E935" s="73" t="s">
        <v>2862</v>
      </c>
      <c r="F935" s="100" t="s">
        <v>98</v>
      </c>
      <c r="G935" s="72" t="e">
        <f>_xlfn.TEXTJOIN(", ",TRUE,B935,#REF!,#REF!,#REF!,D935,E935)</f>
        <v>#REF!</v>
      </c>
      <c r="H935" s="99">
        <v>44926</v>
      </c>
      <c r="I935" s="99">
        <v>45101</v>
      </c>
      <c r="J935" s="99"/>
      <c r="K935" s="99"/>
      <c r="L935" s="99"/>
      <c r="M935" s="77" t="s">
        <v>88</v>
      </c>
    </row>
    <row r="936" spans="1:13" s="103" customFormat="1" ht="10.9" hidden="1" customHeight="1" x14ac:dyDescent="0.25">
      <c r="A936" s="89" t="s">
        <v>2863</v>
      </c>
      <c r="B936" s="104" t="s">
        <v>2864</v>
      </c>
      <c r="C936" s="101" t="s">
        <v>5348</v>
      </c>
      <c r="D936" s="101" t="s">
        <v>2865</v>
      </c>
      <c r="E936" s="73" t="s">
        <v>88</v>
      </c>
      <c r="F936" s="100" t="s">
        <v>98</v>
      </c>
      <c r="G936" s="72" t="e">
        <f>_xlfn.TEXTJOIN(", ",TRUE,B936,#REF!,#REF!,#REF!,D936,E936)</f>
        <v>#REF!</v>
      </c>
      <c r="H936" s="99"/>
      <c r="I936" s="99"/>
      <c r="J936" s="99"/>
      <c r="K936" s="99"/>
      <c r="L936" s="99"/>
      <c r="M936" s="77" t="s">
        <v>88</v>
      </c>
    </row>
    <row r="937" spans="1:13" s="103" customFormat="1" ht="10.9" hidden="1" customHeight="1" x14ac:dyDescent="0.25">
      <c r="A937" s="89" t="s">
        <v>2866</v>
      </c>
      <c r="B937" s="98" t="s">
        <v>2867</v>
      </c>
      <c r="C937" s="101" t="s">
        <v>5349</v>
      </c>
      <c r="D937" s="101" t="s">
        <v>2865</v>
      </c>
      <c r="E937" s="73" t="s">
        <v>2865</v>
      </c>
      <c r="F937" s="100" t="s">
        <v>118</v>
      </c>
      <c r="G937" s="72" t="e">
        <f>_xlfn.TEXTJOIN(", ",TRUE,B937,#REF!,#REF!,#REF!,D937,E937)</f>
        <v>#REF!</v>
      </c>
      <c r="H937" s="99"/>
      <c r="I937" s="99"/>
      <c r="J937" s="99"/>
      <c r="K937" s="99"/>
      <c r="L937" s="99"/>
      <c r="M937" s="77" t="s">
        <v>88</v>
      </c>
    </row>
    <row r="938" spans="1:13" s="103" customFormat="1" ht="10.9" hidden="1" customHeight="1" x14ac:dyDescent="0.25">
      <c r="A938" s="89" t="s">
        <v>2868</v>
      </c>
      <c r="B938" s="98" t="s">
        <v>2869</v>
      </c>
      <c r="C938" s="101" t="s">
        <v>5349</v>
      </c>
      <c r="D938" s="101" t="s">
        <v>2870</v>
      </c>
      <c r="E938" s="73" t="s">
        <v>2870</v>
      </c>
      <c r="F938" s="100" t="s">
        <v>81</v>
      </c>
      <c r="G938" s="72" t="e">
        <f>_xlfn.TEXTJOIN(", ",TRUE,B938,#REF!,#REF!,#REF!,D938,E938)</f>
        <v>#REF!</v>
      </c>
      <c r="H938" s="99"/>
      <c r="I938" s="99"/>
      <c r="J938" s="99"/>
      <c r="K938" s="99"/>
      <c r="L938" s="99"/>
      <c r="M938" s="77" t="s">
        <v>88</v>
      </c>
    </row>
    <row r="939" spans="1:13" s="103" customFormat="1" ht="10.9" hidden="1" customHeight="1" x14ac:dyDescent="0.25">
      <c r="A939" s="89" t="s">
        <v>2871</v>
      </c>
      <c r="B939" s="98" t="s">
        <v>2872</v>
      </c>
      <c r="C939" s="101" t="s">
        <v>5349</v>
      </c>
      <c r="D939" s="101" t="s">
        <v>2870</v>
      </c>
      <c r="E939" s="73" t="s">
        <v>2870</v>
      </c>
      <c r="F939" s="100" t="s">
        <v>81</v>
      </c>
      <c r="G939" s="72" t="e">
        <f>_xlfn.TEXTJOIN(", ",TRUE,B939,#REF!,#REF!,#REF!,D939,E939)</f>
        <v>#REF!</v>
      </c>
      <c r="H939" s="99"/>
      <c r="I939" s="99"/>
      <c r="J939" s="99"/>
      <c r="K939" s="99"/>
      <c r="L939" s="99"/>
      <c r="M939" s="77">
        <v>0</v>
      </c>
    </row>
    <row r="940" spans="1:13" s="103" customFormat="1" ht="10.9" hidden="1" customHeight="1" x14ac:dyDescent="0.25">
      <c r="A940" s="89" t="s">
        <v>2873</v>
      </c>
      <c r="B940" s="98" t="s">
        <v>2874</v>
      </c>
      <c r="C940" s="101" t="s">
        <v>5348</v>
      </c>
      <c r="D940" s="101" t="s">
        <v>2870</v>
      </c>
      <c r="E940" s="73" t="s">
        <v>2875</v>
      </c>
      <c r="F940" s="100" t="s">
        <v>98</v>
      </c>
      <c r="G940" s="72" t="e">
        <f>_xlfn.TEXTJOIN(", ",TRUE,B940,#REF!,#REF!,#REF!,D940,E940)</f>
        <v>#REF!</v>
      </c>
      <c r="H940" s="99"/>
      <c r="I940" s="99"/>
      <c r="J940" s="99"/>
      <c r="K940" s="99"/>
      <c r="L940" s="99"/>
      <c r="M940" s="77" t="s">
        <v>88</v>
      </c>
    </row>
    <row r="941" spans="1:13" s="103" customFormat="1" ht="10.9" hidden="1" customHeight="1" x14ac:dyDescent="0.25">
      <c r="A941" s="89" t="s">
        <v>2876</v>
      </c>
      <c r="B941" s="98" t="s">
        <v>2877</v>
      </c>
      <c r="C941" s="101" t="s">
        <v>5348</v>
      </c>
      <c r="D941" s="101" t="s">
        <v>2870</v>
      </c>
      <c r="E941" s="74" t="s">
        <v>2878</v>
      </c>
      <c r="F941" s="100" t="s">
        <v>98</v>
      </c>
      <c r="G941" s="72" t="e">
        <f>_xlfn.TEXTJOIN(", ",TRUE,B941,#REF!,#REF!,#REF!,D941,E941)</f>
        <v>#REF!</v>
      </c>
      <c r="H941" s="99"/>
      <c r="I941" s="99"/>
      <c r="J941" s="99"/>
      <c r="K941" s="99"/>
      <c r="L941" s="99"/>
      <c r="M941" s="77">
        <v>0</v>
      </c>
    </row>
    <row r="942" spans="1:13" s="103" customFormat="1" ht="10.9" hidden="1" customHeight="1" x14ac:dyDescent="0.25">
      <c r="A942" s="89" t="s">
        <v>2879</v>
      </c>
      <c r="B942" s="98" t="s">
        <v>2880</v>
      </c>
      <c r="C942" s="101" t="s">
        <v>5348</v>
      </c>
      <c r="D942" s="101" t="s">
        <v>2870</v>
      </c>
      <c r="E942" s="73" t="s">
        <v>2881</v>
      </c>
      <c r="F942" s="100" t="s">
        <v>81</v>
      </c>
      <c r="G942" s="72" t="e">
        <f>_xlfn.TEXTJOIN(", ",TRUE,B942,#REF!,#REF!,#REF!,D942,E942)</f>
        <v>#REF!</v>
      </c>
      <c r="H942" s="99"/>
      <c r="I942" s="99"/>
      <c r="J942" s="99"/>
      <c r="K942" s="99"/>
      <c r="L942" s="99"/>
      <c r="M942" s="77">
        <v>0</v>
      </c>
    </row>
    <row r="943" spans="1:13" s="103" customFormat="1" ht="10.9" hidden="1" customHeight="1" x14ac:dyDescent="0.25">
      <c r="A943" s="89" t="s">
        <v>2882</v>
      </c>
      <c r="B943" s="98" t="s">
        <v>2883</v>
      </c>
      <c r="C943" s="101" t="s">
        <v>5348</v>
      </c>
      <c r="D943" s="101" t="s">
        <v>2870</v>
      </c>
      <c r="E943" s="73" t="s">
        <v>2884</v>
      </c>
      <c r="F943" s="100" t="s">
        <v>118</v>
      </c>
      <c r="G943" s="72" t="e">
        <f>_xlfn.TEXTJOIN(", ",TRUE,B943,#REF!,#REF!,#REF!,D943,E943)</f>
        <v>#REF!</v>
      </c>
      <c r="H943" s="99">
        <v>45225</v>
      </c>
      <c r="I943" s="99"/>
      <c r="J943" s="99"/>
      <c r="K943" s="99"/>
      <c r="L943" s="99"/>
      <c r="M943" s="77" t="s">
        <v>88</v>
      </c>
    </row>
    <row r="944" spans="1:13" s="103" customFormat="1" ht="10.9" hidden="1" customHeight="1" x14ac:dyDescent="0.25">
      <c r="A944" s="89" t="s">
        <v>2885</v>
      </c>
      <c r="B944" s="98" t="s">
        <v>2886</v>
      </c>
      <c r="C944" s="101" t="s">
        <v>5348</v>
      </c>
      <c r="D944" s="101" t="s">
        <v>2870</v>
      </c>
      <c r="E944" s="73" t="s">
        <v>2887</v>
      </c>
      <c r="F944" s="100" t="s">
        <v>98</v>
      </c>
      <c r="G944" s="72" t="e">
        <f>_xlfn.TEXTJOIN(", ",TRUE,B944,#REF!,#REF!,#REF!,D944,E944)</f>
        <v>#REF!</v>
      </c>
      <c r="H944" s="99">
        <v>45541</v>
      </c>
      <c r="I944" s="99"/>
      <c r="J944" s="99"/>
      <c r="K944" s="99"/>
      <c r="L944" s="99"/>
      <c r="M944" s="77" t="s">
        <v>88</v>
      </c>
    </row>
    <row r="945" spans="1:13" s="103" customFormat="1" ht="10.9" hidden="1" customHeight="1" x14ac:dyDescent="0.25">
      <c r="A945" s="89" t="s">
        <v>2888</v>
      </c>
      <c r="B945" s="104" t="s">
        <v>2889</v>
      </c>
      <c r="C945" s="101" t="s">
        <v>5348</v>
      </c>
      <c r="D945" s="101" t="s">
        <v>2870</v>
      </c>
      <c r="E945" s="74" t="s">
        <v>2890</v>
      </c>
      <c r="F945" s="100" t="s">
        <v>98</v>
      </c>
      <c r="G945" s="72" t="e">
        <f>_xlfn.TEXTJOIN(", ",TRUE,B945,#REF!,#REF!,#REF!,D945,E945)</f>
        <v>#REF!</v>
      </c>
      <c r="H945" s="99"/>
      <c r="I945" s="99"/>
      <c r="J945" s="99"/>
      <c r="K945" s="99"/>
      <c r="L945" s="99"/>
      <c r="M945" s="77" t="s">
        <v>88</v>
      </c>
    </row>
    <row r="946" spans="1:13" s="103" customFormat="1" ht="10.9" hidden="1" customHeight="1" x14ac:dyDescent="0.25">
      <c r="A946" s="89" t="s">
        <v>2891</v>
      </c>
      <c r="B946" s="98" t="s">
        <v>2892</v>
      </c>
      <c r="C946" s="101" t="s">
        <v>5349</v>
      </c>
      <c r="D946" s="101" t="s">
        <v>2870</v>
      </c>
      <c r="E946" s="73" t="s">
        <v>2870</v>
      </c>
      <c r="F946" s="100" t="s">
        <v>98</v>
      </c>
      <c r="G946" s="72" t="e">
        <f>_xlfn.TEXTJOIN(", ",TRUE,B946,#REF!,#REF!,#REF!,D946,E946)</f>
        <v>#REF!</v>
      </c>
      <c r="H946" s="99"/>
      <c r="I946" s="99"/>
      <c r="J946" s="99"/>
      <c r="K946" s="99"/>
      <c r="L946" s="99"/>
      <c r="M946" s="77" t="s">
        <v>88</v>
      </c>
    </row>
    <row r="947" spans="1:13" s="103" customFormat="1" ht="10.9" hidden="1" customHeight="1" x14ac:dyDescent="0.25">
      <c r="A947" s="89" t="s">
        <v>2893</v>
      </c>
      <c r="B947" s="98" t="s">
        <v>2894</v>
      </c>
      <c r="C947" s="101" t="s">
        <v>5349</v>
      </c>
      <c r="D947" s="101" t="s">
        <v>2895</v>
      </c>
      <c r="E947" s="74" t="s">
        <v>2896</v>
      </c>
      <c r="F947" s="100" t="s">
        <v>98</v>
      </c>
      <c r="G947" s="72" t="e">
        <f>_xlfn.TEXTJOIN(", ",TRUE,B947,#REF!,#REF!,#REF!,D947,E947)</f>
        <v>#REF!</v>
      </c>
      <c r="H947" s="99"/>
      <c r="I947" s="99"/>
      <c r="J947" s="99"/>
      <c r="K947" s="99"/>
      <c r="L947" s="99"/>
      <c r="M947" s="77" t="s">
        <v>2897</v>
      </c>
    </row>
    <row r="948" spans="1:13" s="103" customFormat="1" ht="10.9" hidden="1" customHeight="1" x14ac:dyDescent="0.25">
      <c r="A948" s="89"/>
      <c r="B948" s="98" t="s">
        <v>2898</v>
      </c>
      <c r="C948" s="107"/>
      <c r="D948" s="107" t="s">
        <v>2895</v>
      </c>
      <c r="E948" s="76"/>
      <c r="F948" s="108" t="s">
        <v>735</v>
      </c>
      <c r="G948" s="78"/>
      <c r="H948" s="107"/>
      <c r="I948" s="107"/>
      <c r="J948" s="107"/>
      <c r="K948" s="107"/>
      <c r="L948" s="107"/>
      <c r="M948" s="77" t="s">
        <v>88</v>
      </c>
    </row>
    <row r="949" spans="1:13" s="103" customFormat="1" ht="10.9" hidden="1" customHeight="1" x14ac:dyDescent="0.25">
      <c r="A949" s="89" t="s">
        <v>2899</v>
      </c>
      <c r="B949" s="98" t="s">
        <v>2900</v>
      </c>
      <c r="C949" s="101" t="s">
        <v>5349</v>
      </c>
      <c r="D949" s="101" t="s">
        <v>2901</v>
      </c>
      <c r="E949" s="73" t="s">
        <v>2902</v>
      </c>
      <c r="F949" s="100" t="s">
        <v>98</v>
      </c>
      <c r="G949" s="72" t="e">
        <f>_xlfn.TEXTJOIN(", ",TRUE,B949,#REF!,#REF!,#REF!,D949,E949)</f>
        <v>#REF!</v>
      </c>
      <c r="H949" s="99"/>
      <c r="I949" s="99"/>
      <c r="J949" s="99"/>
      <c r="K949" s="99"/>
      <c r="L949" s="99"/>
      <c r="M949" s="77" t="s">
        <v>88</v>
      </c>
    </row>
    <row r="950" spans="1:13" s="103" customFormat="1" ht="10.9" hidden="1" customHeight="1" x14ac:dyDescent="0.25">
      <c r="A950" s="89" t="s">
        <v>2903</v>
      </c>
      <c r="B950" s="104" t="s">
        <v>2904</v>
      </c>
      <c r="C950" s="101" t="s">
        <v>5349</v>
      </c>
      <c r="D950" s="101" t="s">
        <v>2901</v>
      </c>
      <c r="E950" s="73" t="s">
        <v>2905</v>
      </c>
      <c r="F950" s="100" t="s">
        <v>98</v>
      </c>
      <c r="G950" s="72" t="e">
        <f>_xlfn.TEXTJOIN(", ",TRUE,B950,#REF!,#REF!,#REF!,D950,E950)</f>
        <v>#REF!</v>
      </c>
      <c r="H950" s="99"/>
      <c r="I950" s="99"/>
      <c r="J950" s="99"/>
      <c r="K950" s="99"/>
      <c r="L950" s="99"/>
      <c r="M950" s="77">
        <v>0</v>
      </c>
    </row>
    <row r="951" spans="1:13" s="103" customFormat="1" ht="10.9" hidden="1" customHeight="1" x14ac:dyDescent="0.25">
      <c r="A951" s="89" t="s">
        <v>2906</v>
      </c>
      <c r="B951" s="104" t="s">
        <v>2907</v>
      </c>
      <c r="C951" s="101" t="s">
        <v>5349</v>
      </c>
      <c r="D951" s="101" t="s">
        <v>2901</v>
      </c>
      <c r="E951" s="73" t="s">
        <v>2905</v>
      </c>
      <c r="F951" s="100" t="s">
        <v>98</v>
      </c>
      <c r="G951" s="72" t="e">
        <f>_xlfn.TEXTJOIN(", ",TRUE,B951,#REF!,#REF!,#REF!,D951,E951)</f>
        <v>#REF!</v>
      </c>
      <c r="H951" s="99"/>
      <c r="I951" s="99"/>
      <c r="J951" s="99"/>
      <c r="K951" s="99"/>
      <c r="L951" s="99"/>
      <c r="M951" s="77" t="s">
        <v>88</v>
      </c>
    </row>
    <row r="952" spans="1:13" s="103" customFormat="1" ht="10.9" hidden="1" customHeight="1" x14ac:dyDescent="0.25">
      <c r="A952" s="89" t="s">
        <v>2908</v>
      </c>
      <c r="B952" s="104" t="s">
        <v>2909</v>
      </c>
      <c r="C952" s="101" t="s">
        <v>5349</v>
      </c>
      <c r="D952" s="101" t="s">
        <v>2901</v>
      </c>
      <c r="E952" s="73" t="s">
        <v>2910</v>
      </c>
      <c r="F952" s="100" t="s">
        <v>98</v>
      </c>
      <c r="G952" s="72" t="e">
        <f>_xlfn.TEXTJOIN(", ",TRUE,B952,#REF!,#REF!,#REF!,D952,E952)</f>
        <v>#REF!</v>
      </c>
      <c r="H952" s="99"/>
      <c r="I952" s="99"/>
      <c r="J952" s="99"/>
      <c r="K952" s="99"/>
      <c r="L952" s="99"/>
      <c r="M952" s="77" t="s">
        <v>2911</v>
      </c>
    </row>
    <row r="953" spans="1:13" s="103" customFormat="1" ht="10.9" hidden="1" customHeight="1" x14ac:dyDescent="0.25">
      <c r="A953" s="89" t="s">
        <v>2912</v>
      </c>
      <c r="B953" s="102" t="s">
        <v>2913</v>
      </c>
      <c r="C953" s="101" t="s">
        <v>5349</v>
      </c>
      <c r="D953" s="101" t="s">
        <v>2901</v>
      </c>
      <c r="E953" s="73" t="s">
        <v>88</v>
      </c>
      <c r="F953" s="100"/>
      <c r="G953" s="72" t="e">
        <f>_xlfn.TEXTJOIN(", ",TRUE,B953,#REF!,#REF!,#REF!,D953,E953)</f>
        <v>#REF!</v>
      </c>
      <c r="H953" s="99"/>
      <c r="I953" s="99"/>
      <c r="J953" s="99"/>
      <c r="K953" s="99"/>
      <c r="L953" s="99"/>
      <c r="M953" s="77" t="s">
        <v>2914</v>
      </c>
    </row>
    <row r="954" spans="1:13" s="103" customFormat="1" ht="10.9" hidden="1" customHeight="1" x14ac:dyDescent="0.25">
      <c r="A954" s="89" t="s">
        <v>2915</v>
      </c>
      <c r="B954" s="98" t="s">
        <v>2916</v>
      </c>
      <c r="C954" s="101" t="s">
        <v>5349</v>
      </c>
      <c r="D954" s="101" t="s">
        <v>2901</v>
      </c>
      <c r="E954" s="73" t="s">
        <v>88</v>
      </c>
      <c r="F954" s="100" t="s">
        <v>98</v>
      </c>
      <c r="G954" s="72" t="e">
        <f>_xlfn.TEXTJOIN(", ",TRUE,B954,#REF!,#REF!,#REF!,D954,E954)</f>
        <v>#REF!</v>
      </c>
      <c r="H954" s="99"/>
      <c r="I954" s="99"/>
      <c r="J954" s="99"/>
      <c r="K954" s="99"/>
      <c r="L954" s="99"/>
      <c r="M954" s="77" t="s">
        <v>88</v>
      </c>
    </row>
    <row r="955" spans="1:13" s="103" customFormat="1" ht="10.9" hidden="1" customHeight="1" x14ac:dyDescent="0.25">
      <c r="A955" s="89" t="s">
        <v>2917</v>
      </c>
      <c r="B955" s="98" t="s">
        <v>2918</v>
      </c>
      <c r="C955" s="101" t="s">
        <v>5349</v>
      </c>
      <c r="D955" s="101" t="s">
        <v>2901</v>
      </c>
      <c r="E955" s="73" t="s">
        <v>2919</v>
      </c>
      <c r="F955" s="100" t="s">
        <v>98</v>
      </c>
      <c r="G955" s="72" t="e">
        <f>_xlfn.TEXTJOIN(", ",TRUE,B955,#REF!,#REF!,#REF!,D955,E955)</f>
        <v>#REF!</v>
      </c>
      <c r="H955" s="99"/>
      <c r="I955" s="99"/>
      <c r="J955" s="99"/>
      <c r="K955" s="99"/>
      <c r="L955" s="99"/>
      <c r="M955" s="77" t="s">
        <v>88</v>
      </c>
    </row>
    <row r="956" spans="1:13" s="103" customFormat="1" ht="10.9" hidden="1" customHeight="1" x14ac:dyDescent="0.25">
      <c r="A956" s="89" t="s">
        <v>2920</v>
      </c>
      <c r="B956" s="104" t="s">
        <v>2921</v>
      </c>
      <c r="C956" s="101" t="s">
        <v>5349</v>
      </c>
      <c r="D956" s="101" t="s">
        <v>2901</v>
      </c>
      <c r="E956" s="73" t="s">
        <v>2922</v>
      </c>
      <c r="F956" s="100" t="s">
        <v>98</v>
      </c>
      <c r="G956" s="72" t="e">
        <f>_xlfn.TEXTJOIN(", ",TRUE,B956,#REF!,#REF!,#REF!,D956,E956)</f>
        <v>#REF!</v>
      </c>
      <c r="H956" s="99"/>
      <c r="I956" s="99"/>
      <c r="J956" s="99"/>
      <c r="K956" s="99"/>
      <c r="L956" s="99"/>
      <c r="M956" s="77" t="s">
        <v>88</v>
      </c>
    </row>
    <row r="957" spans="1:13" s="103" customFormat="1" ht="10.9" hidden="1" customHeight="1" x14ac:dyDescent="0.25">
      <c r="A957" s="89" t="s">
        <v>2923</v>
      </c>
      <c r="B957" s="98" t="s">
        <v>2924</v>
      </c>
      <c r="C957" s="101" t="s">
        <v>5349</v>
      </c>
      <c r="D957" s="101" t="s">
        <v>2901</v>
      </c>
      <c r="E957" s="73" t="s">
        <v>2901</v>
      </c>
      <c r="F957" s="100" t="s">
        <v>81</v>
      </c>
      <c r="G957" s="72" t="e">
        <f>_xlfn.TEXTJOIN(", ",TRUE,B957,#REF!,#REF!,#REF!,D957,E957)</f>
        <v>#REF!</v>
      </c>
      <c r="H957" s="99">
        <v>45384</v>
      </c>
      <c r="I957" s="99"/>
      <c r="J957" s="99"/>
      <c r="K957" s="99"/>
      <c r="L957" s="99"/>
      <c r="M957" s="77" t="s">
        <v>88</v>
      </c>
    </row>
    <row r="958" spans="1:13" s="103" customFormat="1" ht="10.9" hidden="1" customHeight="1" x14ac:dyDescent="0.25">
      <c r="A958" s="89" t="s">
        <v>2925</v>
      </c>
      <c r="B958" s="102" t="s">
        <v>2926</v>
      </c>
      <c r="C958" s="101" t="s">
        <v>5349</v>
      </c>
      <c r="D958" s="101" t="s">
        <v>2901</v>
      </c>
      <c r="E958" s="73" t="s">
        <v>2927</v>
      </c>
      <c r="F958" s="100" t="s">
        <v>348</v>
      </c>
      <c r="G958" s="72" t="e">
        <f>_xlfn.TEXTJOIN(", ",TRUE,B958,#REF!,#REF!,#REF!,D958,E958)</f>
        <v>#REF!</v>
      </c>
      <c r="H958" s="99">
        <v>45720</v>
      </c>
      <c r="I958" s="99"/>
      <c r="J958" s="99"/>
      <c r="K958" s="99"/>
      <c r="L958" s="99"/>
      <c r="M958" s="77" t="s">
        <v>88</v>
      </c>
    </row>
    <row r="959" spans="1:13" s="103" customFormat="1" ht="10.9" hidden="1" customHeight="1" x14ac:dyDescent="0.25">
      <c r="A959" s="89" t="s">
        <v>2928</v>
      </c>
      <c r="B959" s="104" t="s">
        <v>2929</v>
      </c>
      <c r="C959" s="101" t="s">
        <v>5349</v>
      </c>
      <c r="D959" s="101" t="s">
        <v>2901</v>
      </c>
      <c r="E959" s="74" t="s">
        <v>2930</v>
      </c>
      <c r="F959" s="100"/>
      <c r="G959" s="72" t="e">
        <f>_xlfn.TEXTJOIN(", ",TRUE,B959,#REF!,#REF!,#REF!,D959,E959)</f>
        <v>#REF!</v>
      </c>
      <c r="H959" s="99"/>
      <c r="I959" s="99"/>
      <c r="J959" s="99"/>
      <c r="K959" s="99"/>
      <c r="L959" s="99"/>
      <c r="M959" s="77" t="s">
        <v>88</v>
      </c>
    </row>
    <row r="960" spans="1:13" s="103" customFormat="1" ht="10.9" hidden="1" customHeight="1" x14ac:dyDescent="0.25">
      <c r="A960" s="89" t="s">
        <v>2931</v>
      </c>
      <c r="B960" s="104" t="s">
        <v>2932</v>
      </c>
      <c r="C960" s="101" t="s">
        <v>5349</v>
      </c>
      <c r="D960" s="101" t="s">
        <v>2901</v>
      </c>
      <c r="E960" s="73" t="s">
        <v>2933</v>
      </c>
      <c r="F960" s="100" t="s">
        <v>98</v>
      </c>
      <c r="G960" s="72" t="e">
        <f>_xlfn.TEXTJOIN(", ",TRUE,B960,#REF!,#REF!,#REF!,D960,E960)</f>
        <v>#REF!</v>
      </c>
      <c r="H960" s="99"/>
      <c r="I960" s="99"/>
      <c r="J960" s="99"/>
      <c r="K960" s="99"/>
      <c r="L960" s="99"/>
      <c r="M960" s="77" t="s">
        <v>88</v>
      </c>
    </row>
    <row r="961" spans="1:13" s="103" customFormat="1" ht="10.9" hidden="1" customHeight="1" x14ac:dyDescent="0.25">
      <c r="A961" s="89" t="s">
        <v>2934</v>
      </c>
      <c r="B961" s="98" t="s">
        <v>2935</v>
      </c>
      <c r="C961" s="101" t="s">
        <v>5349</v>
      </c>
      <c r="D961" s="101" t="s">
        <v>2901</v>
      </c>
      <c r="E961" s="73" t="s">
        <v>2901</v>
      </c>
      <c r="F961" s="100" t="s">
        <v>81</v>
      </c>
      <c r="G961" s="72" t="e">
        <f>_xlfn.TEXTJOIN(", ",TRUE,B961,#REF!,#REF!,#REF!,D961,E961)</f>
        <v>#REF!</v>
      </c>
      <c r="H961" s="99">
        <v>44976</v>
      </c>
      <c r="I961" s="99"/>
      <c r="J961" s="99"/>
      <c r="K961" s="99"/>
      <c r="L961" s="99"/>
      <c r="M961" s="77" t="s">
        <v>2936</v>
      </c>
    </row>
    <row r="962" spans="1:13" s="103" customFormat="1" ht="10.9" hidden="1" customHeight="1" x14ac:dyDescent="0.25">
      <c r="A962" s="89" t="s">
        <v>2937</v>
      </c>
      <c r="B962" s="104" t="s">
        <v>2938</v>
      </c>
      <c r="C962" s="101" t="s">
        <v>5349</v>
      </c>
      <c r="D962" s="101" t="s">
        <v>2901</v>
      </c>
      <c r="E962" s="73" t="s">
        <v>2910</v>
      </c>
      <c r="F962" s="100" t="s">
        <v>98</v>
      </c>
      <c r="G962" s="72" t="e">
        <f>_xlfn.TEXTJOIN(", ",TRUE,B962,#REF!,#REF!,#REF!,D962,E962)</f>
        <v>#REF!</v>
      </c>
      <c r="H962" s="99"/>
      <c r="I962" s="99"/>
      <c r="J962" s="99"/>
      <c r="K962" s="99"/>
      <c r="L962" s="99"/>
      <c r="M962" s="77" t="s">
        <v>88</v>
      </c>
    </row>
    <row r="963" spans="1:13" s="103" customFormat="1" ht="10.9" hidden="1" customHeight="1" x14ac:dyDescent="0.25">
      <c r="A963" s="89" t="s">
        <v>2939</v>
      </c>
      <c r="B963" s="102" t="s">
        <v>2940</v>
      </c>
      <c r="C963" s="101" t="s">
        <v>5349</v>
      </c>
      <c r="D963" s="101" t="s">
        <v>2901</v>
      </c>
      <c r="E963" s="73" t="s">
        <v>2901</v>
      </c>
      <c r="F963" s="100" t="s">
        <v>81</v>
      </c>
      <c r="G963" s="72" t="e">
        <f>_xlfn.TEXTJOIN(", ",TRUE,B963,#REF!,#REF!,#REF!,D963,E963)</f>
        <v>#REF!</v>
      </c>
      <c r="H963" s="99">
        <v>45334</v>
      </c>
      <c r="I963" s="99"/>
      <c r="J963" s="99"/>
      <c r="K963" s="99"/>
      <c r="L963" s="99"/>
      <c r="M963" s="77" t="s">
        <v>88</v>
      </c>
    </row>
    <row r="964" spans="1:13" s="103" customFormat="1" ht="10.9" hidden="1" customHeight="1" x14ac:dyDescent="0.25">
      <c r="A964" s="89" t="s">
        <v>1279</v>
      </c>
      <c r="B964" s="98" t="s">
        <v>2941</v>
      </c>
      <c r="C964" s="101" t="s">
        <v>5348</v>
      </c>
      <c r="D964" s="101" t="s">
        <v>2901</v>
      </c>
      <c r="E964" s="73" t="s">
        <v>88</v>
      </c>
      <c r="F964" s="100" t="s">
        <v>98</v>
      </c>
      <c r="G964" s="72" t="e">
        <f>_xlfn.TEXTJOIN(", ",TRUE,B964,#REF!,#REF!,#REF!,D964,E964)</f>
        <v>#REF!</v>
      </c>
      <c r="H964" s="99"/>
      <c r="I964" s="99"/>
      <c r="J964" s="99"/>
      <c r="K964" s="99"/>
      <c r="L964" s="99"/>
      <c r="M964" s="77">
        <v>0</v>
      </c>
    </row>
    <row r="965" spans="1:13" s="103" customFormat="1" ht="10.9" hidden="1" customHeight="1" x14ac:dyDescent="0.25">
      <c r="A965" s="89" t="s">
        <v>2942</v>
      </c>
      <c r="B965" s="102" t="s">
        <v>2943</v>
      </c>
      <c r="C965" s="101" t="s">
        <v>5348</v>
      </c>
      <c r="D965" s="101" t="s">
        <v>2901</v>
      </c>
      <c r="E965" s="73" t="s">
        <v>2901</v>
      </c>
      <c r="F965" s="100" t="s">
        <v>81</v>
      </c>
      <c r="G965" s="72" t="e">
        <f>_xlfn.TEXTJOIN(", ",TRUE,B965,#REF!,#REF!,#REF!,D965,E965)</f>
        <v>#REF!</v>
      </c>
      <c r="H965" s="99">
        <v>45340</v>
      </c>
      <c r="I965" s="99"/>
      <c r="J965" s="99"/>
      <c r="K965" s="99"/>
      <c r="L965" s="99"/>
      <c r="M965" s="77">
        <v>0</v>
      </c>
    </row>
    <row r="966" spans="1:13" s="103" customFormat="1" ht="10.9" hidden="1" customHeight="1" x14ac:dyDescent="0.25">
      <c r="A966" s="89" t="s">
        <v>2944</v>
      </c>
      <c r="B966" s="102" t="s">
        <v>2945</v>
      </c>
      <c r="C966" s="101" t="s">
        <v>5349</v>
      </c>
      <c r="D966" s="101" t="s">
        <v>2901</v>
      </c>
      <c r="E966" s="73" t="s">
        <v>2901</v>
      </c>
      <c r="F966" s="100" t="s">
        <v>2084</v>
      </c>
      <c r="G966" s="72" t="e">
        <f>_xlfn.TEXTJOIN(", ",TRUE,B966,#REF!,#REF!,#REF!,D966,E966)</f>
        <v>#REF!</v>
      </c>
      <c r="H966" s="99"/>
      <c r="I966" s="99"/>
      <c r="J966" s="99"/>
      <c r="K966" s="99"/>
      <c r="L966" s="99"/>
      <c r="M966" s="77" t="s">
        <v>88</v>
      </c>
    </row>
    <row r="967" spans="1:13" s="103" customFormat="1" ht="10.9" hidden="1" customHeight="1" x14ac:dyDescent="0.25">
      <c r="A967" s="89" t="s">
        <v>2946</v>
      </c>
      <c r="B967" s="102" t="s">
        <v>2947</v>
      </c>
      <c r="C967" s="101" t="s">
        <v>5349</v>
      </c>
      <c r="D967" s="101" t="s">
        <v>2901</v>
      </c>
      <c r="E967" s="73" t="s">
        <v>88</v>
      </c>
      <c r="F967" s="100" t="s">
        <v>81</v>
      </c>
      <c r="G967" s="72" t="e">
        <f>_xlfn.TEXTJOIN(", ",TRUE,B967,#REF!,#REF!,#REF!,D967,E967)</f>
        <v>#REF!</v>
      </c>
      <c r="H967" s="99"/>
      <c r="I967" s="99"/>
      <c r="J967" s="99"/>
      <c r="K967" s="99"/>
      <c r="L967" s="99"/>
      <c r="M967" s="77" t="s">
        <v>88</v>
      </c>
    </row>
    <row r="968" spans="1:13" s="103" customFormat="1" ht="10.9" hidden="1" customHeight="1" x14ac:dyDescent="0.25">
      <c r="A968" s="89" t="s">
        <v>2948</v>
      </c>
      <c r="B968" s="104" t="s">
        <v>2949</v>
      </c>
      <c r="C968" s="101" t="s">
        <v>5349</v>
      </c>
      <c r="D968" s="101" t="s">
        <v>2901</v>
      </c>
      <c r="E968" s="73" t="s">
        <v>88</v>
      </c>
      <c r="F968" s="100" t="s">
        <v>98</v>
      </c>
      <c r="G968" s="72" t="e">
        <f>_xlfn.TEXTJOIN(", ",TRUE,B968,#REF!,#REF!,#REF!,D968,E968)</f>
        <v>#REF!</v>
      </c>
      <c r="H968" s="99"/>
      <c r="I968" s="99"/>
      <c r="J968" s="99"/>
      <c r="K968" s="99"/>
      <c r="L968" s="99"/>
      <c r="M968" s="77" t="s">
        <v>88</v>
      </c>
    </row>
    <row r="969" spans="1:13" s="103" customFormat="1" ht="10.9" hidden="1" customHeight="1" x14ac:dyDescent="0.25">
      <c r="A969" s="89" t="s">
        <v>2950</v>
      </c>
      <c r="B969" s="104" t="s">
        <v>2951</v>
      </c>
      <c r="C969" s="101" t="s">
        <v>5349</v>
      </c>
      <c r="D969" s="101" t="s">
        <v>2901</v>
      </c>
      <c r="E969" s="74" t="s">
        <v>2952</v>
      </c>
      <c r="F969" s="100" t="s">
        <v>98</v>
      </c>
      <c r="G969" s="72" t="e">
        <f>_xlfn.TEXTJOIN(", ",TRUE,B969,#REF!,#REF!,#REF!,D969,E969)</f>
        <v>#REF!</v>
      </c>
      <c r="H969" s="99"/>
      <c r="I969" s="99"/>
      <c r="J969" s="99"/>
      <c r="K969" s="99"/>
      <c r="L969" s="99"/>
      <c r="M969" s="77" t="s">
        <v>2953</v>
      </c>
    </row>
    <row r="970" spans="1:13" s="103" customFormat="1" ht="10.9" hidden="1" customHeight="1" x14ac:dyDescent="0.25">
      <c r="A970" s="89" t="s">
        <v>2954</v>
      </c>
      <c r="B970" s="98" t="s">
        <v>2955</v>
      </c>
      <c r="C970" s="101" t="s">
        <v>5349</v>
      </c>
      <c r="D970" s="101" t="s">
        <v>2956</v>
      </c>
      <c r="E970" s="73" t="s">
        <v>88</v>
      </c>
      <c r="F970" s="100" t="s">
        <v>98</v>
      </c>
      <c r="G970" s="72" t="e">
        <f>_xlfn.TEXTJOIN(", ",TRUE,B970,#REF!,#REF!,#REF!,D970,E970)</f>
        <v>#REF!</v>
      </c>
      <c r="H970" s="99"/>
      <c r="I970" s="99"/>
      <c r="J970" s="99"/>
      <c r="K970" s="99"/>
      <c r="L970" s="99"/>
      <c r="M970" s="77" t="s">
        <v>2953</v>
      </c>
    </row>
    <row r="971" spans="1:13" s="103" customFormat="1" ht="10.9" hidden="1" customHeight="1" x14ac:dyDescent="0.25">
      <c r="A971" s="89" t="s">
        <v>2957</v>
      </c>
      <c r="B971" s="102" t="s">
        <v>2958</v>
      </c>
      <c r="C971" s="101" t="s">
        <v>5349</v>
      </c>
      <c r="D971" s="101" t="s">
        <v>2956</v>
      </c>
      <c r="E971" s="74" t="s">
        <v>2959</v>
      </c>
      <c r="F971" s="100" t="s">
        <v>98</v>
      </c>
      <c r="G971" s="72" t="e">
        <f>_xlfn.TEXTJOIN(", ",TRUE,B971,#REF!,#REF!,#REF!,D971,E971)</f>
        <v>#REF!</v>
      </c>
      <c r="H971" s="99"/>
      <c r="I971" s="99"/>
      <c r="J971" s="99"/>
      <c r="K971" s="99"/>
      <c r="L971" s="99"/>
      <c r="M971" s="77" t="s">
        <v>2960</v>
      </c>
    </row>
    <row r="972" spans="1:13" s="103" customFormat="1" ht="10.9" hidden="1" customHeight="1" x14ac:dyDescent="0.25">
      <c r="A972" s="89" t="s">
        <v>2957</v>
      </c>
      <c r="B972" s="104" t="s">
        <v>2961</v>
      </c>
      <c r="C972" s="101" t="s">
        <v>5349</v>
      </c>
      <c r="D972" s="101" t="s">
        <v>2956</v>
      </c>
      <c r="E972" s="74" t="s">
        <v>2959</v>
      </c>
      <c r="F972" s="100" t="s">
        <v>98</v>
      </c>
      <c r="G972" s="72" t="e">
        <f>_xlfn.TEXTJOIN(", ",TRUE,B972,#REF!,#REF!,#REF!,D972,E972)</f>
        <v>#REF!</v>
      </c>
      <c r="H972" s="99"/>
      <c r="I972" s="99"/>
      <c r="J972" s="99"/>
      <c r="K972" s="99"/>
      <c r="L972" s="99"/>
      <c r="M972" s="77" t="s">
        <v>88</v>
      </c>
    </row>
    <row r="973" spans="1:13" s="103" customFormat="1" ht="10.9" hidden="1" customHeight="1" x14ac:dyDescent="0.25">
      <c r="A973" s="89" t="s">
        <v>2962</v>
      </c>
      <c r="B973" s="104" t="s">
        <v>2963</v>
      </c>
      <c r="C973" s="101" t="s">
        <v>5349</v>
      </c>
      <c r="D973" s="101" t="s">
        <v>2956</v>
      </c>
      <c r="E973" s="73" t="s">
        <v>2905</v>
      </c>
      <c r="F973" s="100" t="s">
        <v>98</v>
      </c>
      <c r="G973" s="72" t="e">
        <f>_xlfn.TEXTJOIN(", ",TRUE,B973,#REF!,#REF!,#REF!,D973,E973)</f>
        <v>#REF!</v>
      </c>
      <c r="H973" s="99"/>
      <c r="I973" s="99"/>
      <c r="J973" s="99"/>
      <c r="K973" s="99"/>
      <c r="L973" s="99"/>
      <c r="M973" s="77" t="s">
        <v>2964</v>
      </c>
    </row>
    <row r="974" spans="1:13" s="103" customFormat="1" ht="10.9" hidden="1" customHeight="1" x14ac:dyDescent="0.25">
      <c r="A974" s="89" t="s">
        <v>2965</v>
      </c>
      <c r="B974" s="104" t="s">
        <v>2966</v>
      </c>
      <c r="C974" s="101" t="s">
        <v>5349</v>
      </c>
      <c r="D974" s="101" t="s">
        <v>2956</v>
      </c>
      <c r="E974" s="73" t="s">
        <v>2967</v>
      </c>
      <c r="F974" s="100" t="s">
        <v>98</v>
      </c>
      <c r="G974" s="72" t="e">
        <f>_xlfn.TEXTJOIN(", ",TRUE,B974,#REF!,#REF!,#REF!,D974,E974)</f>
        <v>#REF!</v>
      </c>
      <c r="H974" s="99"/>
      <c r="I974" s="99"/>
      <c r="J974" s="99"/>
      <c r="K974" s="99"/>
      <c r="L974" s="99"/>
      <c r="M974" s="77" t="s">
        <v>2968</v>
      </c>
    </row>
    <row r="975" spans="1:13" s="103" customFormat="1" ht="10.9" customHeight="1" x14ac:dyDescent="0.25">
      <c r="A975" s="91" t="s">
        <v>2969</v>
      </c>
      <c r="B975" s="104" t="s">
        <v>2970</v>
      </c>
      <c r="C975" s="101" t="s">
        <v>5347</v>
      </c>
      <c r="D975" s="101" t="s">
        <v>2971</v>
      </c>
      <c r="E975" s="73" t="s">
        <v>2972</v>
      </c>
      <c r="F975" s="100" t="s">
        <v>81</v>
      </c>
      <c r="G975" s="72" t="e">
        <f>_xlfn.TEXTJOIN(", ",TRUE,B975,#REF!,#REF!,#REF!,D975,E975)</f>
        <v>#REF!</v>
      </c>
      <c r="H975" s="99"/>
      <c r="I975" s="99"/>
      <c r="J975" s="99"/>
      <c r="K975" s="99"/>
      <c r="L975" s="99"/>
      <c r="M975" s="77" t="s">
        <v>2973</v>
      </c>
    </row>
    <row r="976" spans="1:13" s="103" customFormat="1" ht="10.9" customHeight="1" x14ac:dyDescent="0.25">
      <c r="A976" s="89" t="s">
        <v>2974</v>
      </c>
      <c r="B976" s="98" t="s">
        <v>2975</v>
      </c>
      <c r="C976" s="101" t="s">
        <v>5347</v>
      </c>
      <c r="D976" s="101" t="s">
        <v>2971</v>
      </c>
      <c r="E976" s="73" t="s">
        <v>2976</v>
      </c>
      <c r="F976" s="100" t="s">
        <v>81</v>
      </c>
      <c r="G976" s="72" t="e">
        <f>_xlfn.TEXTJOIN(", ",TRUE,B976,#REF!,#REF!,#REF!,D976,E976)</f>
        <v>#REF!</v>
      </c>
      <c r="H976" s="99">
        <v>45551</v>
      </c>
      <c r="I976" s="99"/>
      <c r="J976" s="99"/>
      <c r="K976" s="99"/>
      <c r="L976" s="99"/>
      <c r="M976" s="77">
        <v>0</v>
      </c>
    </row>
    <row r="977" spans="1:13" s="103" customFormat="1" ht="10.9" customHeight="1" x14ac:dyDescent="0.25">
      <c r="A977" s="89" t="s">
        <v>2977</v>
      </c>
      <c r="B977" s="98" t="s">
        <v>2978</v>
      </c>
      <c r="C977" s="101" t="s">
        <v>5347</v>
      </c>
      <c r="D977" s="101" t="s">
        <v>2971</v>
      </c>
      <c r="E977" s="73" t="s">
        <v>2979</v>
      </c>
      <c r="F977" s="100" t="s">
        <v>98</v>
      </c>
      <c r="G977" s="72" t="e">
        <f>_xlfn.TEXTJOIN(", ",TRUE,B977,#REF!,#REF!,#REF!,D977,E977)</f>
        <v>#REF!</v>
      </c>
      <c r="H977" s="99"/>
      <c r="I977" s="99"/>
      <c r="J977" s="99"/>
      <c r="K977" s="99"/>
      <c r="L977" s="99"/>
      <c r="M977" s="77">
        <v>0</v>
      </c>
    </row>
    <row r="978" spans="1:13" s="103" customFormat="1" ht="10.9" customHeight="1" x14ac:dyDescent="0.25">
      <c r="A978" s="89" t="s">
        <v>2980</v>
      </c>
      <c r="B978" s="98" t="s">
        <v>2981</v>
      </c>
      <c r="C978" s="101" t="s">
        <v>5347</v>
      </c>
      <c r="D978" s="101" t="s">
        <v>2971</v>
      </c>
      <c r="E978" s="73" t="s">
        <v>2971</v>
      </c>
      <c r="F978" s="100" t="s">
        <v>98</v>
      </c>
      <c r="G978" s="72" t="e">
        <f>_xlfn.TEXTJOIN(", ",TRUE,B978,#REF!,#REF!,#REF!,D978,E978)</f>
        <v>#REF!</v>
      </c>
      <c r="H978" s="99"/>
      <c r="I978" s="99"/>
      <c r="J978" s="99"/>
      <c r="K978" s="99"/>
      <c r="L978" s="99">
        <v>45406</v>
      </c>
      <c r="M978" s="77" t="s">
        <v>88</v>
      </c>
    </row>
    <row r="979" spans="1:13" s="103" customFormat="1" ht="10.9" customHeight="1" x14ac:dyDescent="0.25">
      <c r="A979" s="89" t="s">
        <v>2982</v>
      </c>
      <c r="B979" s="98" t="s">
        <v>2983</v>
      </c>
      <c r="C979" s="101" t="s">
        <v>5347</v>
      </c>
      <c r="D979" s="101" t="s">
        <v>2971</v>
      </c>
      <c r="E979" s="74" t="s">
        <v>2984</v>
      </c>
      <c r="F979" s="100" t="s">
        <v>98</v>
      </c>
      <c r="G979" s="72" t="e">
        <f>_xlfn.TEXTJOIN(", ",TRUE,B979,#REF!,#REF!,#REF!,D979,E979)</f>
        <v>#REF!</v>
      </c>
      <c r="H979" s="99"/>
      <c r="I979" s="99"/>
      <c r="J979" s="99"/>
      <c r="K979" s="99"/>
      <c r="L979" s="99"/>
      <c r="M979" s="77" t="s">
        <v>88</v>
      </c>
    </row>
    <row r="980" spans="1:13" s="103" customFormat="1" ht="10.9" customHeight="1" x14ac:dyDescent="0.25">
      <c r="A980" s="89" t="s">
        <v>2985</v>
      </c>
      <c r="B980" s="98" t="s">
        <v>2986</v>
      </c>
      <c r="C980" s="101" t="s">
        <v>5347</v>
      </c>
      <c r="D980" s="101" t="s">
        <v>2971</v>
      </c>
      <c r="E980" s="74" t="s">
        <v>2987</v>
      </c>
      <c r="F980" s="100" t="s">
        <v>98</v>
      </c>
      <c r="G980" s="72" t="e">
        <f>_xlfn.TEXTJOIN(", ",TRUE,B980,#REF!,#REF!,#REF!,D980,E980)</f>
        <v>#REF!</v>
      </c>
      <c r="H980" s="99"/>
      <c r="I980" s="99"/>
      <c r="J980" s="99"/>
      <c r="K980" s="99"/>
      <c r="L980" s="99"/>
      <c r="M980" s="77" t="s">
        <v>2988</v>
      </c>
    </row>
    <row r="981" spans="1:13" s="103" customFormat="1" ht="10.9" customHeight="1" x14ac:dyDescent="0.25">
      <c r="A981" s="89" t="s">
        <v>2989</v>
      </c>
      <c r="B981" s="98" t="s">
        <v>2990</v>
      </c>
      <c r="C981" s="101" t="s">
        <v>5347</v>
      </c>
      <c r="D981" s="101" t="s">
        <v>2971</v>
      </c>
      <c r="E981" s="74" t="s">
        <v>2991</v>
      </c>
      <c r="F981" s="100" t="s">
        <v>98</v>
      </c>
      <c r="G981" s="72" t="e">
        <f>_xlfn.TEXTJOIN(", ",TRUE,B981,#REF!,#REF!,#REF!,D981,E981)</f>
        <v>#REF!</v>
      </c>
      <c r="H981" s="99">
        <v>45596</v>
      </c>
      <c r="I981" s="99"/>
      <c r="J981" s="99"/>
      <c r="K981" s="99"/>
      <c r="L981" s="99"/>
      <c r="M981" s="77" t="s">
        <v>88</v>
      </c>
    </row>
    <row r="982" spans="1:13" s="103" customFormat="1" ht="10.9" customHeight="1" x14ac:dyDescent="0.25">
      <c r="A982" s="89" t="s">
        <v>2992</v>
      </c>
      <c r="B982" s="98" t="s">
        <v>2993</v>
      </c>
      <c r="C982" s="101" t="s">
        <v>5347</v>
      </c>
      <c r="D982" s="101" t="s">
        <v>2971</v>
      </c>
      <c r="E982" s="73" t="s">
        <v>2994</v>
      </c>
      <c r="F982" s="100" t="s">
        <v>130</v>
      </c>
      <c r="G982" s="72" t="e">
        <f>_xlfn.TEXTJOIN(", ",TRUE,B982,#REF!,#REF!,#REF!,D982,E982)</f>
        <v>#REF!</v>
      </c>
      <c r="H982" s="99">
        <v>44907</v>
      </c>
      <c r="I982" s="99"/>
      <c r="J982" s="99"/>
      <c r="K982" s="99">
        <v>44467</v>
      </c>
      <c r="L982" s="99"/>
      <c r="M982" s="77">
        <v>0</v>
      </c>
    </row>
    <row r="983" spans="1:13" s="103" customFormat="1" ht="10.9" customHeight="1" x14ac:dyDescent="0.25">
      <c r="A983" s="89" t="s">
        <v>2995</v>
      </c>
      <c r="B983" s="98" t="s">
        <v>2996</v>
      </c>
      <c r="C983" s="101" t="s">
        <v>5347</v>
      </c>
      <c r="D983" s="101" t="s">
        <v>2971</v>
      </c>
      <c r="E983" s="74" t="s">
        <v>2997</v>
      </c>
      <c r="F983" s="100" t="s">
        <v>98</v>
      </c>
      <c r="G983" s="72" t="e">
        <f>_xlfn.TEXTJOIN(", ",TRUE,B983,#REF!,#REF!,#REF!,D983,E983)</f>
        <v>#REF!</v>
      </c>
      <c r="H983" s="99"/>
      <c r="I983" s="99"/>
      <c r="J983" s="99"/>
      <c r="K983" s="99"/>
      <c r="L983" s="99"/>
      <c r="M983" s="77" t="s">
        <v>88</v>
      </c>
    </row>
    <row r="984" spans="1:13" s="103" customFormat="1" ht="10.9" customHeight="1" x14ac:dyDescent="0.25">
      <c r="A984" s="89" t="s">
        <v>2998</v>
      </c>
      <c r="B984" s="98" t="s">
        <v>2999</v>
      </c>
      <c r="C984" s="101" t="s">
        <v>5347</v>
      </c>
      <c r="D984" s="101" t="s">
        <v>2971</v>
      </c>
      <c r="E984" s="73" t="s">
        <v>3000</v>
      </c>
      <c r="F984" s="100" t="s">
        <v>81</v>
      </c>
      <c r="G984" s="72" t="e">
        <f>_xlfn.TEXTJOIN(", ",TRUE,B984,#REF!,#REF!,#REF!,D984,E984)</f>
        <v>#REF!</v>
      </c>
      <c r="H984" s="99"/>
      <c r="I984" s="99"/>
      <c r="J984" s="99"/>
      <c r="K984" s="99"/>
      <c r="L984" s="99"/>
      <c r="M984" s="77" t="s">
        <v>3001</v>
      </c>
    </row>
    <row r="985" spans="1:13" s="103" customFormat="1" ht="10.9" customHeight="1" x14ac:dyDescent="0.25">
      <c r="A985" s="89" t="s">
        <v>3002</v>
      </c>
      <c r="B985" s="98" t="s">
        <v>3003</v>
      </c>
      <c r="C985" s="101" t="s">
        <v>5347</v>
      </c>
      <c r="D985" s="101" t="s">
        <v>2971</v>
      </c>
      <c r="E985" s="73" t="s">
        <v>2971</v>
      </c>
      <c r="F985" s="100" t="s">
        <v>669</v>
      </c>
      <c r="G985" s="72" t="e">
        <f>_xlfn.TEXTJOIN(", ",TRUE,B985,#REF!,#REF!,#REF!,D985,E985)</f>
        <v>#REF!</v>
      </c>
      <c r="H985" s="99">
        <v>45168</v>
      </c>
      <c r="I985" s="99"/>
      <c r="J985" s="99">
        <v>44585</v>
      </c>
      <c r="K985" s="99"/>
      <c r="L985" s="99"/>
      <c r="M985" s="77" t="s">
        <v>3004</v>
      </c>
    </row>
    <row r="986" spans="1:13" s="103" customFormat="1" ht="10.9" customHeight="1" x14ac:dyDescent="0.25">
      <c r="A986" s="89" t="s">
        <v>3005</v>
      </c>
      <c r="B986" s="98" t="s">
        <v>3006</v>
      </c>
      <c r="C986" s="101" t="s">
        <v>5347</v>
      </c>
      <c r="D986" s="101" t="s">
        <v>2971</v>
      </c>
      <c r="E986" s="74" t="s">
        <v>3007</v>
      </c>
      <c r="F986" s="100" t="s">
        <v>98</v>
      </c>
      <c r="G986" s="72" t="e">
        <f>_xlfn.TEXTJOIN(", ",TRUE,B986,#REF!,#REF!,#REF!,D986,E986)</f>
        <v>#REF!</v>
      </c>
      <c r="H986" s="99"/>
      <c r="I986" s="99"/>
      <c r="J986" s="99"/>
      <c r="K986" s="99"/>
      <c r="L986" s="99"/>
      <c r="M986" s="77" t="s">
        <v>88</v>
      </c>
    </row>
    <row r="987" spans="1:13" s="103" customFormat="1" ht="10.9" customHeight="1" x14ac:dyDescent="0.25">
      <c r="A987" s="89" t="s">
        <v>2980</v>
      </c>
      <c r="B987" s="98" t="s">
        <v>3008</v>
      </c>
      <c r="C987" s="101" t="s">
        <v>5347</v>
      </c>
      <c r="D987" s="101" t="s">
        <v>2971</v>
      </c>
      <c r="E987" s="74" t="s">
        <v>3009</v>
      </c>
      <c r="F987" s="100" t="s">
        <v>98</v>
      </c>
      <c r="G987" s="72" t="e">
        <f>_xlfn.TEXTJOIN(", ",TRUE,B987,#REF!,#REF!,#REF!,D987,E987)</f>
        <v>#REF!</v>
      </c>
      <c r="H987" s="99"/>
      <c r="I987" s="99"/>
      <c r="J987" s="99"/>
      <c r="K987" s="99"/>
      <c r="L987" s="99"/>
      <c r="M987" s="77" t="s">
        <v>3010</v>
      </c>
    </row>
    <row r="988" spans="1:13" s="103" customFormat="1" ht="10.9" customHeight="1" x14ac:dyDescent="0.25">
      <c r="A988" s="90" t="s">
        <v>3011</v>
      </c>
      <c r="B988" s="98" t="s">
        <v>3012</v>
      </c>
      <c r="C988" s="101" t="s">
        <v>5347</v>
      </c>
      <c r="D988" s="101" t="s">
        <v>2971</v>
      </c>
      <c r="E988" s="74" t="s">
        <v>3013</v>
      </c>
      <c r="F988" s="100" t="s">
        <v>81</v>
      </c>
      <c r="G988" s="72" t="e">
        <f>_xlfn.TEXTJOIN(", ",TRUE,B988,#REF!,#REF!,#REF!,D988,E988)</f>
        <v>#REF!</v>
      </c>
      <c r="H988" s="99"/>
      <c r="I988" s="99"/>
      <c r="J988" s="99"/>
      <c r="K988" s="99"/>
      <c r="L988" s="99"/>
      <c r="M988" s="77" t="s">
        <v>3014</v>
      </c>
    </row>
    <row r="989" spans="1:13" s="103" customFormat="1" ht="10.9" customHeight="1" x14ac:dyDescent="0.25">
      <c r="A989" s="89" t="s">
        <v>3015</v>
      </c>
      <c r="B989" s="98" t="s">
        <v>3016</v>
      </c>
      <c r="C989" s="101" t="s">
        <v>5347</v>
      </c>
      <c r="D989" s="101" t="s">
        <v>2971</v>
      </c>
      <c r="E989" s="74" t="s">
        <v>3017</v>
      </c>
      <c r="F989" s="100" t="s">
        <v>98</v>
      </c>
      <c r="G989" s="72" t="e">
        <f>_xlfn.TEXTJOIN(", ",TRUE,B989,#REF!,#REF!,#REF!,D989,E989)</f>
        <v>#REF!</v>
      </c>
      <c r="H989" s="99"/>
      <c r="I989" s="99"/>
      <c r="J989" s="99"/>
      <c r="K989" s="99"/>
      <c r="L989" s="99"/>
      <c r="M989" s="77" t="s">
        <v>1363</v>
      </c>
    </row>
    <row r="990" spans="1:13" s="103" customFormat="1" ht="10.9" customHeight="1" x14ac:dyDescent="0.25">
      <c r="A990" s="89" t="s">
        <v>3018</v>
      </c>
      <c r="B990" s="104" t="s">
        <v>3019</v>
      </c>
      <c r="C990" s="101" t="s">
        <v>5347</v>
      </c>
      <c r="D990" s="101" t="s">
        <v>2971</v>
      </c>
      <c r="E990" s="73" t="s">
        <v>2971</v>
      </c>
      <c r="F990" s="100" t="s">
        <v>130</v>
      </c>
      <c r="G990" s="72" t="e">
        <f>_xlfn.TEXTJOIN(", ",TRUE,B990,#REF!,#REF!,#REF!,D990,E990)</f>
        <v>#REF!</v>
      </c>
      <c r="H990" s="99"/>
      <c r="I990" s="99"/>
      <c r="J990" s="99"/>
      <c r="K990" s="99"/>
      <c r="L990" s="99"/>
      <c r="M990" s="77" t="s">
        <v>3020</v>
      </c>
    </row>
    <row r="991" spans="1:13" s="103" customFormat="1" ht="10.9" customHeight="1" x14ac:dyDescent="0.25">
      <c r="A991" s="89" t="s">
        <v>3021</v>
      </c>
      <c r="B991" s="98" t="s">
        <v>3022</v>
      </c>
      <c r="C991" s="101" t="s">
        <v>5347</v>
      </c>
      <c r="D991" s="101" t="s">
        <v>2971</v>
      </c>
      <c r="E991" s="73" t="s">
        <v>3023</v>
      </c>
      <c r="F991" s="100" t="s">
        <v>98</v>
      </c>
      <c r="G991" s="72" t="e">
        <f>_xlfn.TEXTJOIN(", ",TRUE,B991,#REF!,#REF!,#REF!,D991,E991)</f>
        <v>#REF!</v>
      </c>
      <c r="H991" s="99">
        <v>44835</v>
      </c>
      <c r="I991" s="99"/>
      <c r="J991" s="99"/>
      <c r="K991" s="99"/>
      <c r="L991" s="99"/>
      <c r="M991" s="77" t="s">
        <v>3024</v>
      </c>
    </row>
    <row r="992" spans="1:13" s="103" customFormat="1" ht="10.9" customHeight="1" x14ac:dyDescent="0.25">
      <c r="A992" s="89" t="s">
        <v>3025</v>
      </c>
      <c r="B992" s="98" t="s">
        <v>3026</v>
      </c>
      <c r="C992" s="101" t="s">
        <v>5347</v>
      </c>
      <c r="D992" s="101" t="s">
        <v>2971</v>
      </c>
      <c r="E992" s="73" t="s">
        <v>2971</v>
      </c>
      <c r="F992" s="100" t="s">
        <v>98</v>
      </c>
      <c r="G992" s="72" t="e">
        <f>_xlfn.TEXTJOIN(", ",TRUE,B992,#REF!,#REF!,#REF!,D992,E992)</f>
        <v>#REF!</v>
      </c>
      <c r="H992" s="99">
        <v>45049</v>
      </c>
      <c r="I992" s="99"/>
      <c r="J992" s="99"/>
      <c r="K992" s="99"/>
      <c r="L992" s="99"/>
      <c r="M992" s="77" t="s">
        <v>88</v>
      </c>
    </row>
    <row r="993" spans="1:13" s="103" customFormat="1" ht="10.9" customHeight="1" x14ac:dyDescent="0.25">
      <c r="A993" s="89" t="s">
        <v>3025</v>
      </c>
      <c r="B993" s="104" t="s">
        <v>3027</v>
      </c>
      <c r="C993" s="101" t="s">
        <v>5347</v>
      </c>
      <c r="D993" s="101" t="s">
        <v>2971</v>
      </c>
      <c r="E993" s="74" t="s">
        <v>3028</v>
      </c>
      <c r="F993" s="100" t="s">
        <v>98</v>
      </c>
      <c r="G993" s="72" t="e">
        <f>_xlfn.TEXTJOIN(", ",TRUE,B993,#REF!,#REF!,#REF!,D993,E993)</f>
        <v>#REF!</v>
      </c>
      <c r="H993" s="99"/>
      <c r="I993" s="99"/>
      <c r="J993" s="99"/>
      <c r="K993" s="99"/>
      <c r="L993" s="99"/>
      <c r="M993" s="77" t="s">
        <v>88</v>
      </c>
    </row>
    <row r="994" spans="1:13" s="103" customFormat="1" ht="10.9" customHeight="1" x14ac:dyDescent="0.25">
      <c r="A994" s="89" t="s">
        <v>3029</v>
      </c>
      <c r="B994" s="104" t="s">
        <v>3030</v>
      </c>
      <c r="C994" s="101" t="s">
        <v>5347</v>
      </c>
      <c r="D994" s="101" t="s">
        <v>2971</v>
      </c>
      <c r="E994" s="73" t="s">
        <v>2971</v>
      </c>
      <c r="F994" s="100" t="s">
        <v>130</v>
      </c>
      <c r="G994" s="72" t="e">
        <f>_xlfn.TEXTJOIN(", ",TRUE,B994,#REF!,#REF!,#REF!,D994,E994)</f>
        <v>#REF!</v>
      </c>
      <c r="H994" s="99"/>
      <c r="I994" s="99"/>
      <c r="J994" s="99"/>
      <c r="K994" s="99"/>
      <c r="L994" s="99"/>
      <c r="M994" s="77" t="s">
        <v>3031</v>
      </c>
    </row>
    <row r="995" spans="1:13" s="103" customFormat="1" ht="10.9" hidden="1" customHeight="1" x14ac:dyDescent="0.25">
      <c r="A995" s="89" t="s">
        <v>3032</v>
      </c>
      <c r="B995" s="104" t="s">
        <v>3033</v>
      </c>
      <c r="C995" s="101" t="s">
        <v>5348</v>
      </c>
      <c r="D995" s="101" t="s">
        <v>2971</v>
      </c>
      <c r="E995" s="74" t="s">
        <v>1001</v>
      </c>
      <c r="F995" s="100" t="s">
        <v>98</v>
      </c>
      <c r="G995" s="72" t="e">
        <f>_xlfn.TEXTJOIN(", ",TRUE,B995,#REF!,#REF!,#REF!,D995,E995)</f>
        <v>#REF!</v>
      </c>
      <c r="H995" s="99"/>
      <c r="I995" s="99"/>
      <c r="J995" s="99"/>
      <c r="K995" s="99"/>
      <c r="L995" s="99"/>
      <c r="M995" s="77" t="s">
        <v>3034</v>
      </c>
    </row>
    <row r="996" spans="1:13" s="103" customFormat="1" ht="10.9" customHeight="1" x14ac:dyDescent="0.25">
      <c r="A996" s="89" t="s">
        <v>3035</v>
      </c>
      <c r="B996" s="104" t="s">
        <v>3036</v>
      </c>
      <c r="C996" s="101" t="s">
        <v>5347</v>
      </c>
      <c r="D996" s="101" t="s">
        <v>2971</v>
      </c>
      <c r="E996" s="74" t="s">
        <v>3037</v>
      </c>
      <c r="F996" s="100" t="s">
        <v>98</v>
      </c>
      <c r="G996" s="72" t="e">
        <f>_xlfn.TEXTJOIN(", ",TRUE,B996,#REF!,#REF!,#REF!,D996,E996)</f>
        <v>#REF!</v>
      </c>
      <c r="H996" s="99"/>
      <c r="I996" s="99"/>
      <c r="J996" s="99"/>
      <c r="K996" s="99"/>
      <c r="L996" s="99"/>
      <c r="M996" s="77" t="s">
        <v>88</v>
      </c>
    </row>
    <row r="997" spans="1:13" s="103" customFormat="1" ht="10.9" customHeight="1" x14ac:dyDescent="0.25">
      <c r="A997" s="89" t="s">
        <v>3038</v>
      </c>
      <c r="B997" s="104" t="s">
        <v>3039</v>
      </c>
      <c r="C997" s="101" t="s">
        <v>5347</v>
      </c>
      <c r="D997" s="101" t="s">
        <v>2971</v>
      </c>
      <c r="E997" s="73" t="s">
        <v>88</v>
      </c>
      <c r="F997" s="100" t="s">
        <v>130</v>
      </c>
      <c r="G997" s="72" t="e">
        <f>_xlfn.TEXTJOIN(", ",TRUE,B997,#REF!,#REF!,#REF!,D997,E997)</f>
        <v>#REF!</v>
      </c>
      <c r="H997" s="99"/>
      <c r="I997" s="99"/>
      <c r="J997" s="99"/>
      <c r="K997" s="99"/>
      <c r="L997" s="99"/>
      <c r="M997" s="77" t="s">
        <v>88</v>
      </c>
    </row>
    <row r="998" spans="1:13" s="103" customFormat="1" ht="10.9" customHeight="1" x14ac:dyDescent="0.25">
      <c r="A998" s="89" t="s">
        <v>3040</v>
      </c>
      <c r="B998" s="98" t="s">
        <v>3041</v>
      </c>
      <c r="C998" s="101" t="s">
        <v>5347</v>
      </c>
      <c r="D998" s="101" t="s">
        <v>2971</v>
      </c>
      <c r="E998" s="73" t="s">
        <v>2971</v>
      </c>
      <c r="F998" s="100" t="s">
        <v>277</v>
      </c>
      <c r="G998" s="72" t="e">
        <f>_xlfn.TEXTJOIN(", ",TRUE,B998,#REF!,#REF!,#REF!,D998,E998)</f>
        <v>#REF!</v>
      </c>
      <c r="H998" s="99">
        <v>45789</v>
      </c>
      <c r="I998" s="99"/>
      <c r="J998" s="99"/>
      <c r="K998" s="99"/>
      <c r="L998" s="99"/>
      <c r="M998" s="77" t="s">
        <v>3042</v>
      </c>
    </row>
    <row r="999" spans="1:13" s="103" customFormat="1" ht="10.9" customHeight="1" x14ac:dyDescent="0.25">
      <c r="A999" s="89" t="s">
        <v>3043</v>
      </c>
      <c r="B999" s="104" t="s">
        <v>3044</v>
      </c>
      <c r="C999" s="101" t="s">
        <v>5347</v>
      </c>
      <c r="D999" s="101" t="s">
        <v>2971</v>
      </c>
      <c r="E999" s="74" t="s">
        <v>3045</v>
      </c>
      <c r="F999" s="100" t="s">
        <v>98</v>
      </c>
      <c r="G999" s="72" t="e">
        <f>_xlfn.TEXTJOIN(", ",TRUE,B999,#REF!,#REF!,#REF!,D999,E999)</f>
        <v>#REF!</v>
      </c>
      <c r="H999" s="99"/>
      <c r="I999" s="99"/>
      <c r="J999" s="99"/>
      <c r="K999" s="99"/>
      <c r="L999" s="99"/>
      <c r="M999" s="77">
        <v>0</v>
      </c>
    </row>
    <row r="1000" spans="1:13" s="103" customFormat="1" ht="10.9" hidden="1" customHeight="1" x14ac:dyDescent="0.25">
      <c r="A1000" s="89" t="s">
        <v>3046</v>
      </c>
      <c r="B1000" s="98" t="s">
        <v>3047</v>
      </c>
      <c r="C1000" s="101" t="s">
        <v>5348</v>
      </c>
      <c r="D1000" s="101" t="s">
        <v>3048</v>
      </c>
      <c r="E1000" s="73" t="s">
        <v>3049</v>
      </c>
      <c r="F1000" s="100" t="s">
        <v>98</v>
      </c>
      <c r="G1000" s="72" t="e">
        <f>_xlfn.TEXTJOIN(", ",TRUE,B1000,#REF!,#REF!,#REF!,D1000,E1000)</f>
        <v>#REF!</v>
      </c>
      <c r="H1000" s="99">
        <v>45363</v>
      </c>
      <c r="I1000" s="99"/>
      <c r="J1000" s="99"/>
      <c r="K1000" s="99"/>
      <c r="L1000" s="99"/>
      <c r="M1000" s="77" t="s">
        <v>3050</v>
      </c>
    </row>
    <row r="1001" spans="1:13" s="103" customFormat="1" ht="10.9" hidden="1" customHeight="1" x14ac:dyDescent="0.25">
      <c r="A1001" s="89" t="s">
        <v>3051</v>
      </c>
      <c r="B1001" s="98" t="s">
        <v>3052</v>
      </c>
      <c r="C1001" s="101" t="s">
        <v>5348</v>
      </c>
      <c r="D1001" s="101" t="s">
        <v>3048</v>
      </c>
      <c r="E1001" s="73" t="s">
        <v>88</v>
      </c>
      <c r="F1001" s="100" t="s">
        <v>952</v>
      </c>
      <c r="G1001" s="72" t="e">
        <f>_xlfn.TEXTJOIN(", ",TRUE,B1001,#REF!,#REF!,#REF!,D1001,E1001)</f>
        <v>#REF!</v>
      </c>
      <c r="H1001" s="99"/>
      <c r="I1001" s="99"/>
      <c r="J1001" s="99"/>
      <c r="K1001" s="99"/>
      <c r="L1001" s="99"/>
      <c r="M1001" s="77">
        <v>0</v>
      </c>
    </row>
    <row r="1002" spans="1:13" s="103" customFormat="1" ht="10.9" hidden="1" customHeight="1" x14ac:dyDescent="0.25">
      <c r="A1002" s="89" t="s">
        <v>3053</v>
      </c>
      <c r="B1002" s="98" t="s">
        <v>3054</v>
      </c>
      <c r="C1002" s="101" t="s">
        <v>5348</v>
      </c>
      <c r="D1002" s="101" t="s">
        <v>3048</v>
      </c>
      <c r="E1002" s="73" t="s">
        <v>3055</v>
      </c>
      <c r="F1002" s="100" t="s">
        <v>118</v>
      </c>
      <c r="G1002" s="72" t="e">
        <f>_xlfn.TEXTJOIN(", ",TRUE,B1002,#REF!,#REF!,#REF!,D1002,E1002)</f>
        <v>#REF!</v>
      </c>
      <c r="H1002" s="99">
        <v>45504</v>
      </c>
      <c r="I1002" s="99"/>
      <c r="J1002" s="99"/>
      <c r="K1002" s="99"/>
      <c r="L1002" s="99"/>
      <c r="M1002" s="77" t="s">
        <v>88</v>
      </c>
    </row>
    <row r="1003" spans="1:13" s="103" customFormat="1" ht="10.9" hidden="1" customHeight="1" x14ac:dyDescent="0.25">
      <c r="A1003" s="89" t="s">
        <v>3056</v>
      </c>
      <c r="B1003" s="98" t="s">
        <v>3057</v>
      </c>
      <c r="C1003" s="101" t="s">
        <v>5349</v>
      </c>
      <c r="D1003" s="101" t="s">
        <v>3058</v>
      </c>
      <c r="E1003" s="73" t="s">
        <v>3059</v>
      </c>
      <c r="F1003" s="100" t="s">
        <v>81</v>
      </c>
      <c r="G1003" s="72" t="e">
        <f>_xlfn.TEXTJOIN(", ",TRUE,B1003,#REF!,#REF!,#REF!,D1003,E1003)</f>
        <v>#REF!</v>
      </c>
      <c r="H1003" s="99"/>
      <c r="I1003" s="99"/>
      <c r="J1003" s="99"/>
      <c r="K1003" s="99"/>
      <c r="L1003" s="99"/>
      <c r="M1003" s="77" t="s">
        <v>88</v>
      </c>
    </row>
    <row r="1004" spans="1:13" s="103" customFormat="1" ht="10.9" hidden="1" customHeight="1" x14ac:dyDescent="0.25">
      <c r="A1004" s="89" t="s">
        <v>3060</v>
      </c>
      <c r="B1004" s="102" t="s">
        <v>3061</v>
      </c>
      <c r="C1004" s="101" t="s">
        <v>5349</v>
      </c>
      <c r="D1004" s="101" t="s">
        <v>3062</v>
      </c>
      <c r="E1004" s="73" t="s">
        <v>88</v>
      </c>
      <c r="F1004" s="100" t="s">
        <v>81</v>
      </c>
      <c r="G1004" s="72" t="e">
        <f>_xlfn.TEXTJOIN(", ",TRUE,B1004,#REF!,#REF!,#REF!,D1004,E1004)</f>
        <v>#REF!</v>
      </c>
      <c r="H1004" s="99"/>
      <c r="I1004" s="99"/>
      <c r="J1004" s="99"/>
      <c r="K1004" s="99"/>
      <c r="L1004" s="99"/>
      <c r="M1004" s="77" t="s">
        <v>88</v>
      </c>
    </row>
    <row r="1005" spans="1:13" s="103" customFormat="1" ht="10.9" hidden="1" customHeight="1" x14ac:dyDescent="0.25">
      <c r="A1005" s="89" t="s">
        <v>778</v>
      </c>
      <c r="B1005" s="105" t="s">
        <v>3063</v>
      </c>
      <c r="C1005" s="101" t="s">
        <v>5349</v>
      </c>
      <c r="D1005" s="101" t="s">
        <v>3062</v>
      </c>
      <c r="E1005" s="73" t="s">
        <v>3062</v>
      </c>
      <c r="F1005" s="100" t="s">
        <v>98</v>
      </c>
      <c r="G1005" s="72" t="e">
        <f>_xlfn.TEXTJOIN(", ",TRUE,B1005,#REF!,#REF!,#REF!,D1005,E1005)</f>
        <v>#REF!</v>
      </c>
      <c r="H1005" s="99"/>
      <c r="I1005" s="99"/>
      <c r="J1005" s="99"/>
      <c r="K1005" s="99"/>
      <c r="L1005" s="99"/>
      <c r="M1005" s="77" t="s">
        <v>3064</v>
      </c>
    </row>
    <row r="1006" spans="1:13" s="103" customFormat="1" ht="10.9" hidden="1" customHeight="1" x14ac:dyDescent="0.25">
      <c r="A1006" s="89" t="s">
        <v>3065</v>
      </c>
      <c r="B1006" s="105" t="s">
        <v>3066</v>
      </c>
      <c r="C1006" s="101" t="s">
        <v>5349</v>
      </c>
      <c r="D1006" s="101" t="s">
        <v>3062</v>
      </c>
      <c r="E1006" s="73" t="s">
        <v>3062</v>
      </c>
      <c r="F1006" s="100" t="s">
        <v>81</v>
      </c>
      <c r="G1006" s="72" t="e">
        <f>_xlfn.TEXTJOIN(", ",TRUE,B1006,#REF!,#REF!,#REF!,D1006,E1006)</f>
        <v>#REF!</v>
      </c>
      <c r="H1006" s="99"/>
      <c r="I1006" s="99"/>
      <c r="J1006" s="99"/>
      <c r="K1006" s="99"/>
      <c r="L1006" s="99"/>
      <c r="M1006" s="77">
        <v>0</v>
      </c>
    </row>
    <row r="1007" spans="1:13" s="103" customFormat="1" ht="10.9" hidden="1" customHeight="1" x14ac:dyDescent="0.25">
      <c r="A1007" s="89" t="s">
        <v>3067</v>
      </c>
      <c r="B1007" s="104" t="s">
        <v>3068</v>
      </c>
      <c r="C1007" s="101" t="s">
        <v>5349</v>
      </c>
      <c r="D1007" s="101" t="s">
        <v>3062</v>
      </c>
      <c r="E1007" s="74" t="s">
        <v>3069</v>
      </c>
      <c r="F1007" s="100" t="s">
        <v>562</v>
      </c>
      <c r="G1007" s="72" t="e">
        <f>_xlfn.TEXTJOIN(", ",TRUE,B1007,#REF!,#REF!,#REF!,D1007,E1007)</f>
        <v>#REF!</v>
      </c>
      <c r="H1007" s="99"/>
      <c r="I1007" s="99"/>
      <c r="J1007" s="99"/>
      <c r="K1007" s="99"/>
      <c r="L1007" s="99"/>
      <c r="M1007" s="77" t="s">
        <v>360</v>
      </c>
    </row>
    <row r="1008" spans="1:13" s="103" customFormat="1" ht="10.9" hidden="1" customHeight="1" x14ac:dyDescent="0.25">
      <c r="A1008" s="89" t="s">
        <v>3067</v>
      </c>
      <c r="B1008" s="104" t="s">
        <v>3070</v>
      </c>
      <c r="C1008" s="101" t="s">
        <v>5349</v>
      </c>
      <c r="D1008" s="101" t="s">
        <v>3062</v>
      </c>
      <c r="E1008" s="74" t="s">
        <v>3069</v>
      </c>
      <c r="F1008" s="100" t="s">
        <v>562</v>
      </c>
      <c r="G1008" s="72" t="e">
        <f>_xlfn.TEXTJOIN(", ",TRUE,B1008,#REF!,#REF!,#REF!,D1008,E1008)</f>
        <v>#REF!</v>
      </c>
      <c r="H1008" s="99"/>
      <c r="I1008" s="99"/>
      <c r="J1008" s="99"/>
      <c r="K1008" s="99"/>
      <c r="L1008" s="99"/>
      <c r="M1008" s="77" t="s">
        <v>3071</v>
      </c>
    </row>
    <row r="1009" spans="1:13" s="103" customFormat="1" ht="10.9" hidden="1" customHeight="1" x14ac:dyDescent="0.25">
      <c r="A1009" s="89" t="s">
        <v>3072</v>
      </c>
      <c r="B1009" s="98" t="s">
        <v>3073</v>
      </c>
      <c r="C1009" s="101" t="s">
        <v>5348</v>
      </c>
      <c r="D1009" s="101" t="s">
        <v>3074</v>
      </c>
      <c r="E1009" s="73" t="s">
        <v>3074</v>
      </c>
      <c r="F1009" s="100" t="s">
        <v>130</v>
      </c>
      <c r="G1009" s="72" t="e">
        <f>_xlfn.TEXTJOIN(", ",TRUE,B1009,#REF!,#REF!,#REF!,D1009,E1009)</f>
        <v>#REF!</v>
      </c>
      <c r="H1009" s="99">
        <v>45575</v>
      </c>
      <c r="I1009" s="99"/>
      <c r="J1009" s="99"/>
      <c r="K1009" s="99"/>
      <c r="L1009" s="99"/>
      <c r="M1009" s="77">
        <v>0</v>
      </c>
    </row>
    <row r="1010" spans="1:13" s="103" customFormat="1" ht="10.9" hidden="1" customHeight="1" x14ac:dyDescent="0.25">
      <c r="A1010" s="89" t="s">
        <v>3075</v>
      </c>
      <c r="B1010" s="102" t="s">
        <v>3076</v>
      </c>
      <c r="C1010" s="101" t="s">
        <v>5349</v>
      </c>
      <c r="D1010" s="101" t="s">
        <v>3077</v>
      </c>
      <c r="E1010" s="73" t="s">
        <v>3077</v>
      </c>
      <c r="F1010" s="100" t="s">
        <v>81</v>
      </c>
      <c r="G1010" s="72" t="e">
        <f>_xlfn.TEXTJOIN(", ",TRUE,B1010,#REF!,#REF!,#REF!,D1010,E1010)</f>
        <v>#REF!</v>
      </c>
      <c r="H1010" s="99">
        <v>45297</v>
      </c>
      <c r="I1010" s="99"/>
      <c r="J1010" s="99"/>
      <c r="K1010" s="99"/>
      <c r="L1010" s="99"/>
      <c r="M1010" s="77" t="s">
        <v>3078</v>
      </c>
    </row>
    <row r="1011" spans="1:13" s="103" customFormat="1" ht="10.9" hidden="1" customHeight="1" x14ac:dyDescent="0.25">
      <c r="A1011" s="89" t="s">
        <v>3079</v>
      </c>
      <c r="B1011" s="98" t="s">
        <v>3080</v>
      </c>
      <c r="C1011" s="101" t="s">
        <v>5349</v>
      </c>
      <c r="D1011" s="101" t="s">
        <v>3081</v>
      </c>
      <c r="E1011" s="73" t="s">
        <v>88</v>
      </c>
      <c r="F1011" s="100" t="s">
        <v>98</v>
      </c>
      <c r="G1011" s="72" t="e">
        <f>_xlfn.TEXTJOIN(", ",TRUE,B1011,#REF!,#REF!,#REF!,D1011,E1011)</f>
        <v>#REF!</v>
      </c>
      <c r="H1011" s="99"/>
      <c r="I1011" s="99"/>
      <c r="J1011" s="99"/>
      <c r="K1011" s="99"/>
      <c r="L1011" s="99"/>
      <c r="M1011" s="77" t="s">
        <v>3082</v>
      </c>
    </row>
    <row r="1012" spans="1:13" s="103" customFormat="1" ht="10.9" hidden="1" customHeight="1" x14ac:dyDescent="0.25">
      <c r="A1012" s="89" t="s">
        <v>3083</v>
      </c>
      <c r="B1012" s="98" t="s">
        <v>3084</v>
      </c>
      <c r="C1012" s="101" t="s">
        <v>5349</v>
      </c>
      <c r="D1012" s="101" t="s">
        <v>3085</v>
      </c>
      <c r="E1012" s="73" t="s">
        <v>3086</v>
      </c>
      <c r="F1012" s="100" t="s">
        <v>118</v>
      </c>
      <c r="G1012" s="72" t="e">
        <f>_xlfn.TEXTJOIN(", ",TRUE,B1012,#REF!,#REF!,#REF!,D1012,E1012)</f>
        <v>#REF!</v>
      </c>
      <c r="H1012" s="99"/>
      <c r="I1012" s="99"/>
      <c r="J1012" s="99"/>
      <c r="K1012" s="99"/>
      <c r="L1012" s="99"/>
      <c r="M1012" s="77" t="s">
        <v>3087</v>
      </c>
    </row>
    <row r="1013" spans="1:13" s="103" customFormat="1" ht="10.9" hidden="1" customHeight="1" x14ac:dyDescent="0.25">
      <c r="A1013" s="89" t="s">
        <v>3088</v>
      </c>
      <c r="B1013" s="98" t="s">
        <v>3089</v>
      </c>
      <c r="C1013" s="101" t="s">
        <v>5349</v>
      </c>
      <c r="D1013" s="101" t="s">
        <v>3085</v>
      </c>
      <c r="E1013" s="73" t="s">
        <v>3085</v>
      </c>
      <c r="F1013" s="100" t="s">
        <v>118</v>
      </c>
      <c r="G1013" s="72" t="e">
        <f>_xlfn.TEXTJOIN(", ",TRUE,B1013,#REF!,#REF!,#REF!,D1013,E1013)</f>
        <v>#REF!</v>
      </c>
      <c r="H1013" s="99"/>
      <c r="I1013" s="99"/>
      <c r="J1013" s="99"/>
      <c r="K1013" s="99"/>
      <c r="L1013" s="99"/>
      <c r="M1013" s="77" t="s">
        <v>3090</v>
      </c>
    </row>
    <row r="1014" spans="1:13" s="103" customFormat="1" ht="10.9" hidden="1" customHeight="1" x14ac:dyDescent="0.25">
      <c r="A1014" s="89" t="s">
        <v>3091</v>
      </c>
      <c r="B1014" s="98" t="s">
        <v>3092</v>
      </c>
      <c r="C1014" s="101" t="s">
        <v>5349</v>
      </c>
      <c r="D1014" s="101" t="s">
        <v>3085</v>
      </c>
      <c r="E1014" s="73" t="s">
        <v>88</v>
      </c>
      <c r="F1014" s="100"/>
      <c r="G1014" s="72" t="e">
        <f>_xlfn.TEXTJOIN(", ",TRUE,B1014,#REF!,#REF!,#REF!,D1014,E1014)</f>
        <v>#REF!</v>
      </c>
      <c r="H1014" s="99"/>
      <c r="I1014" s="99"/>
      <c r="J1014" s="99"/>
      <c r="K1014" s="99"/>
      <c r="L1014" s="99"/>
      <c r="M1014" s="77" t="s">
        <v>88</v>
      </c>
    </row>
    <row r="1015" spans="1:13" s="103" customFormat="1" ht="10.9" hidden="1" customHeight="1" x14ac:dyDescent="0.25">
      <c r="A1015" s="89" t="s">
        <v>3093</v>
      </c>
      <c r="B1015" s="98" t="s">
        <v>3094</v>
      </c>
      <c r="C1015" s="101" t="s">
        <v>5349</v>
      </c>
      <c r="D1015" s="101" t="s">
        <v>3095</v>
      </c>
      <c r="E1015" s="73" t="s">
        <v>3095</v>
      </c>
      <c r="F1015" s="100" t="s">
        <v>81</v>
      </c>
      <c r="G1015" s="72" t="e">
        <f>_xlfn.TEXTJOIN(", ",TRUE,B1015,#REF!,#REF!,#REF!,D1015,E1015)</f>
        <v>#REF!</v>
      </c>
      <c r="H1015" s="99">
        <v>44926</v>
      </c>
      <c r="I1015" s="99"/>
      <c r="J1015" s="99"/>
      <c r="K1015" s="99"/>
      <c r="L1015" s="99"/>
      <c r="M1015" s="77" t="s">
        <v>88</v>
      </c>
    </row>
    <row r="1016" spans="1:13" s="103" customFormat="1" ht="10.9" hidden="1" customHeight="1" x14ac:dyDescent="0.25">
      <c r="A1016" s="89" t="s">
        <v>3096</v>
      </c>
      <c r="B1016" s="98" t="s">
        <v>3097</v>
      </c>
      <c r="C1016" s="101" t="s">
        <v>5349</v>
      </c>
      <c r="D1016" s="101" t="s">
        <v>3098</v>
      </c>
      <c r="E1016" s="73" t="s">
        <v>3098</v>
      </c>
      <c r="F1016" s="100" t="s">
        <v>81</v>
      </c>
      <c r="G1016" s="72" t="e">
        <f>_xlfn.TEXTJOIN(", ",TRUE,B1016,#REF!,#REF!,#REF!,D1016,E1016)</f>
        <v>#REF!</v>
      </c>
      <c r="H1016" s="99"/>
      <c r="I1016" s="99"/>
      <c r="J1016" s="99"/>
      <c r="K1016" s="99"/>
      <c r="L1016" s="99"/>
      <c r="M1016" s="77" t="s">
        <v>3099</v>
      </c>
    </row>
    <row r="1017" spans="1:13" s="103" customFormat="1" ht="10.9" hidden="1" customHeight="1" x14ac:dyDescent="0.25">
      <c r="A1017" s="89" t="s">
        <v>3100</v>
      </c>
      <c r="B1017" s="104" t="s">
        <v>3101</v>
      </c>
      <c r="C1017" s="101" t="s">
        <v>5349</v>
      </c>
      <c r="D1017" s="101" t="s">
        <v>3102</v>
      </c>
      <c r="E1017" s="74" t="s">
        <v>3103</v>
      </c>
      <c r="F1017" s="100"/>
      <c r="G1017" s="72" t="e">
        <f>_xlfn.TEXTJOIN(", ",TRUE,B1017,#REF!,#REF!,#REF!,D1017,E1017)</f>
        <v>#REF!</v>
      </c>
      <c r="H1017" s="99"/>
      <c r="I1017" s="99"/>
      <c r="J1017" s="99"/>
      <c r="K1017" s="99"/>
      <c r="L1017" s="99"/>
      <c r="M1017" s="77">
        <v>0</v>
      </c>
    </row>
    <row r="1018" spans="1:13" s="103" customFormat="1" ht="10.9" hidden="1" customHeight="1" x14ac:dyDescent="0.25">
      <c r="A1018" s="89" t="s">
        <v>3104</v>
      </c>
      <c r="B1018" s="106" t="s">
        <v>3105</v>
      </c>
      <c r="C1018" s="101" t="s">
        <v>5349</v>
      </c>
      <c r="D1018" s="101" t="s">
        <v>3106</v>
      </c>
      <c r="E1018" s="73" t="s">
        <v>88</v>
      </c>
      <c r="F1018" s="100" t="s">
        <v>98</v>
      </c>
      <c r="G1018" s="72" t="e">
        <f>_xlfn.TEXTJOIN(", ",TRUE,B1018,#REF!,#REF!,#REF!,D1018,E1018)</f>
        <v>#REF!</v>
      </c>
      <c r="H1018" s="99"/>
      <c r="I1018" s="99"/>
      <c r="J1018" s="99"/>
      <c r="K1018" s="99"/>
      <c r="L1018" s="99"/>
      <c r="M1018" s="77" t="s">
        <v>3107</v>
      </c>
    </row>
    <row r="1019" spans="1:13" s="103" customFormat="1" ht="10.9" hidden="1" customHeight="1" x14ac:dyDescent="0.25">
      <c r="A1019" s="89" t="s">
        <v>3108</v>
      </c>
      <c r="B1019" s="98" t="s">
        <v>3109</v>
      </c>
      <c r="C1019" s="101" t="s">
        <v>5349</v>
      </c>
      <c r="D1019" s="101" t="s">
        <v>3106</v>
      </c>
      <c r="E1019" s="73" t="s">
        <v>88</v>
      </c>
      <c r="F1019" s="100"/>
      <c r="G1019" s="72" t="e">
        <f>_xlfn.TEXTJOIN(", ",TRUE,B1019,#REF!,#REF!,#REF!,D1019,E1019)</f>
        <v>#REF!</v>
      </c>
      <c r="H1019" s="99"/>
      <c r="I1019" s="99"/>
      <c r="J1019" s="99"/>
      <c r="K1019" s="99"/>
      <c r="L1019" s="99"/>
      <c r="M1019" s="77" t="s">
        <v>3110</v>
      </c>
    </row>
    <row r="1020" spans="1:13" s="103" customFormat="1" ht="10.9" hidden="1" customHeight="1" x14ac:dyDescent="0.25">
      <c r="A1020" s="89" t="s">
        <v>3111</v>
      </c>
      <c r="B1020" s="98" t="s">
        <v>3112</v>
      </c>
      <c r="C1020" s="101" t="s">
        <v>5349</v>
      </c>
      <c r="D1020" s="101" t="s">
        <v>3106</v>
      </c>
      <c r="E1020" s="73" t="s">
        <v>3106</v>
      </c>
      <c r="F1020" s="100" t="s">
        <v>449</v>
      </c>
      <c r="G1020" s="72" t="e">
        <f>_xlfn.TEXTJOIN(", ",TRUE,B1020,#REF!,#REF!,#REF!,D1020,E1020)</f>
        <v>#REF!</v>
      </c>
      <c r="H1020" s="99"/>
      <c r="I1020" s="99"/>
      <c r="J1020" s="99"/>
      <c r="K1020" s="99"/>
      <c r="L1020" s="99"/>
      <c r="M1020" s="77" t="s">
        <v>3113</v>
      </c>
    </row>
    <row r="1021" spans="1:13" s="103" customFormat="1" ht="10.9" hidden="1" customHeight="1" x14ac:dyDescent="0.25">
      <c r="A1021" s="89" t="s">
        <v>3114</v>
      </c>
      <c r="B1021" s="98" t="s">
        <v>3115</v>
      </c>
      <c r="C1021" s="101" t="s">
        <v>5349</v>
      </c>
      <c r="D1021" s="101" t="s">
        <v>3106</v>
      </c>
      <c r="E1021" s="73" t="s">
        <v>3106</v>
      </c>
      <c r="F1021" s="100" t="s">
        <v>669</v>
      </c>
      <c r="G1021" s="72" t="e">
        <f>_xlfn.TEXTJOIN(", ",TRUE,B1021,#REF!,#REF!,#REF!,D1021,E1021)</f>
        <v>#REF!</v>
      </c>
      <c r="H1021" s="99"/>
      <c r="I1021" s="99"/>
      <c r="J1021" s="99"/>
      <c r="K1021" s="99"/>
      <c r="L1021" s="99"/>
      <c r="M1021" s="77" t="s">
        <v>88</v>
      </c>
    </row>
    <row r="1022" spans="1:13" s="103" customFormat="1" ht="10.9" hidden="1" customHeight="1" x14ac:dyDescent="0.25">
      <c r="A1022" s="89" t="s">
        <v>3116</v>
      </c>
      <c r="B1022" s="102" t="s">
        <v>3117</v>
      </c>
      <c r="C1022" s="101" t="s">
        <v>5349</v>
      </c>
      <c r="D1022" s="101" t="s">
        <v>3106</v>
      </c>
      <c r="E1022" s="73" t="s">
        <v>3106</v>
      </c>
      <c r="F1022" s="100" t="s">
        <v>3118</v>
      </c>
      <c r="G1022" s="72" t="e">
        <f>_xlfn.TEXTJOIN(", ",TRUE,B1022,#REF!,#REF!,#REF!,D1022,E1022)</f>
        <v>#REF!</v>
      </c>
      <c r="H1022" s="99"/>
      <c r="I1022" s="99"/>
      <c r="J1022" s="99"/>
      <c r="K1022" s="99"/>
      <c r="L1022" s="99"/>
      <c r="M1022" s="77" t="s">
        <v>88</v>
      </c>
    </row>
    <row r="1023" spans="1:13" s="103" customFormat="1" ht="10.9" hidden="1" customHeight="1" x14ac:dyDescent="0.25">
      <c r="A1023" s="89" t="s">
        <v>3119</v>
      </c>
      <c r="B1023" s="102" t="s">
        <v>3120</v>
      </c>
      <c r="C1023" s="101" t="s">
        <v>5349</v>
      </c>
      <c r="D1023" s="101" t="s">
        <v>3106</v>
      </c>
      <c r="E1023" s="73" t="s">
        <v>3106</v>
      </c>
      <c r="F1023" s="100" t="s">
        <v>3121</v>
      </c>
      <c r="G1023" s="72" t="e">
        <f>_xlfn.TEXTJOIN(", ",TRUE,B1023,#REF!,#REF!,#REF!,D1023,E1023)</f>
        <v>#REF!</v>
      </c>
      <c r="H1023" s="99"/>
      <c r="I1023" s="99"/>
      <c r="J1023" s="99"/>
      <c r="K1023" s="99"/>
      <c r="L1023" s="99"/>
      <c r="M1023" s="77" t="s">
        <v>88</v>
      </c>
    </row>
    <row r="1024" spans="1:13" s="103" customFormat="1" ht="10.9" hidden="1" customHeight="1" x14ac:dyDescent="0.25">
      <c r="A1024" s="89" t="s">
        <v>3122</v>
      </c>
      <c r="B1024" s="102" t="s">
        <v>3123</v>
      </c>
      <c r="C1024" s="101" t="s">
        <v>5349</v>
      </c>
      <c r="D1024" s="101" t="s">
        <v>3106</v>
      </c>
      <c r="E1024" s="73" t="s">
        <v>3106</v>
      </c>
      <c r="F1024" s="100" t="s">
        <v>81</v>
      </c>
      <c r="G1024" s="72" t="e">
        <f>_xlfn.TEXTJOIN(", ",TRUE,B1024,#REF!,#REF!,#REF!,D1024,E1024)</f>
        <v>#REF!</v>
      </c>
      <c r="H1024" s="99"/>
      <c r="I1024" s="99"/>
      <c r="J1024" s="99"/>
      <c r="K1024" s="99"/>
      <c r="L1024" s="99"/>
      <c r="M1024" s="77" t="s">
        <v>88</v>
      </c>
    </row>
    <row r="1025" spans="1:13" s="103" customFormat="1" ht="10.9" hidden="1" customHeight="1" x14ac:dyDescent="0.25">
      <c r="A1025" s="89" t="s">
        <v>3124</v>
      </c>
      <c r="B1025" s="102" t="s">
        <v>3125</v>
      </c>
      <c r="C1025" s="101" t="s">
        <v>5348</v>
      </c>
      <c r="D1025" s="101" t="s">
        <v>3106</v>
      </c>
      <c r="E1025" s="73" t="s">
        <v>3106</v>
      </c>
      <c r="F1025" s="100" t="s">
        <v>81</v>
      </c>
      <c r="G1025" s="72" t="e">
        <f>_xlfn.TEXTJOIN(", ",TRUE,B1025,#REF!,#REF!,#REF!,D1025,E1025)</f>
        <v>#REF!</v>
      </c>
      <c r="H1025" s="99">
        <v>45091</v>
      </c>
      <c r="I1025" s="99"/>
      <c r="J1025" s="99"/>
      <c r="K1025" s="99"/>
      <c r="L1025" s="99"/>
      <c r="M1025" s="77" t="s">
        <v>3126</v>
      </c>
    </row>
    <row r="1026" spans="1:13" s="103" customFormat="1" ht="10.9" hidden="1" customHeight="1" x14ac:dyDescent="0.25">
      <c r="A1026" s="89" t="s">
        <v>3127</v>
      </c>
      <c r="B1026" s="98" t="s">
        <v>3128</v>
      </c>
      <c r="C1026" s="101" t="s">
        <v>5349</v>
      </c>
      <c r="D1026" s="101" t="s">
        <v>3106</v>
      </c>
      <c r="E1026" s="73" t="s">
        <v>3129</v>
      </c>
      <c r="F1026" s="100" t="s">
        <v>81</v>
      </c>
      <c r="G1026" s="72" t="e">
        <f>_xlfn.TEXTJOIN(", ",TRUE,B1026,#REF!,#REF!,#REF!,D1026,E1026)</f>
        <v>#REF!</v>
      </c>
      <c r="H1026" s="99"/>
      <c r="I1026" s="99"/>
      <c r="J1026" s="99"/>
      <c r="K1026" s="99"/>
      <c r="L1026" s="99"/>
      <c r="M1026" s="77" t="s">
        <v>88</v>
      </c>
    </row>
    <row r="1027" spans="1:13" s="103" customFormat="1" ht="10.9" hidden="1" customHeight="1" x14ac:dyDescent="0.25">
      <c r="A1027" s="89" t="s">
        <v>3130</v>
      </c>
      <c r="B1027" s="102" t="s">
        <v>3131</v>
      </c>
      <c r="C1027" s="101" t="s">
        <v>5349</v>
      </c>
      <c r="D1027" s="101" t="s">
        <v>3106</v>
      </c>
      <c r="E1027" s="73" t="s">
        <v>3106</v>
      </c>
      <c r="F1027" s="100" t="s">
        <v>118</v>
      </c>
      <c r="G1027" s="72" t="e">
        <f>_xlfn.TEXTJOIN(", ",TRUE,B1027,#REF!,#REF!,#REF!,D1027,E1027)</f>
        <v>#REF!</v>
      </c>
      <c r="H1027" s="99"/>
      <c r="I1027" s="99"/>
      <c r="J1027" s="99"/>
      <c r="K1027" s="99"/>
      <c r="L1027" s="99"/>
      <c r="M1027" s="77">
        <v>0</v>
      </c>
    </row>
    <row r="1028" spans="1:13" s="103" customFormat="1" ht="10.9" hidden="1" customHeight="1" x14ac:dyDescent="0.25">
      <c r="A1028" s="89" t="s">
        <v>3132</v>
      </c>
      <c r="B1028" s="102" t="s">
        <v>3133</v>
      </c>
      <c r="C1028" s="101" t="s">
        <v>5349</v>
      </c>
      <c r="D1028" s="101" t="s">
        <v>3106</v>
      </c>
      <c r="E1028" s="73" t="s">
        <v>3106</v>
      </c>
      <c r="F1028" s="100" t="s">
        <v>106</v>
      </c>
      <c r="G1028" s="72" t="e">
        <f>_xlfn.TEXTJOIN(", ",TRUE,B1028,#REF!,#REF!,#REF!,D1028,E1028)</f>
        <v>#REF!</v>
      </c>
      <c r="H1028" s="99"/>
      <c r="I1028" s="99"/>
      <c r="J1028" s="99"/>
      <c r="K1028" s="99"/>
      <c r="L1028" s="99"/>
      <c r="M1028" s="77" t="s">
        <v>3134</v>
      </c>
    </row>
    <row r="1029" spans="1:13" s="103" customFormat="1" ht="10.9" hidden="1" customHeight="1" x14ac:dyDescent="0.25">
      <c r="A1029" s="89" t="s">
        <v>3135</v>
      </c>
      <c r="B1029" s="104" t="s">
        <v>3136</v>
      </c>
      <c r="C1029" s="101" t="s">
        <v>5349</v>
      </c>
      <c r="D1029" s="101" t="s">
        <v>3137</v>
      </c>
      <c r="E1029" s="73" t="s">
        <v>88</v>
      </c>
      <c r="F1029" s="100" t="s">
        <v>98</v>
      </c>
      <c r="G1029" s="72" t="e">
        <f>_xlfn.TEXTJOIN(", ",TRUE,B1029,#REF!,#REF!,#REF!,D1029,E1029)</f>
        <v>#REF!</v>
      </c>
      <c r="H1029" s="99"/>
      <c r="I1029" s="99"/>
      <c r="J1029" s="99"/>
      <c r="K1029" s="99"/>
      <c r="L1029" s="99"/>
      <c r="M1029" s="77" t="s">
        <v>3138</v>
      </c>
    </row>
    <row r="1030" spans="1:13" s="103" customFormat="1" ht="10.9" hidden="1" customHeight="1" x14ac:dyDescent="0.25">
      <c r="A1030" s="89" t="s">
        <v>3139</v>
      </c>
      <c r="B1030" s="104" t="s">
        <v>3140</v>
      </c>
      <c r="C1030" s="101" t="s">
        <v>5348</v>
      </c>
      <c r="D1030" s="101" t="s">
        <v>3141</v>
      </c>
      <c r="E1030" s="74" t="s">
        <v>3142</v>
      </c>
      <c r="F1030" s="100" t="s">
        <v>98</v>
      </c>
      <c r="G1030" s="72" t="e">
        <f>_xlfn.TEXTJOIN(", ",TRUE,B1030,#REF!,#REF!,#REF!,D1030,E1030)</f>
        <v>#REF!</v>
      </c>
      <c r="H1030" s="99"/>
      <c r="I1030" s="99"/>
      <c r="J1030" s="99"/>
      <c r="K1030" s="99"/>
      <c r="L1030" s="99"/>
      <c r="M1030" s="77" t="s">
        <v>88</v>
      </c>
    </row>
    <row r="1031" spans="1:13" s="103" customFormat="1" ht="10.9" hidden="1" customHeight="1" x14ac:dyDescent="0.25">
      <c r="A1031" s="89" t="s">
        <v>3143</v>
      </c>
      <c r="B1031" s="102" t="s">
        <v>3144</v>
      </c>
      <c r="C1031" s="101" t="s">
        <v>5348</v>
      </c>
      <c r="D1031" s="101" t="s">
        <v>3145</v>
      </c>
      <c r="E1031" s="73" t="s">
        <v>3145</v>
      </c>
      <c r="F1031" s="100" t="s">
        <v>1032</v>
      </c>
      <c r="G1031" s="72" t="e">
        <f>_xlfn.TEXTJOIN(", ",TRUE,B1031,#REF!,#REF!,#REF!,D1031,E1031)</f>
        <v>#REF!</v>
      </c>
      <c r="H1031" s="99"/>
      <c r="I1031" s="99"/>
      <c r="J1031" s="99"/>
      <c r="K1031" s="99"/>
      <c r="L1031" s="99"/>
      <c r="M1031" s="77" t="s">
        <v>88</v>
      </c>
    </row>
    <row r="1032" spans="1:13" s="103" customFormat="1" ht="10.9" hidden="1" customHeight="1" x14ac:dyDescent="0.25">
      <c r="A1032" s="89" t="s">
        <v>3146</v>
      </c>
      <c r="B1032" s="98" t="s">
        <v>3147</v>
      </c>
      <c r="C1032" s="101" t="s">
        <v>5349</v>
      </c>
      <c r="D1032" s="101" t="s">
        <v>3148</v>
      </c>
      <c r="E1032" s="73" t="s">
        <v>3149</v>
      </c>
      <c r="F1032" s="100" t="s">
        <v>98</v>
      </c>
      <c r="G1032" s="72" t="e">
        <f>_xlfn.TEXTJOIN(", ",TRUE,B1032,#REF!,#REF!,#REF!,D1032,E1032)</f>
        <v>#REF!</v>
      </c>
      <c r="H1032" s="99"/>
      <c r="I1032" s="99"/>
      <c r="J1032" s="99"/>
      <c r="K1032" s="99"/>
      <c r="L1032" s="99"/>
      <c r="M1032" s="77" t="s">
        <v>3150</v>
      </c>
    </row>
    <row r="1033" spans="1:13" s="103" customFormat="1" ht="10.9" hidden="1" customHeight="1" x14ac:dyDescent="0.25">
      <c r="A1033" s="89" t="s">
        <v>3151</v>
      </c>
      <c r="B1033" s="104" t="s">
        <v>3152</v>
      </c>
      <c r="C1033" s="101" t="s">
        <v>5349</v>
      </c>
      <c r="D1033" s="101" t="s">
        <v>3153</v>
      </c>
      <c r="E1033" s="73" t="s">
        <v>3154</v>
      </c>
      <c r="F1033" s="100" t="s">
        <v>98</v>
      </c>
      <c r="G1033" s="72" t="e">
        <f>_xlfn.TEXTJOIN(", ",TRUE,B1033,#REF!,#REF!,#REF!,D1033,E1033)</f>
        <v>#REF!</v>
      </c>
      <c r="H1033" s="99"/>
      <c r="I1033" s="99"/>
      <c r="J1033" s="99"/>
      <c r="K1033" s="99"/>
      <c r="L1033" s="99"/>
      <c r="M1033" s="77" t="s">
        <v>3155</v>
      </c>
    </row>
    <row r="1034" spans="1:13" s="103" customFormat="1" ht="10.9" hidden="1" customHeight="1" x14ac:dyDescent="0.25">
      <c r="A1034" s="89" t="s">
        <v>2925</v>
      </c>
      <c r="B1034" s="104" t="s">
        <v>3156</v>
      </c>
      <c r="C1034" s="101" t="s">
        <v>5349</v>
      </c>
      <c r="D1034" s="101" t="s">
        <v>3157</v>
      </c>
      <c r="E1034" s="73" t="s">
        <v>88</v>
      </c>
      <c r="F1034" s="100"/>
      <c r="G1034" s="72" t="e">
        <f>_xlfn.TEXTJOIN(", ",TRUE,B1034,#REF!,#REF!,#REF!,D1034,E1034)</f>
        <v>#REF!</v>
      </c>
      <c r="H1034" s="99"/>
      <c r="I1034" s="99"/>
      <c r="J1034" s="99"/>
      <c r="K1034" s="99"/>
      <c r="L1034" s="99"/>
      <c r="M1034" s="77">
        <v>0</v>
      </c>
    </row>
    <row r="1035" spans="1:13" s="103" customFormat="1" ht="10.9" hidden="1" customHeight="1" x14ac:dyDescent="0.25">
      <c r="A1035" s="89" t="s">
        <v>3158</v>
      </c>
      <c r="B1035" s="98" t="s">
        <v>3159</v>
      </c>
      <c r="C1035" s="101" t="s">
        <v>5349</v>
      </c>
      <c r="D1035" s="101" t="s">
        <v>3160</v>
      </c>
      <c r="E1035" s="73" t="s">
        <v>88</v>
      </c>
      <c r="F1035" s="100" t="s">
        <v>98</v>
      </c>
      <c r="G1035" s="72" t="e">
        <f>_xlfn.TEXTJOIN(", ",TRUE,B1035,#REF!,#REF!,#REF!,D1035,E1035)</f>
        <v>#REF!</v>
      </c>
      <c r="H1035" s="99"/>
      <c r="I1035" s="99"/>
      <c r="J1035" s="99"/>
      <c r="K1035" s="99"/>
      <c r="L1035" s="99"/>
      <c r="M1035" s="77" t="s">
        <v>88</v>
      </c>
    </row>
    <row r="1036" spans="1:13" s="103" customFormat="1" ht="10.9" hidden="1" customHeight="1" x14ac:dyDescent="0.25">
      <c r="A1036" s="89" t="s">
        <v>3182</v>
      </c>
      <c r="B1036" s="104" t="s">
        <v>3183</v>
      </c>
      <c r="C1036" s="101" t="s">
        <v>5348</v>
      </c>
      <c r="D1036" s="101" t="s">
        <v>3184</v>
      </c>
      <c r="E1036" s="73" t="s">
        <v>3185</v>
      </c>
      <c r="F1036" s="100" t="s">
        <v>98</v>
      </c>
      <c r="G1036" s="72" t="e">
        <f>_xlfn.TEXTJOIN(", ",TRUE,B1036,#REF!,#REF!,#REF!,D1036,E1036)</f>
        <v>#REF!</v>
      </c>
      <c r="H1036" s="99"/>
      <c r="I1036" s="99"/>
      <c r="J1036" s="99"/>
      <c r="K1036" s="99"/>
      <c r="L1036" s="99"/>
      <c r="M1036" s="77" t="s">
        <v>3165</v>
      </c>
    </row>
    <row r="1037" spans="1:13" s="103" customFormat="1" ht="10.9" hidden="1" customHeight="1" x14ac:dyDescent="0.25">
      <c r="A1037" s="89" t="s">
        <v>3186</v>
      </c>
      <c r="B1037" s="98" t="s">
        <v>3187</v>
      </c>
      <c r="C1037" s="101" t="s">
        <v>5348</v>
      </c>
      <c r="D1037" s="101" t="s">
        <v>3184</v>
      </c>
      <c r="E1037" s="73" t="s">
        <v>3188</v>
      </c>
      <c r="F1037" s="100" t="s">
        <v>282</v>
      </c>
      <c r="G1037" s="72" t="e">
        <f>_xlfn.TEXTJOIN(", ",TRUE,B1037,#REF!,#REF!,#REF!,D1037,E1037)</f>
        <v>#REF!</v>
      </c>
      <c r="H1037" s="99">
        <v>45838</v>
      </c>
      <c r="I1037" s="99"/>
      <c r="J1037" s="99"/>
      <c r="K1037" s="99"/>
      <c r="L1037" s="99"/>
      <c r="M1037" s="77" t="s">
        <v>3169</v>
      </c>
    </row>
    <row r="1038" spans="1:13" s="103" customFormat="1" ht="10.9" hidden="1" customHeight="1" x14ac:dyDescent="0.25">
      <c r="A1038" s="89" t="s">
        <v>3161</v>
      </c>
      <c r="B1038" s="98" t="s">
        <v>3162</v>
      </c>
      <c r="C1038" s="101" t="s">
        <v>5348</v>
      </c>
      <c r="D1038" s="101" t="s">
        <v>5340</v>
      </c>
      <c r="E1038" s="73" t="s">
        <v>3164</v>
      </c>
      <c r="F1038" s="100" t="s">
        <v>98</v>
      </c>
      <c r="G1038" s="72" t="e">
        <f>_xlfn.TEXTJOIN(", ",TRUE,B1038,#REF!,#REF!,#REF!,D1038,E1038)</f>
        <v>#REF!</v>
      </c>
      <c r="H1038" s="99" t="s">
        <v>79</v>
      </c>
      <c r="I1038" s="99"/>
      <c r="J1038" s="99"/>
      <c r="K1038" s="99"/>
      <c r="L1038" s="99"/>
      <c r="M1038" s="77" t="s">
        <v>3172</v>
      </c>
    </row>
    <row r="1039" spans="1:13" s="103" customFormat="1" ht="10.9" hidden="1" customHeight="1" x14ac:dyDescent="0.25">
      <c r="A1039" s="89" t="s">
        <v>3166</v>
      </c>
      <c r="B1039" s="104" t="s">
        <v>3167</v>
      </c>
      <c r="C1039" s="101" t="s">
        <v>5348</v>
      </c>
      <c r="D1039" s="101" t="s">
        <v>5340</v>
      </c>
      <c r="E1039" s="74" t="s">
        <v>3168</v>
      </c>
      <c r="F1039" s="100" t="s">
        <v>98</v>
      </c>
      <c r="G1039" s="72" t="e">
        <f>_xlfn.TEXTJOIN(", ",TRUE,B1039,#REF!,#REF!,#REF!,D1039,E1039)</f>
        <v>#REF!</v>
      </c>
      <c r="H1039" s="99"/>
      <c r="I1039" s="99"/>
      <c r="J1039" s="99"/>
      <c r="K1039" s="99"/>
      <c r="L1039" s="99"/>
      <c r="M1039" s="77">
        <v>0</v>
      </c>
    </row>
    <row r="1040" spans="1:13" s="103" customFormat="1" ht="10.9" hidden="1" customHeight="1" x14ac:dyDescent="0.25">
      <c r="A1040" s="89" t="s">
        <v>3170</v>
      </c>
      <c r="B1040" s="98" t="s">
        <v>3171</v>
      </c>
      <c r="C1040" s="101" t="s">
        <v>5348</v>
      </c>
      <c r="D1040" s="101" t="s">
        <v>5340</v>
      </c>
      <c r="E1040" s="73" t="s">
        <v>88</v>
      </c>
      <c r="F1040" s="100" t="s">
        <v>98</v>
      </c>
      <c r="G1040" s="72" t="e">
        <f>_xlfn.TEXTJOIN(", ",TRUE,B1040,#REF!,#REF!,#REF!,D1040,E1040)</f>
        <v>#REF!</v>
      </c>
      <c r="H1040" s="99"/>
      <c r="I1040" s="99"/>
      <c r="J1040" s="99"/>
      <c r="K1040" s="99"/>
      <c r="L1040" s="99"/>
      <c r="M1040" s="77">
        <v>0</v>
      </c>
    </row>
    <row r="1041" spans="1:13" s="103" customFormat="1" ht="10.9" hidden="1" customHeight="1" x14ac:dyDescent="0.25">
      <c r="A1041" s="89" t="s">
        <v>3173</v>
      </c>
      <c r="B1041" s="98" t="s">
        <v>3174</v>
      </c>
      <c r="C1041" s="101" t="s">
        <v>5348</v>
      </c>
      <c r="D1041" s="101" t="s">
        <v>5340</v>
      </c>
      <c r="E1041" s="73" t="s">
        <v>88</v>
      </c>
      <c r="F1041" s="100" t="s">
        <v>98</v>
      </c>
      <c r="G1041" s="72" t="e">
        <f>_xlfn.TEXTJOIN(", ",TRUE,B1041,#REF!,#REF!,#REF!,D1041,E1041)</f>
        <v>#REF!</v>
      </c>
      <c r="H1041" s="99"/>
      <c r="I1041" s="99"/>
      <c r="J1041" s="99"/>
      <c r="K1041" s="99"/>
      <c r="L1041" s="99"/>
      <c r="M1041" s="77">
        <v>0</v>
      </c>
    </row>
    <row r="1042" spans="1:13" s="103" customFormat="1" ht="10.9" hidden="1" customHeight="1" x14ac:dyDescent="0.25">
      <c r="A1042" s="89" t="s">
        <v>3175</v>
      </c>
      <c r="B1042" s="102" t="s">
        <v>3176</v>
      </c>
      <c r="C1042" s="101" t="s">
        <v>5348</v>
      </c>
      <c r="D1042" s="101" t="s">
        <v>5340</v>
      </c>
      <c r="E1042" s="73" t="s">
        <v>3163</v>
      </c>
      <c r="F1042" s="100" t="s">
        <v>81</v>
      </c>
      <c r="G1042" s="72" t="e">
        <f>_xlfn.TEXTJOIN(", ",TRUE,B1042,#REF!,#REF!,#REF!,D1042,E1042)</f>
        <v>#REF!</v>
      </c>
      <c r="H1042" s="99"/>
      <c r="I1042" s="99"/>
      <c r="J1042" s="99"/>
      <c r="K1042" s="99"/>
      <c r="L1042" s="99"/>
      <c r="M1042" s="77" t="s">
        <v>3181</v>
      </c>
    </row>
    <row r="1043" spans="1:13" s="103" customFormat="1" ht="10.9" hidden="1" customHeight="1" x14ac:dyDescent="0.25">
      <c r="A1043" s="89" t="s">
        <v>3177</v>
      </c>
      <c r="B1043" s="98" t="s">
        <v>3178</v>
      </c>
      <c r="C1043" s="101" t="s">
        <v>5348</v>
      </c>
      <c r="D1043" s="101" t="s">
        <v>5340</v>
      </c>
      <c r="E1043" s="73" t="s">
        <v>3163</v>
      </c>
      <c r="F1043" s="100" t="s">
        <v>81</v>
      </c>
      <c r="G1043" s="72" t="e">
        <f>_xlfn.TEXTJOIN(", ",TRUE,B1043,#REF!,#REF!,#REF!,D1043,E1043)</f>
        <v>#REF!</v>
      </c>
      <c r="H1043" s="99">
        <v>45535</v>
      </c>
      <c r="I1043" s="99"/>
      <c r="J1043" s="99"/>
      <c r="K1043" s="99"/>
      <c r="L1043" s="99"/>
      <c r="M1043" s="77" t="s">
        <v>88</v>
      </c>
    </row>
    <row r="1044" spans="1:13" s="103" customFormat="1" ht="10.9" hidden="1" customHeight="1" x14ac:dyDescent="0.25">
      <c r="A1044" s="89" t="s">
        <v>3179</v>
      </c>
      <c r="B1044" s="98" t="s">
        <v>3180</v>
      </c>
      <c r="C1044" s="101" t="s">
        <v>5348</v>
      </c>
      <c r="D1044" s="101" t="s">
        <v>5340</v>
      </c>
      <c r="E1044" s="73" t="s">
        <v>3163</v>
      </c>
      <c r="F1044" s="100" t="s">
        <v>81</v>
      </c>
      <c r="G1044" s="72" t="e">
        <f>_xlfn.TEXTJOIN(", ",TRUE,B1044,#REF!,#REF!,#REF!,D1044,E1044)</f>
        <v>#REF!</v>
      </c>
      <c r="H1044" s="99">
        <v>45226</v>
      </c>
      <c r="I1044" s="99"/>
      <c r="J1044" s="99"/>
      <c r="K1044" s="99"/>
      <c r="L1044" s="99"/>
      <c r="M1044" s="77" t="s">
        <v>3189</v>
      </c>
    </row>
    <row r="1045" spans="1:13" s="103" customFormat="1" ht="10.9" hidden="1" customHeight="1" x14ac:dyDescent="0.25">
      <c r="A1045" s="89" t="s">
        <v>3190</v>
      </c>
      <c r="B1045" s="104" t="s">
        <v>3191</v>
      </c>
      <c r="C1045" s="101" t="s">
        <v>5349</v>
      </c>
      <c r="D1045" s="101" t="s">
        <v>3192</v>
      </c>
      <c r="E1045" s="73" t="s">
        <v>88</v>
      </c>
      <c r="F1045" s="100" t="s">
        <v>98</v>
      </c>
      <c r="G1045" s="72" t="e">
        <f>_xlfn.TEXTJOIN(", ",TRUE,B1045,#REF!,#REF!,#REF!,D1045,E1045)</f>
        <v>#REF!</v>
      </c>
      <c r="H1045" s="99"/>
      <c r="I1045" s="99"/>
      <c r="J1045" s="99"/>
      <c r="K1045" s="99"/>
      <c r="L1045" s="99"/>
      <c r="M1045" s="77" t="s">
        <v>3193</v>
      </c>
    </row>
    <row r="1046" spans="1:13" s="103" customFormat="1" ht="10.9" hidden="1" customHeight="1" x14ac:dyDescent="0.25">
      <c r="A1046" s="89" t="s">
        <v>3194</v>
      </c>
      <c r="B1046" s="98" t="s">
        <v>3195</v>
      </c>
      <c r="C1046" s="101" t="s">
        <v>5348</v>
      </c>
      <c r="D1046" s="101" t="s">
        <v>3196</v>
      </c>
      <c r="E1046" s="73" t="s">
        <v>3197</v>
      </c>
      <c r="F1046" s="100" t="s">
        <v>277</v>
      </c>
      <c r="G1046" s="72" t="e">
        <f>_xlfn.TEXTJOIN(", ",TRUE,B1046,#REF!,#REF!,#REF!,D1046,E1046)</f>
        <v>#REF!</v>
      </c>
      <c r="H1046" s="99" t="s">
        <v>88</v>
      </c>
      <c r="I1046" s="99" t="s">
        <v>88</v>
      </c>
      <c r="J1046" s="99"/>
      <c r="K1046" s="99" t="s">
        <v>88</v>
      </c>
      <c r="L1046" s="99" t="s">
        <v>88</v>
      </c>
      <c r="M1046" s="77" t="s">
        <v>3198</v>
      </c>
    </row>
    <row r="1047" spans="1:13" s="103" customFormat="1" ht="10.9" hidden="1" customHeight="1" x14ac:dyDescent="0.25">
      <c r="A1047" s="89" t="s">
        <v>3199</v>
      </c>
      <c r="B1047" s="98" t="s">
        <v>3200</v>
      </c>
      <c r="C1047" s="101" t="s">
        <v>5348</v>
      </c>
      <c r="D1047" s="101" t="s">
        <v>3196</v>
      </c>
      <c r="E1047" s="73" t="s">
        <v>3201</v>
      </c>
      <c r="F1047" s="100" t="s">
        <v>81</v>
      </c>
      <c r="G1047" s="72" t="e">
        <f>_xlfn.TEXTJOIN(", ",TRUE,B1047,#REF!,#REF!,#REF!,D1047,E1047)</f>
        <v>#REF!</v>
      </c>
      <c r="H1047" s="99">
        <v>45700</v>
      </c>
      <c r="I1047" s="99">
        <v>45700</v>
      </c>
      <c r="J1047" s="99"/>
      <c r="K1047" s="99"/>
      <c r="L1047" s="99"/>
      <c r="M1047" s="77" t="s">
        <v>3202</v>
      </c>
    </row>
    <row r="1048" spans="1:13" s="103" customFormat="1" ht="10.9" hidden="1" customHeight="1" x14ac:dyDescent="0.25">
      <c r="A1048" s="89" t="s">
        <v>3203</v>
      </c>
      <c r="B1048" s="98" t="s">
        <v>3204</v>
      </c>
      <c r="C1048" s="101" t="s">
        <v>5349</v>
      </c>
      <c r="D1048" s="101" t="s">
        <v>3196</v>
      </c>
      <c r="E1048" s="73" t="s">
        <v>3205</v>
      </c>
      <c r="F1048" s="100" t="s">
        <v>187</v>
      </c>
      <c r="G1048" s="72" t="e">
        <f>_xlfn.TEXTJOIN(", ",TRUE,B1048,#REF!,#REF!,#REF!,D1048,E1048)</f>
        <v>#REF!</v>
      </c>
      <c r="H1048" s="99">
        <v>45636</v>
      </c>
      <c r="I1048" s="99"/>
      <c r="J1048" s="99"/>
      <c r="K1048" s="99"/>
      <c r="L1048" s="99"/>
      <c r="M1048" s="77" t="s">
        <v>3206</v>
      </c>
    </row>
    <row r="1049" spans="1:13" s="103" customFormat="1" ht="10.9" hidden="1" customHeight="1" x14ac:dyDescent="0.25">
      <c r="A1049" s="89" t="s">
        <v>3207</v>
      </c>
      <c r="B1049" s="98" t="s">
        <v>3208</v>
      </c>
      <c r="C1049" s="101" t="s">
        <v>5348</v>
      </c>
      <c r="D1049" s="101" t="s">
        <v>3196</v>
      </c>
      <c r="E1049" s="73" t="s">
        <v>3209</v>
      </c>
      <c r="F1049" s="100" t="s">
        <v>98</v>
      </c>
      <c r="G1049" s="72" t="e">
        <f>_xlfn.TEXTJOIN(", ",TRUE,B1049,#REF!,#REF!,#REF!,D1049,E1049)</f>
        <v>#REF!</v>
      </c>
      <c r="H1049" s="99"/>
      <c r="I1049" s="99"/>
      <c r="J1049" s="99"/>
      <c r="K1049" s="99"/>
      <c r="L1049" s="99"/>
      <c r="M1049" s="77" t="s">
        <v>3210</v>
      </c>
    </row>
    <row r="1050" spans="1:13" s="103" customFormat="1" ht="10.9" hidden="1" customHeight="1" x14ac:dyDescent="0.25">
      <c r="A1050" s="89" t="s">
        <v>3211</v>
      </c>
      <c r="B1050" s="98" t="s">
        <v>3212</v>
      </c>
      <c r="C1050" s="101" t="s">
        <v>5348</v>
      </c>
      <c r="D1050" s="101" t="s">
        <v>3196</v>
      </c>
      <c r="E1050" s="73" t="s">
        <v>3213</v>
      </c>
      <c r="F1050" s="100" t="s">
        <v>98</v>
      </c>
      <c r="G1050" s="72" t="e">
        <f>_xlfn.TEXTJOIN(", ",TRUE,B1050,#REF!,#REF!,#REF!,D1050,E1050)</f>
        <v>#REF!</v>
      </c>
      <c r="H1050" s="99"/>
      <c r="I1050" s="99">
        <v>44847</v>
      </c>
      <c r="J1050" s="99"/>
      <c r="K1050" s="99"/>
      <c r="L1050" s="99"/>
      <c r="M1050" s="77" t="s">
        <v>88</v>
      </c>
    </row>
    <row r="1051" spans="1:13" s="103" customFormat="1" ht="10.9" hidden="1" customHeight="1" x14ac:dyDescent="0.25">
      <c r="A1051" s="89" t="s">
        <v>3214</v>
      </c>
      <c r="B1051" s="98" t="s">
        <v>3215</v>
      </c>
      <c r="C1051" s="101" t="s">
        <v>5348</v>
      </c>
      <c r="D1051" s="101" t="s">
        <v>3196</v>
      </c>
      <c r="E1051" s="73" t="s">
        <v>3216</v>
      </c>
      <c r="F1051" s="100" t="s">
        <v>118</v>
      </c>
      <c r="G1051" s="72" t="e">
        <f>_xlfn.TEXTJOIN(", ",TRUE,B1051,#REF!,#REF!,#REF!,D1051,E1051)</f>
        <v>#REF!</v>
      </c>
      <c r="H1051" s="99">
        <v>45427</v>
      </c>
      <c r="I1051" s="99"/>
      <c r="J1051" s="99"/>
      <c r="K1051" s="99"/>
      <c r="L1051" s="99"/>
      <c r="M1051" s="77">
        <v>0</v>
      </c>
    </row>
    <row r="1052" spans="1:13" s="103" customFormat="1" ht="10.9" hidden="1" customHeight="1" x14ac:dyDescent="0.25">
      <c r="A1052" s="89" t="s">
        <v>3217</v>
      </c>
      <c r="B1052" s="98" t="s">
        <v>3218</v>
      </c>
      <c r="C1052" s="101" t="s">
        <v>5348</v>
      </c>
      <c r="D1052" s="101" t="s">
        <v>3196</v>
      </c>
      <c r="E1052" s="73" t="s">
        <v>3219</v>
      </c>
      <c r="F1052" s="100" t="s">
        <v>98</v>
      </c>
      <c r="G1052" s="72" t="e">
        <f>_xlfn.TEXTJOIN(", ",TRUE,B1052,#REF!,#REF!,#REF!,D1052,E1052)</f>
        <v>#REF!</v>
      </c>
      <c r="H1052" s="99">
        <v>45700</v>
      </c>
      <c r="I1052" s="99"/>
      <c r="J1052" s="99"/>
      <c r="K1052" s="99"/>
      <c r="L1052" s="99"/>
      <c r="M1052" s="77">
        <v>0</v>
      </c>
    </row>
    <row r="1053" spans="1:13" s="103" customFormat="1" ht="10.9" hidden="1" customHeight="1" x14ac:dyDescent="0.25">
      <c r="A1053" s="89" t="s">
        <v>3220</v>
      </c>
      <c r="B1053" s="98" t="s">
        <v>3221</v>
      </c>
      <c r="C1053" s="101" t="s">
        <v>5348</v>
      </c>
      <c r="D1053" s="101" t="s">
        <v>3196</v>
      </c>
      <c r="E1053" s="73" t="s">
        <v>3196</v>
      </c>
      <c r="F1053" s="100" t="s">
        <v>81</v>
      </c>
      <c r="G1053" s="72" t="e">
        <f>_xlfn.TEXTJOIN(", ",TRUE,B1053,#REF!,#REF!,#REF!,D1053,E1053)</f>
        <v>#REF!</v>
      </c>
      <c r="H1053" s="99">
        <v>45138</v>
      </c>
      <c r="I1053" s="99"/>
      <c r="J1053" s="99"/>
      <c r="K1053" s="99"/>
      <c r="L1053" s="99"/>
      <c r="M1053" s="77" t="s">
        <v>289</v>
      </c>
    </row>
    <row r="1054" spans="1:13" s="103" customFormat="1" ht="10.9" hidden="1" customHeight="1" x14ac:dyDescent="0.25">
      <c r="A1054" s="89" t="s">
        <v>3222</v>
      </c>
      <c r="B1054" s="98" t="s">
        <v>3223</v>
      </c>
      <c r="C1054" s="101" t="s">
        <v>5348</v>
      </c>
      <c r="D1054" s="101" t="s">
        <v>3196</v>
      </c>
      <c r="E1054" s="74" t="s">
        <v>3224</v>
      </c>
      <c r="F1054" s="100" t="s">
        <v>98</v>
      </c>
      <c r="G1054" s="72" t="e">
        <f>_xlfn.TEXTJOIN(", ",TRUE,B1054,#REF!,#REF!,#REF!,D1054,E1054)</f>
        <v>#REF!</v>
      </c>
      <c r="H1054" s="99"/>
      <c r="I1054" s="99"/>
      <c r="J1054" s="99"/>
      <c r="K1054" s="99"/>
      <c r="L1054" s="99"/>
      <c r="M1054" s="77" t="s">
        <v>3225</v>
      </c>
    </row>
    <row r="1055" spans="1:13" s="103" customFormat="1" ht="10.9" hidden="1" customHeight="1" x14ac:dyDescent="0.25">
      <c r="A1055" s="89" t="s">
        <v>3226</v>
      </c>
      <c r="B1055" s="98" t="s">
        <v>3227</v>
      </c>
      <c r="C1055" s="101" t="s">
        <v>5348</v>
      </c>
      <c r="D1055" s="101" t="s">
        <v>3196</v>
      </c>
      <c r="E1055" s="73" t="s">
        <v>3228</v>
      </c>
      <c r="F1055" s="100" t="s">
        <v>98</v>
      </c>
      <c r="G1055" s="72" t="e">
        <f>_xlfn.TEXTJOIN(", ",TRUE,B1055,#REF!,#REF!,#REF!,D1055,E1055)</f>
        <v>#REF!</v>
      </c>
      <c r="H1055" s="99">
        <v>45454</v>
      </c>
      <c r="I1055" s="99"/>
      <c r="J1055" s="99"/>
      <c r="K1055" s="99"/>
      <c r="L1055" s="99"/>
      <c r="M1055" s="77">
        <v>0</v>
      </c>
    </row>
    <row r="1056" spans="1:13" s="103" customFormat="1" ht="10.9" hidden="1" customHeight="1" x14ac:dyDescent="0.25">
      <c r="A1056" s="89" t="s">
        <v>3229</v>
      </c>
      <c r="B1056" s="102" t="s">
        <v>3230</v>
      </c>
      <c r="C1056" s="101" t="s">
        <v>5348</v>
      </c>
      <c r="D1056" s="101" t="s">
        <v>3196</v>
      </c>
      <c r="E1056" s="73" t="s">
        <v>3196</v>
      </c>
      <c r="F1056" s="100" t="s">
        <v>98</v>
      </c>
      <c r="G1056" s="72" t="e">
        <f>_xlfn.TEXTJOIN(", ",TRUE,B1056,#REF!,#REF!,#REF!,D1056,E1056)</f>
        <v>#REF!</v>
      </c>
      <c r="H1056" s="99"/>
      <c r="I1056" s="99"/>
      <c r="J1056" s="99"/>
      <c r="K1056" s="99"/>
      <c r="L1056" s="99"/>
      <c r="M1056" s="77" t="s">
        <v>3231</v>
      </c>
    </row>
    <row r="1057" spans="1:13" s="103" customFormat="1" ht="10.9" hidden="1" customHeight="1" x14ac:dyDescent="0.25">
      <c r="A1057" s="89" t="s">
        <v>3232</v>
      </c>
      <c r="B1057" s="98" t="s">
        <v>3233</v>
      </c>
      <c r="C1057" s="101" t="s">
        <v>5348</v>
      </c>
      <c r="D1057" s="101" t="s">
        <v>3196</v>
      </c>
      <c r="E1057" s="73" t="s">
        <v>3196</v>
      </c>
      <c r="F1057" s="100" t="s">
        <v>98</v>
      </c>
      <c r="G1057" s="72" t="e">
        <f>_xlfn.TEXTJOIN(", ",TRUE,B1057,#REF!,#REF!,#REF!,D1057,E1057)</f>
        <v>#REF!</v>
      </c>
      <c r="H1057" s="99">
        <v>45331</v>
      </c>
      <c r="I1057" s="99"/>
      <c r="J1057" s="99"/>
      <c r="K1057" s="99"/>
      <c r="L1057" s="99"/>
      <c r="M1057" s="77" t="s">
        <v>3234</v>
      </c>
    </row>
    <row r="1058" spans="1:13" s="103" customFormat="1" ht="10.9" hidden="1" customHeight="1" x14ac:dyDescent="0.25">
      <c r="A1058" s="89" t="s">
        <v>3235</v>
      </c>
      <c r="B1058" s="102" t="s">
        <v>3236</v>
      </c>
      <c r="C1058" s="101" t="s">
        <v>5348</v>
      </c>
      <c r="D1058" s="101" t="s">
        <v>3196</v>
      </c>
      <c r="E1058" s="73" t="s">
        <v>3196</v>
      </c>
      <c r="F1058" s="100" t="s">
        <v>187</v>
      </c>
      <c r="G1058" s="72" t="e">
        <f>_xlfn.TEXTJOIN(", ",TRUE,B1058,#REF!,#REF!,#REF!,D1058,E1058)</f>
        <v>#REF!</v>
      </c>
      <c r="H1058" s="99">
        <v>45472</v>
      </c>
      <c r="I1058" s="99"/>
      <c r="J1058" s="99"/>
      <c r="K1058" s="99"/>
      <c r="L1058" s="99"/>
      <c r="M1058" s="77" t="s">
        <v>3237</v>
      </c>
    </row>
    <row r="1059" spans="1:13" s="103" customFormat="1" ht="10.9" hidden="1" customHeight="1" x14ac:dyDescent="0.25">
      <c r="A1059" s="89" t="s">
        <v>3238</v>
      </c>
      <c r="B1059" s="102" t="s">
        <v>3239</v>
      </c>
      <c r="C1059" s="101" t="s">
        <v>5348</v>
      </c>
      <c r="D1059" s="101" t="s">
        <v>3196</v>
      </c>
      <c r="E1059" s="73" t="s">
        <v>3196</v>
      </c>
      <c r="F1059" s="100" t="s">
        <v>81</v>
      </c>
      <c r="G1059" s="72" t="e">
        <f>_xlfn.TEXTJOIN(", ",TRUE,B1059,#REF!,#REF!,#REF!,D1059,E1059)</f>
        <v>#REF!</v>
      </c>
      <c r="H1059" s="99">
        <v>45382</v>
      </c>
      <c r="I1059" s="99">
        <v>45829</v>
      </c>
      <c r="J1059" s="99"/>
      <c r="K1059" s="99"/>
      <c r="L1059" s="99"/>
      <c r="M1059" s="77" t="s">
        <v>3240</v>
      </c>
    </row>
    <row r="1060" spans="1:13" s="103" customFormat="1" ht="10.9" hidden="1" customHeight="1" x14ac:dyDescent="0.25">
      <c r="A1060" s="89" t="s">
        <v>3241</v>
      </c>
      <c r="B1060" s="102" t="s">
        <v>3242</v>
      </c>
      <c r="C1060" s="101" t="s">
        <v>5348</v>
      </c>
      <c r="D1060" s="101" t="s">
        <v>3196</v>
      </c>
      <c r="E1060" s="73" t="s">
        <v>88</v>
      </c>
      <c r="F1060" s="100" t="s">
        <v>98</v>
      </c>
      <c r="G1060" s="72" t="e">
        <f>_xlfn.TEXTJOIN(", ",TRUE,B1060,#REF!,#REF!,#REF!,D1060,E1060)</f>
        <v>#REF!</v>
      </c>
      <c r="H1060" s="99"/>
      <c r="I1060" s="99"/>
      <c r="J1060" s="99"/>
      <c r="K1060" s="99"/>
      <c r="L1060" s="99"/>
      <c r="M1060" s="77" t="s">
        <v>3243</v>
      </c>
    </row>
    <row r="1061" spans="1:13" s="103" customFormat="1" ht="10.9" hidden="1" customHeight="1" x14ac:dyDescent="0.25">
      <c r="A1061" s="89" t="s">
        <v>3244</v>
      </c>
      <c r="B1061" s="98" t="s">
        <v>3245</v>
      </c>
      <c r="C1061" s="101" t="s">
        <v>5348</v>
      </c>
      <c r="D1061" s="101" t="s">
        <v>3196</v>
      </c>
      <c r="E1061" s="73" t="s">
        <v>3196</v>
      </c>
      <c r="F1061" s="100" t="s">
        <v>449</v>
      </c>
      <c r="G1061" s="72" t="e">
        <f>_xlfn.TEXTJOIN(", ",TRUE,B1061,#REF!,#REF!,#REF!,D1061,E1061)</f>
        <v>#REF!</v>
      </c>
      <c r="H1061" s="99"/>
      <c r="I1061" s="99"/>
      <c r="J1061" s="99"/>
      <c r="K1061" s="99"/>
      <c r="L1061" s="99"/>
      <c r="M1061" s="77" t="s">
        <v>88</v>
      </c>
    </row>
    <row r="1062" spans="1:13" s="103" customFormat="1" ht="10.9" hidden="1" customHeight="1" x14ac:dyDescent="0.25">
      <c r="A1062" s="89" t="s">
        <v>3246</v>
      </c>
      <c r="B1062" s="98" t="s">
        <v>3247</v>
      </c>
      <c r="C1062" s="101" t="s">
        <v>5348</v>
      </c>
      <c r="D1062" s="101" t="s">
        <v>3196</v>
      </c>
      <c r="E1062" s="73" t="s">
        <v>3248</v>
      </c>
      <c r="F1062" s="100" t="s">
        <v>81</v>
      </c>
      <c r="G1062" s="72" t="e">
        <f>_xlfn.TEXTJOIN(", ",TRUE,B1062,#REF!,#REF!,#REF!,D1062,E1062)</f>
        <v>#REF!</v>
      </c>
      <c r="H1062" s="99">
        <v>45478</v>
      </c>
      <c r="I1062" s="99"/>
      <c r="J1062" s="99" t="s">
        <v>652</v>
      </c>
      <c r="K1062" s="99"/>
      <c r="L1062" s="99"/>
      <c r="M1062" s="77" t="s">
        <v>643</v>
      </c>
    </row>
    <row r="1063" spans="1:13" s="103" customFormat="1" ht="10.9" hidden="1" customHeight="1" x14ac:dyDescent="0.25">
      <c r="A1063" s="89" t="s">
        <v>3249</v>
      </c>
      <c r="B1063" s="98" t="s">
        <v>3250</v>
      </c>
      <c r="C1063" s="101" t="s">
        <v>5349</v>
      </c>
      <c r="D1063" s="101" t="s">
        <v>3251</v>
      </c>
      <c r="E1063" s="73" t="s">
        <v>3252</v>
      </c>
      <c r="F1063" s="100" t="s">
        <v>3253</v>
      </c>
      <c r="G1063" s="72" t="e">
        <f>_xlfn.TEXTJOIN(", ",TRUE,B1063,#REF!,#REF!,#REF!,D1063,E1063)</f>
        <v>#REF!</v>
      </c>
      <c r="H1063" s="99"/>
      <c r="I1063" s="99"/>
      <c r="J1063" s="99"/>
      <c r="K1063" s="99"/>
      <c r="L1063" s="99"/>
      <c r="M1063" s="77" t="s">
        <v>88</v>
      </c>
    </row>
    <row r="1064" spans="1:13" s="103" customFormat="1" ht="10.9" hidden="1" customHeight="1" x14ac:dyDescent="0.25">
      <c r="A1064" s="89" t="s">
        <v>3254</v>
      </c>
      <c r="B1064" s="98" t="s">
        <v>3255</v>
      </c>
      <c r="C1064" s="101" t="s">
        <v>5349</v>
      </c>
      <c r="D1064" s="101" t="s">
        <v>3251</v>
      </c>
      <c r="E1064" s="73" t="s">
        <v>3256</v>
      </c>
      <c r="F1064" s="100" t="s">
        <v>187</v>
      </c>
      <c r="G1064" s="72" t="e">
        <f>_xlfn.TEXTJOIN(", ",TRUE,B1064,#REF!,#REF!,#REF!,D1064,E1064)</f>
        <v>#REF!</v>
      </c>
      <c r="H1064" s="99"/>
      <c r="I1064" s="99"/>
      <c r="J1064" s="99"/>
      <c r="K1064" s="99"/>
      <c r="L1064" s="99">
        <v>44660</v>
      </c>
      <c r="M1064" s="77" t="s">
        <v>3257</v>
      </c>
    </row>
    <row r="1065" spans="1:13" s="103" customFormat="1" ht="10.9" hidden="1" customHeight="1" x14ac:dyDescent="0.25">
      <c r="A1065" s="89" t="s">
        <v>3258</v>
      </c>
      <c r="B1065" s="98" t="s">
        <v>3259</v>
      </c>
      <c r="C1065" s="101" t="s">
        <v>5349</v>
      </c>
      <c r="D1065" s="101" t="s">
        <v>3251</v>
      </c>
      <c r="E1065" s="73" t="s">
        <v>3260</v>
      </c>
      <c r="F1065" s="100" t="s">
        <v>98</v>
      </c>
      <c r="G1065" s="72" t="e">
        <f>_xlfn.TEXTJOIN(", ",TRUE,B1065,#REF!,#REF!,#REF!,D1065,E1065)</f>
        <v>#REF!</v>
      </c>
      <c r="H1065" s="99"/>
      <c r="I1065" s="99"/>
      <c r="J1065" s="99"/>
      <c r="K1065" s="99"/>
      <c r="L1065" s="99"/>
      <c r="M1065" s="77" t="s">
        <v>3261</v>
      </c>
    </row>
    <row r="1066" spans="1:13" s="103" customFormat="1" ht="10.9" hidden="1" customHeight="1" x14ac:dyDescent="0.25">
      <c r="A1066" s="89" t="s">
        <v>3262</v>
      </c>
      <c r="B1066" s="98" t="s">
        <v>3263</v>
      </c>
      <c r="C1066" s="101" t="s">
        <v>5349</v>
      </c>
      <c r="D1066" s="101" t="s">
        <v>3251</v>
      </c>
      <c r="E1066" s="73" t="s">
        <v>3264</v>
      </c>
      <c r="F1066" s="100" t="s">
        <v>98</v>
      </c>
      <c r="G1066" s="72" t="e">
        <f>_xlfn.TEXTJOIN(", ",TRUE,B1066,#REF!,#REF!,#REF!,D1066,E1066)</f>
        <v>#REF!</v>
      </c>
      <c r="H1066" s="99"/>
      <c r="I1066" s="99"/>
      <c r="J1066" s="99"/>
      <c r="K1066" s="99"/>
      <c r="L1066" s="99"/>
      <c r="M1066" s="77" t="s">
        <v>3265</v>
      </c>
    </row>
    <row r="1067" spans="1:13" s="103" customFormat="1" ht="10.9" hidden="1" customHeight="1" x14ac:dyDescent="0.25">
      <c r="A1067" s="89" t="s">
        <v>3266</v>
      </c>
      <c r="B1067" s="98" t="s">
        <v>3267</v>
      </c>
      <c r="C1067" s="101" t="s">
        <v>5349</v>
      </c>
      <c r="D1067" s="101" t="s">
        <v>3251</v>
      </c>
      <c r="E1067" s="73" t="s">
        <v>3268</v>
      </c>
      <c r="F1067" s="100" t="s">
        <v>98</v>
      </c>
      <c r="G1067" s="72" t="e">
        <f>_xlfn.TEXTJOIN(", ",TRUE,B1067,#REF!,#REF!,#REF!,D1067,E1067)</f>
        <v>#REF!</v>
      </c>
      <c r="H1067" s="99">
        <v>45663</v>
      </c>
      <c r="I1067" s="99">
        <v>45663</v>
      </c>
      <c r="J1067" s="99"/>
      <c r="K1067" s="99"/>
      <c r="L1067" s="99">
        <v>45176</v>
      </c>
      <c r="M1067" s="77">
        <v>0</v>
      </c>
    </row>
    <row r="1068" spans="1:13" s="103" customFormat="1" ht="10.9" customHeight="1" x14ac:dyDescent="0.25">
      <c r="A1068" s="89" t="s">
        <v>3269</v>
      </c>
      <c r="B1068" s="98" t="s">
        <v>3270</v>
      </c>
      <c r="C1068" s="101" t="s">
        <v>5347</v>
      </c>
      <c r="D1068" s="101" t="s">
        <v>3271</v>
      </c>
      <c r="E1068" s="73" t="s">
        <v>3271</v>
      </c>
      <c r="F1068" s="100" t="s">
        <v>187</v>
      </c>
      <c r="G1068" s="72" t="e">
        <f>_xlfn.TEXTJOIN(", ",TRUE,B1068,#REF!,#REF!,#REF!,D1068,E1068)</f>
        <v>#REF!</v>
      </c>
      <c r="H1068" s="99">
        <v>44942</v>
      </c>
      <c r="I1068" s="99">
        <v>45594</v>
      </c>
      <c r="J1068" s="99"/>
      <c r="K1068" s="99"/>
      <c r="L1068" s="99"/>
      <c r="M1068" s="77">
        <v>0</v>
      </c>
    </row>
    <row r="1069" spans="1:13" s="103" customFormat="1" ht="10.9" customHeight="1" x14ac:dyDescent="0.25">
      <c r="A1069" s="89" t="s">
        <v>3272</v>
      </c>
      <c r="B1069" s="98" t="s">
        <v>3273</v>
      </c>
      <c r="C1069" s="101" t="s">
        <v>5347</v>
      </c>
      <c r="D1069" s="101" t="s">
        <v>3271</v>
      </c>
      <c r="E1069" s="73" t="s">
        <v>3271</v>
      </c>
      <c r="F1069" s="100" t="s">
        <v>81</v>
      </c>
      <c r="G1069" s="72" t="e">
        <f>_xlfn.TEXTJOIN(", ",TRUE,B1069,#REF!,#REF!,#REF!,D1069,E1069)</f>
        <v>#REF!</v>
      </c>
      <c r="H1069" s="99">
        <v>45112</v>
      </c>
      <c r="I1069" s="99"/>
      <c r="J1069" s="99"/>
      <c r="K1069" s="99"/>
      <c r="L1069" s="99"/>
      <c r="M1069" s="77" t="s">
        <v>88</v>
      </c>
    </row>
    <row r="1070" spans="1:13" s="103" customFormat="1" ht="10.9" customHeight="1" x14ac:dyDescent="0.25">
      <c r="A1070" s="89" t="s">
        <v>3274</v>
      </c>
      <c r="B1070" s="98" t="s">
        <v>3275</v>
      </c>
      <c r="C1070" s="101" t="s">
        <v>5347</v>
      </c>
      <c r="D1070" s="101" t="s">
        <v>3271</v>
      </c>
      <c r="E1070" s="73" t="s">
        <v>3271</v>
      </c>
      <c r="F1070" s="100" t="s">
        <v>81</v>
      </c>
      <c r="G1070" s="72" t="e">
        <f>_xlfn.TEXTJOIN(", ",TRUE,B1070,#REF!,#REF!,#REF!,D1070,E1070)</f>
        <v>#REF!</v>
      </c>
      <c r="H1070" s="99"/>
      <c r="I1070" s="99"/>
      <c r="J1070" s="99"/>
      <c r="K1070" s="99"/>
      <c r="L1070" s="99"/>
      <c r="M1070" s="77">
        <v>0</v>
      </c>
    </row>
    <row r="1071" spans="1:13" s="103" customFormat="1" ht="10.9" customHeight="1" x14ac:dyDescent="0.25">
      <c r="A1071" s="89" t="s">
        <v>3276</v>
      </c>
      <c r="B1071" s="98" t="s">
        <v>3277</v>
      </c>
      <c r="C1071" s="101" t="s">
        <v>5347</v>
      </c>
      <c r="D1071" s="101" t="s">
        <v>3271</v>
      </c>
      <c r="E1071" s="74" t="s">
        <v>3278</v>
      </c>
      <c r="F1071" s="100" t="s">
        <v>98</v>
      </c>
      <c r="G1071" s="72" t="e">
        <f>_xlfn.TEXTJOIN(", ",TRUE,B1071,#REF!,#REF!,#REF!,D1071,E1071)</f>
        <v>#REF!</v>
      </c>
      <c r="H1071" s="99"/>
      <c r="I1071" s="99"/>
      <c r="J1071" s="99"/>
      <c r="K1071" s="99"/>
      <c r="L1071" s="99"/>
      <c r="M1071" s="77" t="s">
        <v>88</v>
      </c>
    </row>
    <row r="1072" spans="1:13" s="103" customFormat="1" ht="10.9" customHeight="1" x14ac:dyDescent="0.25">
      <c r="A1072" s="89" t="s">
        <v>3279</v>
      </c>
      <c r="B1072" s="98" t="s">
        <v>3280</v>
      </c>
      <c r="C1072" s="101" t="s">
        <v>5347</v>
      </c>
      <c r="D1072" s="101" t="s">
        <v>3271</v>
      </c>
      <c r="E1072" s="73" t="s">
        <v>3281</v>
      </c>
      <c r="F1072" s="100" t="s">
        <v>277</v>
      </c>
      <c r="G1072" s="72" t="e">
        <f>_xlfn.TEXTJOIN(", ",TRUE,B1072,#REF!,#REF!,#REF!,D1072,E1072)</f>
        <v>#REF!</v>
      </c>
      <c r="H1072" s="99">
        <v>45107</v>
      </c>
      <c r="I1072" s="99"/>
      <c r="J1072" s="99"/>
      <c r="K1072" s="99"/>
      <c r="L1072" s="99"/>
      <c r="M1072" s="77" t="s">
        <v>88</v>
      </c>
    </row>
    <row r="1073" spans="1:13" s="103" customFormat="1" ht="10.9" customHeight="1" x14ac:dyDescent="0.25">
      <c r="A1073" s="89" t="s">
        <v>3282</v>
      </c>
      <c r="B1073" s="98" t="s">
        <v>3283</v>
      </c>
      <c r="C1073" s="101" t="s">
        <v>5347</v>
      </c>
      <c r="D1073" s="101" t="s">
        <v>3271</v>
      </c>
      <c r="E1073" s="73" t="s">
        <v>3284</v>
      </c>
      <c r="F1073" s="100" t="s">
        <v>98</v>
      </c>
      <c r="G1073" s="72" t="e">
        <f>_xlfn.TEXTJOIN(", ",TRUE,B1073,#REF!,#REF!,#REF!,D1073,E1073)</f>
        <v>#REF!</v>
      </c>
      <c r="H1073" s="99"/>
      <c r="I1073" s="99"/>
      <c r="J1073" s="99"/>
      <c r="K1073" s="99"/>
      <c r="L1073" s="99"/>
      <c r="M1073" s="77" t="s">
        <v>3285</v>
      </c>
    </row>
    <row r="1074" spans="1:13" s="103" customFormat="1" ht="10.9" customHeight="1" x14ac:dyDescent="0.25">
      <c r="A1074" s="89" t="s">
        <v>3286</v>
      </c>
      <c r="B1074" s="98" t="s">
        <v>3287</v>
      </c>
      <c r="C1074" s="101" t="s">
        <v>5347</v>
      </c>
      <c r="D1074" s="101" t="s">
        <v>3271</v>
      </c>
      <c r="E1074" s="73" t="s">
        <v>3271</v>
      </c>
      <c r="F1074" s="100" t="s">
        <v>81</v>
      </c>
      <c r="G1074" s="72" t="e">
        <f>_xlfn.TEXTJOIN(", ",TRUE,B1074,#REF!,#REF!,#REF!,D1074,E1074)</f>
        <v>#REF!</v>
      </c>
      <c r="H1074" s="99">
        <v>45282</v>
      </c>
      <c r="I1074" s="99"/>
      <c r="J1074" s="99"/>
      <c r="K1074" s="99"/>
      <c r="L1074" s="99"/>
      <c r="M1074" s="77" t="s">
        <v>643</v>
      </c>
    </row>
    <row r="1075" spans="1:13" s="103" customFormat="1" ht="10.9" customHeight="1" x14ac:dyDescent="0.25">
      <c r="A1075" s="89" t="s">
        <v>3288</v>
      </c>
      <c r="B1075" s="102" t="s">
        <v>3289</v>
      </c>
      <c r="C1075" s="101" t="s">
        <v>5347</v>
      </c>
      <c r="D1075" s="101" t="s">
        <v>3271</v>
      </c>
      <c r="E1075" s="73" t="s">
        <v>3271</v>
      </c>
      <c r="F1075" s="100" t="s">
        <v>81</v>
      </c>
      <c r="G1075" s="72" t="e">
        <f>_xlfn.TEXTJOIN(", ",TRUE,B1075,#REF!,#REF!,#REF!,D1075,E1075)</f>
        <v>#REF!</v>
      </c>
      <c r="H1075" s="99">
        <v>45870</v>
      </c>
      <c r="I1075" s="99"/>
      <c r="J1075" s="99"/>
      <c r="K1075" s="99"/>
      <c r="L1075" s="99"/>
      <c r="M1075" s="77" t="s">
        <v>3290</v>
      </c>
    </row>
    <row r="1076" spans="1:13" s="103" customFormat="1" ht="10.9" customHeight="1" x14ac:dyDescent="0.25">
      <c r="A1076" s="89" t="s">
        <v>3291</v>
      </c>
      <c r="B1076" s="98" t="s">
        <v>3292</v>
      </c>
      <c r="C1076" s="101" t="s">
        <v>5347</v>
      </c>
      <c r="D1076" s="101" t="s">
        <v>3271</v>
      </c>
      <c r="E1076" s="73" t="s">
        <v>3271</v>
      </c>
      <c r="F1076" s="100" t="s">
        <v>130</v>
      </c>
      <c r="G1076" s="72" t="e">
        <f>_xlfn.TEXTJOIN(", ",TRUE,B1076,#REF!,#REF!,#REF!,D1076,E1076)</f>
        <v>#REF!</v>
      </c>
      <c r="H1076" s="99">
        <v>45030</v>
      </c>
      <c r="I1076" s="99"/>
      <c r="J1076" s="99"/>
      <c r="K1076" s="99"/>
      <c r="L1076" s="99">
        <v>44699</v>
      </c>
      <c r="M1076" s="77" t="s">
        <v>88</v>
      </c>
    </row>
    <row r="1077" spans="1:13" s="103" customFormat="1" ht="10.9" customHeight="1" x14ac:dyDescent="0.25">
      <c r="A1077" s="89" t="s">
        <v>3293</v>
      </c>
      <c r="B1077" s="98" t="s">
        <v>3294</v>
      </c>
      <c r="C1077" s="101" t="s">
        <v>5347</v>
      </c>
      <c r="D1077" s="101" t="s">
        <v>3271</v>
      </c>
      <c r="E1077" s="73" t="s">
        <v>3271</v>
      </c>
      <c r="F1077" s="100" t="s">
        <v>98</v>
      </c>
      <c r="G1077" s="72" t="e">
        <f>_xlfn.TEXTJOIN(", ",TRUE,B1077,#REF!,#REF!,#REF!,D1077,E1077)</f>
        <v>#REF!</v>
      </c>
      <c r="H1077" s="99">
        <v>44902</v>
      </c>
      <c r="I1077" s="99"/>
      <c r="J1077" s="99"/>
      <c r="K1077" s="99"/>
      <c r="L1077" s="99"/>
      <c r="M1077" s="77">
        <v>0</v>
      </c>
    </row>
    <row r="1078" spans="1:13" s="103" customFormat="1" ht="10.9" customHeight="1" x14ac:dyDescent="0.25">
      <c r="A1078" s="89" t="s">
        <v>3295</v>
      </c>
      <c r="B1078" s="98" t="s">
        <v>3296</v>
      </c>
      <c r="C1078" s="101" t="s">
        <v>5347</v>
      </c>
      <c r="D1078" s="101" t="s">
        <v>3271</v>
      </c>
      <c r="E1078" s="73" t="s">
        <v>3297</v>
      </c>
      <c r="F1078" s="100" t="s">
        <v>81</v>
      </c>
      <c r="G1078" s="72" t="e">
        <f>_xlfn.TEXTJOIN(", ",TRUE,B1078,#REF!,#REF!,#REF!,D1078,E1078)</f>
        <v>#REF!</v>
      </c>
      <c r="H1078" s="99">
        <v>45206</v>
      </c>
      <c r="I1078" s="99"/>
      <c r="J1078" s="99"/>
      <c r="K1078" s="99"/>
      <c r="L1078" s="99"/>
      <c r="M1078" s="77" t="s">
        <v>3298</v>
      </c>
    </row>
    <row r="1079" spans="1:13" s="103" customFormat="1" ht="10.9" customHeight="1" x14ac:dyDescent="0.25">
      <c r="A1079" s="89" t="s">
        <v>3299</v>
      </c>
      <c r="B1079" s="104" t="s">
        <v>3300</v>
      </c>
      <c r="C1079" s="101" t="s">
        <v>5347</v>
      </c>
      <c r="D1079" s="101" t="s">
        <v>3271</v>
      </c>
      <c r="E1079" s="74" t="s">
        <v>3301</v>
      </c>
      <c r="F1079" s="100" t="s">
        <v>98</v>
      </c>
      <c r="G1079" s="72" t="e">
        <f>_xlfn.TEXTJOIN(", ",TRUE,B1079,#REF!,#REF!,#REF!,D1079,E1079)</f>
        <v>#REF!</v>
      </c>
      <c r="H1079" s="99"/>
      <c r="I1079" s="99"/>
      <c r="J1079" s="99"/>
      <c r="K1079" s="99"/>
      <c r="L1079" s="99"/>
      <c r="M1079" s="77" t="s">
        <v>88</v>
      </c>
    </row>
    <row r="1080" spans="1:13" s="103" customFormat="1" ht="10.9" hidden="1" customHeight="1" x14ac:dyDescent="0.25">
      <c r="A1080" s="89" t="s">
        <v>3302</v>
      </c>
      <c r="B1080" s="104" t="s">
        <v>3303</v>
      </c>
      <c r="C1080" s="101" t="s">
        <v>5349</v>
      </c>
      <c r="D1080" s="101" t="s">
        <v>3304</v>
      </c>
      <c r="E1080" s="73" t="s">
        <v>88</v>
      </c>
      <c r="F1080" s="100" t="s">
        <v>98</v>
      </c>
      <c r="G1080" s="72" t="e">
        <f>_xlfn.TEXTJOIN(", ",TRUE,B1080,#REF!,#REF!,#REF!,D1080,E1080)</f>
        <v>#REF!</v>
      </c>
      <c r="H1080" s="99"/>
      <c r="I1080" s="99"/>
      <c r="J1080" s="99"/>
      <c r="K1080" s="99"/>
      <c r="L1080" s="99"/>
      <c r="M1080" s="77" t="s">
        <v>88</v>
      </c>
    </row>
    <row r="1081" spans="1:13" s="103" customFormat="1" ht="10.9" hidden="1" customHeight="1" x14ac:dyDescent="0.25">
      <c r="A1081" s="89" t="s">
        <v>3305</v>
      </c>
      <c r="B1081" s="104" t="s">
        <v>3306</v>
      </c>
      <c r="C1081" s="101" t="s">
        <v>5349</v>
      </c>
      <c r="D1081" s="101" t="s">
        <v>3304</v>
      </c>
      <c r="E1081" s="73" t="s">
        <v>88</v>
      </c>
      <c r="F1081" s="100" t="s">
        <v>98</v>
      </c>
      <c r="G1081" s="72" t="e">
        <f>_xlfn.TEXTJOIN(", ",TRUE,B1081,#REF!,#REF!,#REF!,D1081,E1081)</f>
        <v>#REF!</v>
      </c>
      <c r="H1081" s="99"/>
      <c r="I1081" s="99"/>
      <c r="J1081" s="99"/>
      <c r="K1081" s="99"/>
      <c r="L1081" s="99"/>
      <c r="M1081" s="77" t="s">
        <v>88</v>
      </c>
    </row>
    <row r="1082" spans="1:13" s="103" customFormat="1" ht="10.9" hidden="1" customHeight="1" x14ac:dyDescent="0.25">
      <c r="A1082" s="89" t="s">
        <v>3307</v>
      </c>
      <c r="B1082" s="102" t="s">
        <v>3308</v>
      </c>
      <c r="C1082" s="101" t="s">
        <v>5349</v>
      </c>
      <c r="D1082" s="101" t="s">
        <v>3309</v>
      </c>
      <c r="E1082" s="73" t="s">
        <v>3310</v>
      </c>
      <c r="F1082" s="100" t="s">
        <v>130</v>
      </c>
      <c r="G1082" s="72" t="e">
        <f>_xlfn.TEXTJOIN(", ",TRUE,B1082,#REF!,#REF!,#REF!,D1082,E1082)</f>
        <v>#REF!</v>
      </c>
      <c r="H1082" s="99">
        <v>44854</v>
      </c>
      <c r="I1082" s="99"/>
      <c r="J1082" s="99"/>
      <c r="K1082" s="99"/>
      <c r="L1082" s="99"/>
      <c r="M1082" s="77" t="s">
        <v>88</v>
      </c>
    </row>
    <row r="1083" spans="1:13" s="103" customFormat="1" ht="10.9" hidden="1" customHeight="1" x14ac:dyDescent="0.25">
      <c r="A1083" s="89" t="s">
        <v>3311</v>
      </c>
      <c r="B1083" s="98" t="s">
        <v>3312</v>
      </c>
      <c r="C1083" s="101" t="s">
        <v>5348</v>
      </c>
      <c r="D1083" s="101" t="s">
        <v>3313</v>
      </c>
      <c r="E1083" s="73" t="s">
        <v>3313</v>
      </c>
      <c r="F1083" s="100" t="s">
        <v>3118</v>
      </c>
      <c r="G1083" s="72" t="e">
        <f>_xlfn.TEXTJOIN(", ",TRUE,B1083,#REF!,#REF!,#REF!,D1083,E1083)</f>
        <v>#REF!</v>
      </c>
      <c r="H1083" s="99">
        <v>44834</v>
      </c>
      <c r="I1083" s="99"/>
      <c r="J1083" s="99"/>
      <c r="K1083" s="99"/>
      <c r="L1083" s="99">
        <v>45416</v>
      </c>
      <c r="M1083" s="77" t="s">
        <v>3314</v>
      </c>
    </row>
    <row r="1084" spans="1:13" s="103" customFormat="1" ht="10.9" hidden="1" customHeight="1" x14ac:dyDescent="0.25">
      <c r="A1084" s="89" t="s">
        <v>3315</v>
      </c>
      <c r="B1084" s="98" t="s">
        <v>3316</v>
      </c>
      <c r="C1084" s="101" t="s">
        <v>5349</v>
      </c>
      <c r="D1084" s="101" t="s">
        <v>3317</v>
      </c>
      <c r="E1084" s="73" t="s">
        <v>3318</v>
      </c>
      <c r="F1084" s="100" t="s">
        <v>2084</v>
      </c>
      <c r="G1084" s="72" t="e">
        <f>_xlfn.TEXTJOIN(", ",TRUE,B1084,#REF!,#REF!,#REF!,D1084,E1084)</f>
        <v>#REF!</v>
      </c>
      <c r="H1084" s="99"/>
      <c r="I1084" s="99"/>
      <c r="J1084" s="99"/>
      <c r="K1084" s="99"/>
      <c r="L1084" s="99"/>
      <c r="M1084" s="77" t="s">
        <v>88</v>
      </c>
    </row>
    <row r="1085" spans="1:13" s="103" customFormat="1" ht="10.9" hidden="1" customHeight="1" x14ac:dyDescent="0.25">
      <c r="A1085" s="89" t="s">
        <v>3319</v>
      </c>
      <c r="B1085" s="98" t="s">
        <v>3320</v>
      </c>
      <c r="C1085" s="101" t="s">
        <v>5349</v>
      </c>
      <c r="D1085" s="101" t="s">
        <v>3317</v>
      </c>
      <c r="E1085" s="73" t="s">
        <v>3317</v>
      </c>
      <c r="F1085" s="100" t="s">
        <v>98</v>
      </c>
      <c r="G1085" s="72" t="e">
        <f>_xlfn.TEXTJOIN(", ",TRUE,B1085,#REF!,#REF!,#REF!,D1085,E1085)</f>
        <v>#REF!</v>
      </c>
      <c r="H1085" s="99"/>
      <c r="I1085" s="99"/>
      <c r="J1085" s="99"/>
      <c r="K1085" s="99"/>
      <c r="L1085" s="99"/>
      <c r="M1085" s="77" t="s">
        <v>88</v>
      </c>
    </row>
    <row r="1086" spans="1:13" s="103" customFormat="1" ht="10.9" hidden="1" customHeight="1" x14ac:dyDescent="0.25">
      <c r="A1086" s="89" t="s">
        <v>3321</v>
      </c>
      <c r="B1086" s="98" t="s">
        <v>3322</v>
      </c>
      <c r="C1086" s="101" t="s">
        <v>5349</v>
      </c>
      <c r="D1086" s="101" t="s">
        <v>3317</v>
      </c>
      <c r="E1086" s="73" t="s">
        <v>3317</v>
      </c>
      <c r="F1086" s="100" t="s">
        <v>98</v>
      </c>
      <c r="G1086" s="72" t="e">
        <f>_xlfn.TEXTJOIN(", ",TRUE,B1086,#REF!,#REF!,#REF!,D1086,E1086)</f>
        <v>#REF!</v>
      </c>
      <c r="H1086" s="99"/>
      <c r="I1086" s="99"/>
      <c r="J1086" s="99"/>
      <c r="K1086" s="99"/>
      <c r="L1086" s="99"/>
      <c r="M1086" s="77" t="s">
        <v>88</v>
      </c>
    </row>
    <row r="1087" spans="1:13" s="103" customFormat="1" ht="10.9" hidden="1" customHeight="1" x14ac:dyDescent="0.25">
      <c r="A1087" s="89" t="s">
        <v>3323</v>
      </c>
      <c r="B1087" s="104" t="s">
        <v>3324</v>
      </c>
      <c r="C1087" s="101" t="s">
        <v>5349</v>
      </c>
      <c r="D1087" s="101" t="s">
        <v>3317</v>
      </c>
      <c r="E1087" s="73" t="s">
        <v>3325</v>
      </c>
      <c r="F1087" s="100" t="s">
        <v>98</v>
      </c>
      <c r="G1087" s="72" t="e">
        <f>_xlfn.TEXTJOIN(", ",TRUE,B1087,#REF!,#REF!,#REF!,D1087,E1087)</f>
        <v>#REF!</v>
      </c>
      <c r="H1087" s="99"/>
      <c r="I1087" s="99"/>
      <c r="J1087" s="99"/>
      <c r="K1087" s="99"/>
      <c r="L1087" s="99"/>
      <c r="M1087" s="77" t="s">
        <v>88</v>
      </c>
    </row>
    <row r="1088" spans="1:13" s="103" customFormat="1" ht="10.9" hidden="1" customHeight="1" x14ac:dyDescent="0.25">
      <c r="A1088" s="89" t="s">
        <v>3326</v>
      </c>
      <c r="B1088" s="98" t="s">
        <v>3327</v>
      </c>
      <c r="C1088" s="101" t="s">
        <v>5349</v>
      </c>
      <c r="D1088" s="101" t="s">
        <v>3317</v>
      </c>
      <c r="E1088" s="73" t="s">
        <v>3328</v>
      </c>
      <c r="F1088" s="100" t="s">
        <v>81</v>
      </c>
      <c r="G1088" s="72" t="e">
        <f>_xlfn.TEXTJOIN(", ",TRUE,B1088,#REF!,#REF!,#REF!,D1088,E1088)</f>
        <v>#REF!</v>
      </c>
      <c r="H1088" s="99"/>
      <c r="I1088" s="99"/>
      <c r="J1088" s="99"/>
      <c r="K1088" s="99"/>
      <c r="L1088" s="99"/>
      <c r="M1088" s="77">
        <v>0</v>
      </c>
    </row>
    <row r="1089" spans="1:13" s="103" customFormat="1" ht="10.9" hidden="1" customHeight="1" x14ac:dyDescent="0.25">
      <c r="A1089" s="89" t="s">
        <v>3329</v>
      </c>
      <c r="B1089" s="98" t="s">
        <v>3330</v>
      </c>
      <c r="C1089" s="101" t="s">
        <v>5349</v>
      </c>
      <c r="D1089" s="101" t="s">
        <v>3317</v>
      </c>
      <c r="E1089" s="73" t="s">
        <v>88</v>
      </c>
      <c r="F1089" s="100" t="s">
        <v>98</v>
      </c>
      <c r="G1089" s="72" t="e">
        <f>_xlfn.TEXTJOIN(", ",TRUE,B1089,#REF!,#REF!,#REF!,D1089,E1089)</f>
        <v>#REF!</v>
      </c>
      <c r="H1089" s="99"/>
      <c r="I1089" s="99"/>
      <c r="J1089" s="99"/>
      <c r="K1089" s="99"/>
      <c r="L1089" s="99"/>
      <c r="M1089" s="77">
        <v>0</v>
      </c>
    </row>
    <row r="1090" spans="1:13" s="103" customFormat="1" ht="10.9" hidden="1" customHeight="1" x14ac:dyDescent="0.25">
      <c r="A1090" s="89" t="s">
        <v>3331</v>
      </c>
      <c r="B1090" s="98" t="s">
        <v>3332</v>
      </c>
      <c r="C1090" s="101" t="s">
        <v>5349</v>
      </c>
      <c r="D1090" s="101" t="s">
        <v>3317</v>
      </c>
      <c r="E1090" s="73" t="s">
        <v>3333</v>
      </c>
      <c r="F1090" s="100" t="s">
        <v>98</v>
      </c>
      <c r="G1090" s="72" t="e">
        <f>_xlfn.TEXTJOIN(", ",TRUE,B1090,#REF!,#REF!,#REF!,D1090,E1090)</f>
        <v>#REF!</v>
      </c>
      <c r="H1090" s="99"/>
      <c r="I1090" s="99"/>
      <c r="J1090" s="99"/>
      <c r="K1090" s="99"/>
      <c r="L1090" s="99"/>
      <c r="M1090" s="77" t="s">
        <v>3334</v>
      </c>
    </row>
    <row r="1091" spans="1:13" s="103" customFormat="1" ht="10.9" hidden="1" customHeight="1" x14ac:dyDescent="0.25">
      <c r="A1091" s="89" t="s">
        <v>3335</v>
      </c>
      <c r="B1091" s="98" t="s">
        <v>3336</v>
      </c>
      <c r="C1091" s="101" t="s">
        <v>5349</v>
      </c>
      <c r="D1091" s="101" t="s">
        <v>3317</v>
      </c>
      <c r="E1091" s="73" t="s">
        <v>3337</v>
      </c>
      <c r="F1091" s="100" t="s">
        <v>98</v>
      </c>
      <c r="G1091" s="72" t="e">
        <f>_xlfn.TEXTJOIN(", ",TRUE,B1091,#REF!,#REF!,#REF!,D1091,E1091)</f>
        <v>#REF!</v>
      </c>
      <c r="H1091" s="99"/>
      <c r="I1091" s="99"/>
      <c r="J1091" s="99"/>
      <c r="K1091" s="99"/>
      <c r="L1091" s="99"/>
      <c r="M1091" s="77" t="s">
        <v>88</v>
      </c>
    </row>
    <row r="1092" spans="1:13" s="103" customFormat="1" ht="10.9" hidden="1" customHeight="1" x14ac:dyDescent="0.25">
      <c r="A1092" s="89" t="s">
        <v>3338</v>
      </c>
      <c r="B1092" s="98" t="s">
        <v>3339</v>
      </c>
      <c r="C1092" s="101" t="s">
        <v>5349</v>
      </c>
      <c r="D1092" s="101" t="s">
        <v>3317</v>
      </c>
      <c r="E1092" s="73" t="s">
        <v>88</v>
      </c>
      <c r="F1092" s="100" t="s">
        <v>98</v>
      </c>
      <c r="G1092" s="72" t="e">
        <f>_xlfn.TEXTJOIN(", ",TRUE,B1092,#REF!,#REF!,#REF!,D1092,E1092)</f>
        <v>#REF!</v>
      </c>
      <c r="H1092" s="99"/>
      <c r="I1092" s="99"/>
      <c r="J1092" s="99"/>
      <c r="K1092" s="99"/>
      <c r="L1092" s="99"/>
      <c r="M1092" s="77" t="s">
        <v>3340</v>
      </c>
    </row>
    <row r="1093" spans="1:13" s="103" customFormat="1" ht="10.9" hidden="1" customHeight="1" x14ac:dyDescent="0.25">
      <c r="A1093" s="89" t="s">
        <v>3341</v>
      </c>
      <c r="B1093" s="98" t="s">
        <v>3342</v>
      </c>
      <c r="C1093" s="101" t="s">
        <v>5349</v>
      </c>
      <c r="D1093" s="101" t="s">
        <v>3317</v>
      </c>
      <c r="E1093" s="73" t="s">
        <v>88</v>
      </c>
      <c r="F1093" s="100" t="s">
        <v>562</v>
      </c>
      <c r="G1093" s="72" t="e">
        <f>_xlfn.TEXTJOIN(", ",TRUE,B1093,#REF!,#REF!,#REF!,D1093,E1093)</f>
        <v>#REF!</v>
      </c>
      <c r="H1093" s="99"/>
      <c r="I1093" s="99"/>
      <c r="J1093" s="99"/>
      <c r="K1093" s="99"/>
      <c r="L1093" s="99"/>
      <c r="M1093" s="77">
        <v>0</v>
      </c>
    </row>
    <row r="1094" spans="1:13" s="103" customFormat="1" ht="10.9" hidden="1" customHeight="1" x14ac:dyDescent="0.25">
      <c r="A1094" s="89" t="s">
        <v>3343</v>
      </c>
      <c r="B1094" s="104" t="s">
        <v>3344</v>
      </c>
      <c r="C1094" s="101" t="s">
        <v>5349</v>
      </c>
      <c r="D1094" s="101" t="s">
        <v>3317</v>
      </c>
      <c r="E1094" s="73" t="s">
        <v>88</v>
      </c>
      <c r="F1094" s="100" t="s">
        <v>98</v>
      </c>
      <c r="G1094" s="72" t="e">
        <f>_xlfn.TEXTJOIN(", ",TRUE,B1094,#REF!,#REF!,#REF!,D1094,E1094)</f>
        <v>#REF!</v>
      </c>
      <c r="H1094" s="99"/>
      <c r="I1094" s="99"/>
      <c r="J1094" s="99"/>
      <c r="K1094" s="99"/>
      <c r="L1094" s="99"/>
      <c r="M1094" s="77" t="s">
        <v>88</v>
      </c>
    </row>
    <row r="1095" spans="1:13" s="103" customFormat="1" ht="10.9" hidden="1" customHeight="1" x14ac:dyDescent="0.25">
      <c r="A1095" s="89" t="s">
        <v>3345</v>
      </c>
      <c r="B1095" s="104" t="s">
        <v>3346</v>
      </c>
      <c r="C1095" s="101" t="s">
        <v>5349</v>
      </c>
      <c r="D1095" s="101" t="s">
        <v>3317</v>
      </c>
      <c r="E1095" s="73" t="s">
        <v>88</v>
      </c>
      <c r="F1095" s="100" t="s">
        <v>98</v>
      </c>
      <c r="G1095" s="72" t="e">
        <f>_xlfn.TEXTJOIN(", ",TRUE,B1095,#REF!,#REF!,#REF!,D1095,E1095)</f>
        <v>#REF!</v>
      </c>
      <c r="H1095" s="99"/>
      <c r="I1095" s="99"/>
      <c r="J1095" s="99"/>
      <c r="K1095" s="99"/>
      <c r="L1095" s="99"/>
      <c r="M1095" s="77">
        <v>0</v>
      </c>
    </row>
    <row r="1096" spans="1:13" s="103" customFormat="1" ht="10.9" hidden="1" customHeight="1" x14ac:dyDescent="0.25">
      <c r="A1096" s="89" t="s">
        <v>3323</v>
      </c>
      <c r="B1096" s="104" t="s">
        <v>3347</v>
      </c>
      <c r="C1096" s="101"/>
      <c r="D1096" s="101" t="s">
        <v>3317</v>
      </c>
      <c r="E1096" s="73" t="s">
        <v>3325</v>
      </c>
      <c r="F1096" s="100" t="s">
        <v>98</v>
      </c>
      <c r="G1096" s="72" t="e">
        <f>_xlfn.TEXTJOIN(", ",TRUE,B1096,#REF!,#REF!,#REF!,D1096,E1096)</f>
        <v>#REF!</v>
      </c>
      <c r="H1096" s="99"/>
      <c r="I1096" s="99"/>
      <c r="J1096" s="99"/>
      <c r="K1096" s="99"/>
      <c r="L1096" s="99"/>
      <c r="M1096" s="77">
        <v>0</v>
      </c>
    </row>
    <row r="1097" spans="1:13" s="103" customFormat="1" ht="10.9" hidden="1" customHeight="1" x14ac:dyDescent="0.25">
      <c r="A1097" s="89" t="s">
        <v>3348</v>
      </c>
      <c r="B1097" s="98" t="s">
        <v>3349</v>
      </c>
      <c r="C1097" s="101" t="s">
        <v>5349</v>
      </c>
      <c r="D1097" s="101" t="s">
        <v>3317</v>
      </c>
      <c r="E1097" s="73" t="s">
        <v>3350</v>
      </c>
      <c r="F1097" s="100" t="s">
        <v>98</v>
      </c>
      <c r="G1097" s="72" t="e">
        <f>_xlfn.TEXTJOIN(", ",TRUE,B1097,#REF!,#REF!,#REF!,D1097,E1097)</f>
        <v>#REF!</v>
      </c>
      <c r="H1097" s="99"/>
      <c r="I1097" s="99"/>
      <c r="J1097" s="99"/>
      <c r="K1097" s="99"/>
      <c r="L1097" s="99"/>
      <c r="M1097" s="77" t="s">
        <v>3351</v>
      </c>
    </row>
    <row r="1098" spans="1:13" s="103" customFormat="1" ht="10.9" hidden="1" customHeight="1" x14ac:dyDescent="0.25">
      <c r="A1098" s="89" t="s">
        <v>3352</v>
      </c>
      <c r="B1098" s="104" t="s">
        <v>3353</v>
      </c>
      <c r="C1098" s="101" t="s">
        <v>5349</v>
      </c>
      <c r="D1098" s="101" t="s">
        <v>3354</v>
      </c>
      <c r="E1098" s="73" t="s">
        <v>88</v>
      </c>
      <c r="F1098" s="100" t="s">
        <v>98</v>
      </c>
      <c r="G1098" s="72" t="e">
        <f>_xlfn.TEXTJOIN(", ",TRUE,B1098,#REF!,#REF!,#REF!,D1098,E1098)</f>
        <v>#REF!</v>
      </c>
      <c r="H1098" s="99"/>
      <c r="I1098" s="99"/>
      <c r="J1098" s="99"/>
      <c r="K1098" s="99"/>
      <c r="L1098" s="99"/>
      <c r="M1098" s="77">
        <v>0</v>
      </c>
    </row>
    <row r="1099" spans="1:13" s="103" customFormat="1" ht="10.9" hidden="1" customHeight="1" x14ac:dyDescent="0.25">
      <c r="A1099" s="89" t="s">
        <v>3355</v>
      </c>
      <c r="B1099" s="98" t="s">
        <v>3356</v>
      </c>
      <c r="C1099" s="101" t="s">
        <v>5349</v>
      </c>
      <c r="D1099" s="101" t="s">
        <v>3357</v>
      </c>
      <c r="E1099" s="73" t="s">
        <v>3358</v>
      </c>
      <c r="F1099" s="100" t="s">
        <v>221</v>
      </c>
      <c r="G1099" s="72" t="e">
        <f>_xlfn.TEXTJOIN(", ",TRUE,B1099,#REF!,#REF!,#REF!,D1099,E1099)</f>
        <v>#REF!</v>
      </c>
      <c r="H1099" s="99">
        <v>44946</v>
      </c>
      <c r="I1099" s="99">
        <v>44946</v>
      </c>
      <c r="J1099" s="99"/>
      <c r="K1099" s="99"/>
      <c r="L1099" s="99"/>
      <c r="M1099" s="77" t="s">
        <v>3359</v>
      </c>
    </row>
    <row r="1100" spans="1:13" s="103" customFormat="1" ht="10.9" hidden="1" customHeight="1" x14ac:dyDescent="0.25">
      <c r="A1100" s="89" t="s">
        <v>3360</v>
      </c>
      <c r="B1100" s="98" t="s">
        <v>3361</v>
      </c>
      <c r="C1100" s="101" t="s">
        <v>5349</v>
      </c>
      <c r="D1100" s="101" t="s">
        <v>3357</v>
      </c>
      <c r="E1100" s="73" t="s">
        <v>3362</v>
      </c>
      <c r="F1100" s="100" t="s">
        <v>81</v>
      </c>
      <c r="G1100" s="72" t="e">
        <f>_xlfn.TEXTJOIN(", ",TRUE,B1100,#REF!,#REF!,#REF!,D1100,E1100)</f>
        <v>#REF!</v>
      </c>
      <c r="H1100" s="99">
        <v>45115</v>
      </c>
      <c r="I1100" s="99"/>
      <c r="J1100" s="99"/>
      <c r="K1100" s="99"/>
      <c r="L1100" s="99"/>
      <c r="M1100" s="77" t="s">
        <v>3314</v>
      </c>
    </row>
    <row r="1101" spans="1:13" s="103" customFormat="1" ht="10.9" hidden="1" customHeight="1" x14ac:dyDescent="0.25">
      <c r="A1101" s="89" t="s">
        <v>3363</v>
      </c>
      <c r="B1101" s="98" t="s">
        <v>3364</v>
      </c>
      <c r="C1101" s="101" t="s">
        <v>5349</v>
      </c>
      <c r="D1101" s="101" t="s">
        <v>3357</v>
      </c>
      <c r="E1101" s="73" t="s">
        <v>3365</v>
      </c>
      <c r="F1101" s="100" t="s">
        <v>98</v>
      </c>
      <c r="G1101" s="72" t="e">
        <f>_xlfn.TEXTJOIN(", ",TRUE,B1101,#REF!,#REF!,#REF!,D1101,E1101)</f>
        <v>#REF!</v>
      </c>
      <c r="H1101" s="99">
        <v>45114</v>
      </c>
      <c r="I1101" s="99"/>
      <c r="J1101" s="99"/>
      <c r="K1101" s="99"/>
      <c r="L1101" s="99"/>
      <c r="M1101" s="77" t="s">
        <v>3366</v>
      </c>
    </row>
    <row r="1102" spans="1:13" s="103" customFormat="1" ht="10.9" hidden="1" customHeight="1" x14ac:dyDescent="0.25">
      <c r="A1102" s="89" t="s">
        <v>3367</v>
      </c>
      <c r="B1102" s="98" t="s">
        <v>3368</v>
      </c>
      <c r="C1102" s="101" t="s">
        <v>5349</v>
      </c>
      <c r="D1102" s="101" t="s">
        <v>3357</v>
      </c>
      <c r="E1102" s="73" t="s">
        <v>3369</v>
      </c>
      <c r="F1102" s="100" t="s">
        <v>81</v>
      </c>
      <c r="G1102" s="72" t="e">
        <f>_xlfn.TEXTJOIN(", ",TRUE,B1102,#REF!,#REF!,#REF!,D1102,E1102)</f>
        <v>#REF!</v>
      </c>
      <c r="H1102" s="99">
        <v>45849</v>
      </c>
      <c r="I1102" s="99"/>
      <c r="J1102" s="99"/>
      <c r="K1102" s="99"/>
      <c r="L1102" s="99"/>
      <c r="M1102" s="77" t="s">
        <v>3370</v>
      </c>
    </row>
    <row r="1103" spans="1:13" s="103" customFormat="1" ht="10.9" hidden="1" customHeight="1" x14ac:dyDescent="0.25">
      <c r="A1103" s="89" t="s">
        <v>3371</v>
      </c>
      <c r="B1103" s="104" t="s">
        <v>3372</v>
      </c>
      <c r="C1103" s="101" t="s">
        <v>5349</v>
      </c>
      <c r="D1103" s="101" t="s">
        <v>3357</v>
      </c>
      <c r="E1103" s="73" t="s">
        <v>3373</v>
      </c>
      <c r="F1103" s="100" t="s">
        <v>81</v>
      </c>
      <c r="G1103" s="72" t="e">
        <f>_xlfn.TEXTJOIN(", ",TRUE,B1103,#REF!,#REF!,#REF!,D1103,E1103)</f>
        <v>#REF!</v>
      </c>
      <c r="H1103" s="99"/>
      <c r="I1103" s="99"/>
      <c r="J1103" s="99"/>
      <c r="K1103" s="99"/>
      <c r="L1103" s="99"/>
      <c r="M1103" s="77" t="s">
        <v>3374</v>
      </c>
    </row>
    <row r="1104" spans="1:13" s="103" customFormat="1" ht="10.9" hidden="1" customHeight="1" x14ac:dyDescent="0.25">
      <c r="A1104" s="89" t="s">
        <v>3375</v>
      </c>
      <c r="B1104" s="102" t="s">
        <v>3376</v>
      </c>
      <c r="C1104" s="101" t="s">
        <v>5349</v>
      </c>
      <c r="D1104" s="101" t="s">
        <v>3357</v>
      </c>
      <c r="E1104" s="74" t="s">
        <v>3377</v>
      </c>
      <c r="F1104" s="100" t="s">
        <v>449</v>
      </c>
      <c r="G1104" s="72" t="e">
        <f>_xlfn.TEXTJOIN(", ",TRUE,B1104,#REF!,#REF!,#REF!,D1104,E1104)</f>
        <v>#REF!</v>
      </c>
      <c r="H1104" s="99">
        <v>45938</v>
      </c>
      <c r="I1104" s="99">
        <v>45702</v>
      </c>
      <c r="J1104" s="99"/>
      <c r="K1104" s="99"/>
      <c r="L1104" s="99">
        <v>45184</v>
      </c>
      <c r="M1104" s="77" t="s">
        <v>3378</v>
      </c>
    </row>
    <row r="1105" spans="1:13" s="103" customFormat="1" ht="10.9" hidden="1" customHeight="1" x14ac:dyDescent="0.25">
      <c r="A1105" s="89" t="s">
        <v>3379</v>
      </c>
      <c r="B1105" s="98" t="s">
        <v>3380</v>
      </c>
      <c r="C1105" s="101" t="s">
        <v>5349</v>
      </c>
      <c r="D1105" s="101" t="s">
        <v>3357</v>
      </c>
      <c r="E1105" s="73" t="s">
        <v>3381</v>
      </c>
      <c r="F1105" s="100" t="s">
        <v>98</v>
      </c>
      <c r="G1105" s="72" t="e">
        <f>_xlfn.TEXTJOIN(", ",TRUE,B1105,#REF!,#REF!,#REF!,D1105,E1105)</f>
        <v>#REF!</v>
      </c>
      <c r="H1105" s="99">
        <v>45758</v>
      </c>
      <c r="I1105" s="99"/>
      <c r="J1105" s="99"/>
      <c r="K1105" s="99"/>
      <c r="L1105" s="99"/>
      <c r="M1105" s="77" t="s">
        <v>3382</v>
      </c>
    </row>
    <row r="1106" spans="1:13" s="103" customFormat="1" ht="10.9" hidden="1" customHeight="1" x14ac:dyDescent="0.25">
      <c r="A1106" s="89" t="s">
        <v>1488</v>
      </c>
      <c r="B1106" s="98" t="s">
        <v>3383</v>
      </c>
      <c r="C1106" s="101" t="s">
        <v>5349</v>
      </c>
      <c r="D1106" s="101" t="s">
        <v>3357</v>
      </c>
      <c r="E1106" s="73" t="s">
        <v>3358</v>
      </c>
      <c r="F1106" s="100" t="s">
        <v>98</v>
      </c>
      <c r="G1106" s="72" t="e">
        <f>_xlfn.TEXTJOIN(", ",TRUE,B1106,#REF!,#REF!,#REF!,D1106,E1106)</f>
        <v>#REF!</v>
      </c>
      <c r="H1106" s="99">
        <v>44821</v>
      </c>
      <c r="I1106" s="99"/>
      <c r="J1106" s="99">
        <v>44832</v>
      </c>
      <c r="K1106" s="99"/>
      <c r="L1106" s="99"/>
      <c r="M1106" s="77" t="s">
        <v>3384</v>
      </c>
    </row>
    <row r="1107" spans="1:13" s="103" customFormat="1" ht="10.9" hidden="1" customHeight="1" x14ac:dyDescent="0.25">
      <c r="A1107" s="89" t="s">
        <v>3385</v>
      </c>
      <c r="B1107" s="98" t="s">
        <v>3386</v>
      </c>
      <c r="C1107" s="101" t="s">
        <v>5348</v>
      </c>
      <c r="D1107" s="101" t="s">
        <v>3357</v>
      </c>
      <c r="E1107" s="73" t="s">
        <v>3387</v>
      </c>
      <c r="F1107" s="100" t="s">
        <v>98</v>
      </c>
      <c r="G1107" s="72" t="e">
        <f>_xlfn.TEXTJOIN(", ",TRUE,B1107,#REF!,#REF!,#REF!,D1107,E1107)</f>
        <v>#REF!</v>
      </c>
      <c r="H1107" s="99"/>
      <c r="I1107" s="99"/>
      <c r="J1107" s="99"/>
      <c r="K1107" s="99"/>
      <c r="L1107" s="99"/>
      <c r="M1107" s="77" t="s">
        <v>3388</v>
      </c>
    </row>
    <row r="1108" spans="1:13" s="103" customFormat="1" ht="10.9" hidden="1" customHeight="1" x14ac:dyDescent="0.25">
      <c r="A1108" s="89" t="s">
        <v>3389</v>
      </c>
      <c r="B1108" s="98" t="s">
        <v>3390</v>
      </c>
      <c r="C1108" s="101" t="s">
        <v>5349</v>
      </c>
      <c r="D1108" s="101" t="s">
        <v>3357</v>
      </c>
      <c r="E1108" s="73" t="s">
        <v>3391</v>
      </c>
      <c r="F1108" s="100" t="s">
        <v>130</v>
      </c>
      <c r="G1108" s="72" t="e">
        <f>_xlfn.TEXTJOIN(", ",TRUE,B1108,#REF!,#REF!,#REF!,D1108,E1108)</f>
        <v>#REF!</v>
      </c>
      <c r="H1108" s="99">
        <v>45526</v>
      </c>
      <c r="I1108" s="99"/>
      <c r="J1108" s="99"/>
      <c r="K1108" s="99"/>
      <c r="L1108" s="99"/>
      <c r="M1108" s="77" t="s">
        <v>3392</v>
      </c>
    </row>
    <row r="1109" spans="1:13" s="103" customFormat="1" ht="10.9" hidden="1" customHeight="1" x14ac:dyDescent="0.25">
      <c r="A1109" s="89" t="s">
        <v>3371</v>
      </c>
      <c r="B1109" s="104" t="s">
        <v>3393</v>
      </c>
      <c r="C1109" s="101" t="s">
        <v>5349</v>
      </c>
      <c r="D1109" s="101" t="s">
        <v>3357</v>
      </c>
      <c r="E1109" s="73" t="s">
        <v>3373</v>
      </c>
      <c r="F1109" s="100" t="s">
        <v>81</v>
      </c>
      <c r="G1109" s="72" t="e">
        <f>_xlfn.TEXTJOIN(", ",TRUE,B1109,#REF!,#REF!,#REF!,D1109,E1109)</f>
        <v>#REF!</v>
      </c>
      <c r="H1109" s="99"/>
      <c r="I1109" s="99">
        <v>44858</v>
      </c>
      <c r="J1109" s="99"/>
      <c r="K1109" s="99"/>
      <c r="L1109" s="99"/>
      <c r="M1109" s="77" t="s">
        <v>3394</v>
      </c>
    </row>
    <row r="1110" spans="1:13" s="103" customFormat="1" ht="10.9" hidden="1" customHeight="1" x14ac:dyDescent="0.25">
      <c r="A1110" s="89" t="s">
        <v>3395</v>
      </c>
      <c r="B1110" s="98" t="s">
        <v>3396</v>
      </c>
      <c r="C1110" s="101" t="s">
        <v>5348</v>
      </c>
      <c r="D1110" s="101" t="s">
        <v>3357</v>
      </c>
      <c r="E1110" s="73" t="s">
        <v>3397</v>
      </c>
      <c r="F1110" s="100" t="s">
        <v>98</v>
      </c>
      <c r="G1110" s="72" t="e">
        <f>_xlfn.TEXTJOIN(", ",TRUE,B1110,#REF!,#REF!,#REF!,D1110,E1110)</f>
        <v>#REF!</v>
      </c>
      <c r="H1110" s="99"/>
      <c r="I1110" s="99">
        <v>45534</v>
      </c>
      <c r="J1110" s="99"/>
      <c r="K1110" s="99"/>
      <c r="L1110" s="99"/>
      <c r="M1110" s="77">
        <v>0</v>
      </c>
    </row>
    <row r="1111" spans="1:13" s="103" customFormat="1" ht="10.9" hidden="1" customHeight="1" x14ac:dyDescent="0.25">
      <c r="A1111" s="89" t="s">
        <v>3398</v>
      </c>
      <c r="B1111" s="98" t="s">
        <v>3399</v>
      </c>
      <c r="C1111" s="101" t="s">
        <v>5348</v>
      </c>
      <c r="D1111" s="101" t="s">
        <v>3357</v>
      </c>
      <c r="E1111" s="73" t="s">
        <v>3400</v>
      </c>
      <c r="F1111" s="100" t="s">
        <v>98</v>
      </c>
      <c r="G1111" s="72" t="e">
        <f>_xlfn.TEXTJOIN(", ",TRUE,B1111,#REF!,#REF!,#REF!,D1111,E1111)</f>
        <v>#REF!</v>
      </c>
      <c r="H1111" s="99"/>
      <c r="I1111" s="99"/>
      <c r="J1111" s="99"/>
      <c r="K1111" s="99"/>
      <c r="L1111" s="99"/>
      <c r="M1111" s="77">
        <v>0</v>
      </c>
    </row>
    <row r="1112" spans="1:13" s="103" customFormat="1" ht="10.9" hidden="1" customHeight="1" x14ac:dyDescent="0.25">
      <c r="A1112" s="89" t="s">
        <v>3401</v>
      </c>
      <c r="B1112" s="98" t="s">
        <v>3402</v>
      </c>
      <c r="C1112" s="101" t="s">
        <v>5348</v>
      </c>
      <c r="D1112" s="101" t="s">
        <v>3357</v>
      </c>
      <c r="E1112" s="73" t="s">
        <v>3397</v>
      </c>
      <c r="F1112" s="100" t="s">
        <v>130</v>
      </c>
      <c r="G1112" s="72" t="e">
        <f>_xlfn.TEXTJOIN(", ",TRUE,B1112,#REF!,#REF!,#REF!,D1112,E1112)</f>
        <v>#REF!</v>
      </c>
      <c r="H1112" s="99">
        <v>44557</v>
      </c>
      <c r="I1112" s="99"/>
      <c r="J1112" s="99"/>
      <c r="K1112" s="99"/>
      <c r="L1112" s="99"/>
      <c r="M1112" s="77" t="s">
        <v>3403</v>
      </c>
    </row>
    <row r="1113" spans="1:13" s="103" customFormat="1" ht="10.9" hidden="1" customHeight="1" x14ac:dyDescent="0.25">
      <c r="A1113" s="89" t="s">
        <v>3404</v>
      </c>
      <c r="B1113" s="98" t="s">
        <v>3405</v>
      </c>
      <c r="C1113" s="101" t="s">
        <v>5348</v>
      </c>
      <c r="D1113" s="101" t="s">
        <v>3357</v>
      </c>
      <c r="E1113" s="73" t="s">
        <v>3406</v>
      </c>
      <c r="F1113" s="100" t="s">
        <v>98</v>
      </c>
      <c r="G1113" s="72" t="e">
        <f>_xlfn.TEXTJOIN(", ",TRUE,B1113,#REF!,#REF!,#REF!,D1113,E1113)</f>
        <v>#REF!</v>
      </c>
      <c r="H1113" s="99">
        <v>45274</v>
      </c>
      <c r="I1113" s="99"/>
      <c r="J1113" s="99"/>
      <c r="K1113" s="99"/>
      <c r="L1113" s="99"/>
      <c r="M1113" s="77">
        <v>0</v>
      </c>
    </row>
    <row r="1114" spans="1:13" s="103" customFormat="1" ht="10.9" hidden="1" customHeight="1" x14ac:dyDescent="0.25">
      <c r="A1114" s="89" t="s">
        <v>732</v>
      </c>
      <c r="B1114" s="98" t="s">
        <v>733</v>
      </c>
      <c r="C1114" s="101" t="s">
        <v>5348</v>
      </c>
      <c r="D1114" s="101" t="s">
        <v>3357</v>
      </c>
      <c r="E1114" s="73" t="s">
        <v>3407</v>
      </c>
      <c r="F1114" s="100" t="s">
        <v>81</v>
      </c>
      <c r="G1114" s="72" t="e">
        <f>_xlfn.TEXTJOIN(", ",TRUE,B1114,#REF!,#REF!,#REF!,D1114,E1114)</f>
        <v>#REF!</v>
      </c>
      <c r="H1114" s="99">
        <v>44912</v>
      </c>
      <c r="I1114" s="99"/>
      <c r="J1114" s="99"/>
      <c r="K1114" s="99"/>
      <c r="L1114" s="99"/>
      <c r="M1114" s="77" t="s">
        <v>3408</v>
      </c>
    </row>
    <row r="1115" spans="1:13" s="103" customFormat="1" ht="10.9" hidden="1" customHeight="1" x14ac:dyDescent="0.25">
      <c r="A1115" s="89" t="s">
        <v>3409</v>
      </c>
      <c r="B1115" s="98" t="s">
        <v>3410</v>
      </c>
      <c r="C1115" s="101" t="s">
        <v>5348</v>
      </c>
      <c r="D1115" s="101" t="s">
        <v>3357</v>
      </c>
      <c r="E1115" s="73" t="s">
        <v>3411</v>
      </c>
      <c r="F1115" s="100" t="s">
        <v>81</v>
      </c>
      <c r="G1115" s="72" t="e">
        <f>_xlfn.TEXTJOIN(", ",TRUE,B1115,#REF!,#REF!,#REF!,D1115,E1115)</f>
        <v>#REF!</v>
      </c>
      <c r="H1115" s="99">
        <v>45330</v>
      </c>
      <c r="I1115" s="99"/>
      <c r="J1115" s="99"/>
      <c r="K1115" s="99"/>
      <c r="L1115" s="99"/>
      <c r="M1115" s="77" t="s">
        <v>88</v>
      </c>
    </row>
    <row r="1116" spans="1:13" s="103" customFormat="1" ht="10.9" hidden="1" customHeight="1" x14ac:dyDescent="0.25">
      <c r="A1116" s="89" t="s">
        <v>3409</v>
      </c>
      <c r="B1116" s="98" t="s">
        <v>3410</v>
      </c>
      <c r="C1116" s="101" t="s">
        <v>5348</v>
      </c>
      <c r="D1116" s="101" t="s">
        <v>3357</v>
      </c>
      <c r="E1116" s="73" t="s">
        <v>3411</v>
      </c>
      <c r="F1116" s="100" t="s">
        <v>81</v>
      </c>
      <c r="G1116" s="72" t="e">
        <f>_xlfn.TEXTJOIN(", ",TRUE,B1116,#REF!,#REF!,#REF!,D1116,E1116)</f>
        <v>#REF!</v>
      </c>
      <c r="H1116" s="99">
        <v>45330</v>
      </c>
      <c r="I1116" s="99"/>
      <c r="J1116" s="99"/>
      <c r="K1116" s="99"/>
      <c r="L1116" s="99"/>
      <c r="M1116" s="77" t="s">
        <v>88</v>
      </c>
    </row>
    <row r="1117" spans="1:13" s="103" customFormat="1" ht="10.9" hidden="1" customHeight="1" x14ac:dyDescent="0.25">
      <c r="A1117" s="89" t="s">
        <v>3412</v>
      </c>
      <c r="B1117" s="98" t="s">
        <v>3413</v>
      </c>
      <c r="C1117" s="101" t="s">
        <v>5348</v>
      </c>
      <c r="D1117" s="101" t="s">
        <v>3357</v>
      </c>
      <c r="E1117" s="73" t="s">
        <v>3414</v>
      </c>
      <c r="F1117" s="100" t="s">
        <v>348</v>
      </c>
      <c r="G1117" s="72" t="e">
        <f>_xlfn.TEXTJOIN(", ",TRUE,B1117,#REF!,#REF!,#REF!,D1117,E1117)</f>
        <v>#REF!</v>
      </c>
      <c r="H1117" s="99">
        <v>45556</v>
      </c>
      <c r="I1117" s="99"/>
      <c r="J1117" s="99"/>
      <c r="K1117" s="99"/>
      <c r="L1117" s="99"/>
      <c r="M1117" s="77" t="s">
        <v>88</v>
      </c>
    </row>
    <row r="1118" spans="1:13" s="103" customFormat="1" ht="10.9" hidden="1" customHeight="1" x14ac:dyDescent="0.25">
      <c r="A1118" s="89" t="s">
        <v>3415</v>
      </c>
      <c r="B1118" s="98" t="s">
        <v>3416</v>
      </c>
      <c r="C1118" s="101" t="s">
        <v>5348</v>
      </c>
      <c r="D1118" s="101" t="s">
        <v>3357</v>
      </c>
      <c r="E1118" s="73" t="s">
        <v>3417</v>
      </c>
      <c r="F1118" s="100" t="s">
        <v>98</v>
      </c>
      <c r="G1118" s="72" t="e">
        <f>_xlfn.TEXTJOIN(", ",TRUE,B1118,#REF!,#REF!,#REF!,D1118,E1118)</f>
        <v>#REF!</v>
      </c>
      <c r="H1118" s="99">
        <v>44834</v>
      </c>
      <c r="I1118" s="99">
        <v>44844</v>
      </c>
      <c r="J1118" s="99"/>
      <c r="K1118" s="99"/>
      <c r="L1118" s="99"/>
      <c r="M1118" s="77" t="s">
        <v>3418</v>
      </c>
    </row>
    <row r="1119" spans="1:13" s="103" customFormat="1" ht="10.9" hidden="1" customHeight="1" x14ac:dyDescent="0.25">
      <c r="A1119" s="89" t="s">
        <v>3419</v>
      </c>
      <c r="B1119" s="98" t="s">
        <v>3420</v>
      </c>
      <c r="C1119" s="101" t="s">
        <v>5348</v>
      </c>
      <c r="D1119" s="101" t="s">
        <v>3357</v>
      </c>
      <c r="E1119" s="73" t="s">
        <v>3421</v>
      </c>
      <c r="F1119" s="100" t="s">
        <v>81</v>
      </c>
      <c r="G1119" s="72" t="e">
        <f>_xlfn.TEXTJOIN(", ",TRUE,B1119,#REF!,#REF!,#REF!,D1119,E1119)</f>
        <v>#REF!</v>
      </c>
      <c r="H1119" s="99"/>
      <c r="I1119" s="99"/>
      <c r="J1119" s="99"/>
      <c r="K1119" s="99"/>
      <c r="L1119" s="99"/>
      <c r="M1119" s="77" t="s">
        <v>88</v>
      </c>
    </row>
    <row r="1120" spans="1:13" s="103" customFormat="1" ht="10.9" hidden="1" customHeight="1" x14ac:dyDescent="0.25">
      <c r="A1120" s="89" t="s">
        <v>3422</v>
      </c>
      <c r="B1120" s="98" t="s">
        <v>3423</v>
      </c>
      <c r="C1120" s="101" t="s">
        <v>5349</v>
      </c>
      <c r="D1120" s="101" t="s">
        <v>3424</v>
      </c>
      <c r="E1120" s="73" t="s">
        <v>3425</v>
      </c>
      <c r="F1120" s="100" t="s">
        <v>81</v>
      </c>
      <c r="G1120" s="72" t="e">
        <f>_xlfn.TEXTJOIN(", ",TRUE,B1120,#REF!,#REF!,#REF!,D1120,E1120)</f>
        <v>#REF!</v>
      </c>
      <c r="H1120" s="99"/>
      <c r="I1120" s="99"/>
      <c r="J1120" s="99"/>
      <c r="K1120" s="99"/>
      <c r="L1120" s="99"/>
      <c r="M1120" s="77" t="s">
        <v>3426</v>
      </c>
    </row>
    <row r="1121" spans="1:13" s="103" customFormat="1" ht="10.9" hidden="1" customHeight="1" x14ac:dyDescent="0.25">
      <c r="A1121" s="89" t="s">
        <v>3427</v>
      </c>
      <c r="B1121" s="98" t="s">
        <v>3428</v>
      </c>
      <c r="C1121" s="101" t="s">
        <v>5349</v>
      </c>
      <c r="D1121" s="101" t="s">
        <v>3429</v>
      </c>
      <c r="E1121" s="73" t="s">
        <v>3430</v>
      </c>
      <c r="F1121" s="100" t="s">
        <v>98</v>
      </c>
      <c r="G1121" s="72" t="e">
        <f>_xlfn.TEXTJOIN(", ",TRUE,B1121,#REF!,#REF!,#REF!,D1121,E1121)</f>
        <v>#REF!</v>
      </c>
      <c r="H1121" s="99">
        <v>45118</v>
      </c>
      <c r="I1121" s="99"/>
      <c r="J1121" s="99">
        <v>45230</v>
      </c>
      <c r="K1121" s="99"/>
      <c r="L1121" s="99"/>
      <c r="M1121" s="77" t="s">
        <v>88</v>
      </c>
    </row>
    <row r="1122" spans="1:13" s="103" customFormat="1" ht="10.9" hidden="1" customHeight="1" x14ac:dyDescent="0.25">
      <c r="A1122" s="89" t="s">
        <v>3431</v>
      </c>
      <c r="B1122" s="98" t="s">
        <v>3432</v>
      </c>
      <c r="C1122" s="101" t="s">
        <v>5348</v>
      </c>
      <c r="D1122" s="101" t="s">
        <v>3429</v>
      </c>
      <c r="E1122" s="73" t="s">
        <v>3433</v>
      </c>
      <c r="F1122" s="100"/>
      <c r="G1122" s="72" t="e">
        <f>_xlfn.TEXTJOIN(", ",TRUE,B1122,#REF!,#REF!,#REF!,D1122,E1122)</f>
        <v>#REF!</v>
      </c>
      <c r="H1122" s="99"/>
      <c r="I1122" s="99"/>
      <c r="J1122" s="99"/>
      <c r="K1122" s="99"/>
      <c r="L1122" s="99"/>
      <c r="M1122" s="77">
        <v>0</v>
      </c>
    </row>
    <row r="1123" spans="1:13" s="103" customFormat="1" ht="10.9" hidden="1" customHeight="1" x14ac:dyDescent="0.25">
      <c r="A1123" s="89" t="s">
        <v>3434</v>
      </c>
      <c r="B1123" s="104" t="s">
        <v>3435</v>
      </c>
      <c r="C1123" s="101" t="s">
        <v>5348</v>
      </c>
      <c r="D1123" s="101" t="s">
        <v>3429</v>
      </c>
      <c r="E1123" s="73" t="s">
        <v>3436</v>
      </c>
      <c r="F1123" s="100" t="s">
        <v>98</v>
      </c>
      <c r="G1123" s="72" t="e">
        <f>_xlfn.TEXTJOIN(", ",TRUE,B1123,#REF!,#REF!,#REF!,D1123,E1123)</f>
        <v>#REF!</v>
      </c>
      <c r="H1123" s="99"/>
      <c r="I1123" s="99"/>
      <c r="J1123" s="99"/>
      <c r="K1123" s="99"/>
      <c r="L1123" s="99"/>
      <c r="M1123" s="77" t="s">
        <v>88</v>
      </c>
    </row>
    <row r="1124" spans="1:13" s="103" customFormat="1" ht="10.9" hidden="1" customHeight="1" x14ac:dyDescent="0.25">
      <c r="A1124" s="89" t="s">
        <v>3437</v>
      </c>
      <c r="B1124" s="98" t="s">
        <v>3438</v>
      </c>
      <c r="C1124" s="101" t="s">
        <v>5348</v>
      </c>
      <c r="D1124" s="101" t="s">
        <v>3439</v>
      </c>
      <c r="E1124" s="74" t="s">
        <v>3440</v>
      </c>
      <c r="F1124" s="100" t="s">
        <v>98</v>
      </c>
      <c r="G1124" s="72" t="e">
        <f>_xlfn.TEXTJOIN(", ",TRUE,B1124,#REF!,#REF!,#REF!,D1124,E1124)</f>
        <v>#REF!</v>
      </c>
      <c r="H1124" s="99"/>
      <c r="I1124" s="99"/>
      <c r="J1124" s="99"/>
      <c r="K1124" s="99"/>
      <c r="L1124" s="99"/>
      <c r="M1124" s="77">
        <v>0</v>
      </c>
    </row>
    <row r="1125" spans="1:13" s="103" customFormat="1" ht="10.9" hidden="1" customHeight="1" x14ac:dyDescent="0.25">
      <c r="A1125" s="89" t="s">
        <v>3441</v>
      </c>
      <c r="B1125" s="98" t="s">
        <v>3442</v>
      </c>
      <c r="C1125" s="101" t="s">
        <v>5349</v>
      </c>
      <c r="D1125" s="101" t="s">
        <v>3443</v>
      </c>
      <c r="E1125" s="73" t="s">
        <v>3443</v>
      </c>
      <c r="F1125" s="100" t="s">
        <v>81</v>
      </c>
      <c r="G1125" s="72" t="e">
        <f>_xlfn.TEXTJOIN(", ",TRUE,B1125,#REF!,#REF!,#REF!,D1125,E1125)</f>
        <v>#REF!</v>
      </c>
      <c r="H1125" s="99"/>
      <c r="I1125" s="99"/>
      <c r="J1125" s="99"/>
      <c r="K1125" s="99"/>
      <c r="L1125" s="99"/>
      <c r="M1125" s="77">
        <v>0</v>
      </c>
    </row>
    <row r="1126" spans="1:13" s="103" customFormat="1" ht="10.9" hidden="1" customHeight="1" x14ac:dyDescent="0.25">
      <c r="A1126" s="89" t="s">
        <v>3444</v>
      </c>
      <c r="B1126" s="98" t="s">
        <v>3445</v>
      </c>
      <c r="C1126" s="101" t="s">
        <v>5348</v>
      </c>
      <c r="D1126" s="101" t="s">
        <v>3446</v>
      </c>
      <c r="E1126" s="74" t="s">
        <v>3447</v>
      </c>
      <c r="F1126" s="100" t="s">
        <v>98</v>
      </c>
      <c r="G1126" s="72" t="e">
        <f>_xlfn.TEXTJOIN(", ",TRUE,B1126,#REF!,#REF!,#REF!,D1126,E1126)</f>
        <v>#REF!</v>
      </c>
      <c r="H1126" s="99"/>
      <c r="I1126" s="99"/>
      <c r="J1126" s="99"/>
      <c r="K1126" s="99"/>
      <c r="L1126" s="99"/>
      <c r="M1126" s="77" t="s">
        <v>88</v>
      </c>
    </row>
    <row r="1127" spans="1:13" s="103" customFormat="1" ht="10.9" hidden="1" customHeight="1" x14ac:dyDescent="0.25">
      <c r="A1127" s="89" t="s">
        <v>3448</v>
      </c>
      <c r="B1127" s="98" t="s">
        <v>3449</v>
      </c>
      <c r="C1127" s="101" t="s">
        <v>5348</v>
      </c>
      <c r="D1127" s="101" t="s">
        <v>3446</v>
      </c>
      <c r="E1127" s="73" t="s">
        <v>3446</v>
      </c>
      <c r="F1127" s="100" t="s">
        <v>81</v>
      </c>
      <c r="G1127" s="72" t="e">
        <f>_xlfn.TEXTJOIN(", ",TRUE,B1127,#REF!,#REF!,#REF!,D1127,E1127)</f>
        <v>#REF!</v>
      </c>
      <c r="H1127" s="99"/>
      <c r="I1127" s="99"/>
      <c r="J1127" s="99"/>
      <c r="K1127" s="99"/>
      <c r="L1127" s="99"/>
      <c r="M1127" s="77" t="s">
        <v>88</v>
      </c>
    </row>
    <row r="1128" spans="1:13" s="103" customFormat="1" ht="10.9" hidden="1" customHeight="1" x14ac:dyDescent="0.25">
      <c r="A1128" s="89" t="s">
        <v>3450</v>
      </c>
      <c r="B1128" s="98" t="s">
        <v>3451</v>
      </c>
      <c r="C1128" s="101" t="s">
        <v>5348</v>
      </c>
      <c r="D1128" s="101" t="s">
        <v>3446</v>
      </c>
      <c r="E1128" s="73" t="s">
        <v>88</v>
      </c>
      <c r="F1128" s="100"/>
      <c r="G1128" s="72" t="e">
        <f>_xlfn.TEXTJOIN(", ",TRUE,B1128,#REF!,#REF!,#REF!,D1128,E1128)</f>
        <v>#REF!</v>
      </c>
      <c r="H1128" s="99"/>
      <c r="I1128" s="99"/>
      <c r="J1128" s="99"/>
      <c r="K1128" s="99"/>
      <c r="L1128" s="99"/>
      <c r="M1128" s="77" t="s">
        <v>88</v>
      </c>
    </row>
    <row r="1129" spans="1:13" s="103" customFormat="1" ht="10.9" hidden="1" customHeight="1" x14ac:dyDescent="0.25">
      <c r="A1129" s="89" t="s">
        <v>3452</v>
      </c>
      <c r="B1129" s="98" t="s">
        <v>3453</v>
      </c>
      <c r="C1129" s="101" t="s">
        <v>5348</v>
      </c>
      <c r="D1129" s="101" t="s">
        <v>3446</v>
      </c>
      <c r="E1129" s="73" t="s">
        <v>3454</v>
      </c>
      <c r="F1129" s="100" t="s">
        <v>81</v>
      </c>
      <c r="G1129" s="72" t="e">
        <f>_xlfn.TEXTJOIN(", ",TRUE,B1129,#REF!,#REF!,#REF!,D1129,E1129)</f>
        <v>#REF!</v>
      </c>
      <c r="H1129" s="99"/>
      <c r="I1129" s="99"/>
      <c r="J1129" s="99"/>
      <c r="K1129" s="99"/>
      <c r="L1129" s="99"/>
      <c r="M1129" s="77" t="s">
        <v>3455</v>
      </c>
    </row>
    <row r="1130" spans="1:13" s="103" customFormat="1" ht="10.9" hidden="1" customHeight="1" x14ac:dyDescent="0.25">
      <c r="A1130" s="89" t="s">
        <v>3456</v>
      </c>
      <c r="B1130" s="98" t="s">
        <v>3457</v>
      </c>
      <c r="C1130" s="101" t="s">
        <v>5348</v>
      </c>
      <c r="D1130" s="101" t="s">
        <v>3446</v>
      </c>
      <c r="E1130" s="74" t="s">
        <v>3458</v>
      </c>
      <c r="F1130" s="100" t="s">
        <v>98</v>
      </c>
      <c r="G1130" s="72" t="e">
        <f>_xlfn.TEXTJOIN(", ",TRUE,B1130,#REF!,#REF!,#REF!,D1130,E1130)</f>
        <v>#REF!</v>
      </c>
      <c r="H1130" s="99"/>
      <c r="I1130" s="99"/>
      <c r="J1130" s="99"/>
      <c r="K1130" s="99"/>
      <c r="L1130" s="99"/>
      <c r="M1130" s="77" t="s">
        <v>3459</v>
      </c>
    </row>
    <row r="1131" spans="1:13" s="103" customFormat="1" ht="10.9" hidden="1" customHeight="1" x14ac:dyDescent="0.25">
      <c r="A1131" s="89" t="s">
        <v>3460</v>
      </c>
      <c r="B1131" s="98" t="s">
        <v>3461</v>
      </c>
      <c r="C1131" s="101" t="s">
        <v>5348</v>
      </c>
      <c r="D1131" s="101" t="s">
        <v>3446</v>
      </c>
      <c r="E1131" s="73" t="s">
        <v>3446</v>
      </c>
      <c r="F1131" s="100" t="s">
        <v>98</v>
      </c>
      <c r="G1131" s="72" t="e">
        <f>_xlfn.TEXTJOIN(", ",TRUE,B1131,#REF!,#REF!,#REF!,D1131,E1131)</f>
        <v>#REF!</v>
      </c>
      <c r="H1131" s="99">
        <v>45453</v>
      </c>
      <c r="I1131" s="99"/>
      <c r="J1131" s="99"/>
      <c r="K1131" s="99"/>
      <c r="L1131" s="99"/>
      <c r="M1131" s="77" t="s">
        <v>3462</v>
      </c>
    </row>
    <row r="1132" spans="1:13" s="103" customFormat="1" ht="10.9" hidden="1" customHeight="1" x14ac:dyDescent="0.25">
      <c r="A1132" s="89" t="s">
        <v>3460</v>
      </c>
      <c r="B1132" s="98" t="s">
        <v>3463</v>
      </c>
      <c r="C1132" s="101" t="s">
        <v>5348</v>
      </c>
      <c r="D1132" s="101" t="s">
        <v>3446</v>
      </c>
      <c r="E1132" s="73" t="s">
        <v>3446</v>
      </c>
      <c r="F1132" s="100" t="s">
        <v>98</v>
      </c>
      <c r="G1132" s="72" t="e">
        <f>_xlfn.TEXTJOIN(", ",TRUE,B1132,#REF!,#REF!,#REF!,D1132,E1132)</f>
        <v>#REF!</v>
      </c>
      <c r="H1132" s="99">
        <v>45453</v>
      </c>
      <c r="I1132" s="99"/>
      <c r="J1132" s="99"/>
      <c r="K1132" s="99"/>
      <c r="L1132" s="99"/>
      <c r="M1132" s="77" t="s">
        <v>3464</v>
      </c>
    </row>
    <row r="1133" spans="1:13" s="103" customFormat="1" ht="10.9" hidden="1" customHeight="1" x14ac:dyDescent="0.25">
      <c r="A1133" s="89" t="s">
        <v>3465</v>
      </c>
      <c r="B1133" s="104" t="s">
        <v>3466</v>
      </c>
      <c r="C1133" s="101" t="s">
        <v>5348</v>
      </c>
      <c r="D1133" s="101" t="s">
        <v>3446</v>
      </c>
      <c r="E1133" s="73" t="s">
        <v>88</v>
      </c>
      <c r="F1133" s="100" t="s">
        <v>98</v>
      </c>
      <c r="G1133" s="72" t="e">
        <f>_xlfn.TEXTJOIN(", ",TRUE,B1133,#REF!,#REF!,#REF!,D1133,E1133)</f>
        <v>#REF!</v>
      </c>
      <c r="H1133" s="99"/>
      <c r="I1133" s="99"/>
      <c r="J1133" s="99"/>
      <c r="K1133" s="99"/>
      <c r="L1133" s="99"/>
      <c r="M1133" s="77">
        <v>0</v>
      </c>
    </row>
    <row r="1134" spans="1:13" s="103" customFormat="1" ht="10.9" hidden="1" customHeight="1" x14ac:dyDescent="0.25">
      <c r="A1134" s="89" t="s">
        <v>3467</v>
      </c>
      <c r="B1134" s="104" t="s">
        <v>3468</v>
      </c>
      <c r="C1134" s="101" t="s">
        <v>5348</v>
      </c>
      <c r="D1134" s="101" t="s">
        <v>3446</v>
      </c>
      <c r="E1134" s="73" t="s">
        <v>3469</v>
      </c>
      <c r="F1134" s="100" t="s">
        <v>98</v>
      </c>
      <c r="G1134" s="72" t="e">
        <f>_xlfn.TEXTJOIN(", ",TRUE,B1134,#REF!,#REF!,#REF!,D1134,E1134)</f>
        <v>#REF!</v>
      </c>
      <c r="H1134" s="99"/>
      <c r="I1134" s="99"/>
      <c r="J1134" s="99"/>
      <c r="K1134" s="99"/>
      <c r="L1134" s="99"/>
      <c r="M1134" s="77" t="s">
        <v>3470</v>
      </c>
    </row>
    <row r="1135" spans="1:13" s="103" customFormat="1" ht="10.9" hidden="1" customHeight="1" x14ac:dyDescent="0.25">
      <c r="A1135" s="89" t="s">
        <v>3471</v>
      </c>
      <c r="B1135" s="104" t="s">
        <v>3472</v>
      </c>
      <c r="C1135" s="101" t="s">
        <v>5348</v>
      </c>
      <c r="D1135" s="101" t="s">
        <v>3446</v>
      </c>
      <c r="E1135" s="73" t="s">
        <v>88</v>
      </c>
      <c r="F1135" s="100" t="s">
        <v>98</v>
      </c>
      <c r="G1135" s="72" t="e">
        <f>_xlfn.TEXTJOIN(", ",TRUE,B1135,#REF!,#REF!,#REF!,D1135,E1135)</f>
        <v>#REF!</v>
      </c>
      <c r="H1135" s="99"/>
      <c r="I1135" s="99"/>
      <c r="J1135" s="99"/>
      <c r="K1135" s="99"/>
      <c r="L1135" s="99"/>
      <c r="M1135" s="77" t="s">
        <v>88</v>
      </c>
    </row>
    <row r="1136" spans="1:13" s="103" customFormat="1" ht="10.9" hidden="1" customHeight="1" x14ac:dyDescent="0.25">
      <c r="A1136" s="89" t="s">
        <v>3473</v>
      </c>
      <c r="B1136" s="98" t="s">
        <v>3474</v>
      </c>
      <c r="C1136" s="101" t="s">
        <v>5348</v>
      </c>
      <c r="D1136" s="101" t="s">
        <v>3446</v>
      </c>
      <c r="E1136" s="73" t="s">
        <v>3446</v>
      </c>
      <c r="F1136" s="100" t="s">
        <v>81</v>
      </c>
      <c r="G1136" s="72" t="e">
        <f>_xlfn.TEXTJOIN(", ",TRUE,B1136,#REF!,#REF!,#REF!,D1136,E1136)</f>
        <v>#REF!</v>
      </c>
      <c r="H1136" s="99"/>
      <c r="I1136" s="99"/>
      <c r="J1136" s="99"/>
      <c r="K1136" s="99"/>
      <c r="L1136" s="99"/>
      <c r="M1136" s="77" t="s">
        <v>88</v>
      </c>
    </row>
    <row r="1137" spans="1:13" s="103" customFormat="1" ht="10.9" hidden="1" customHeight="1" x14ac:dyDescent="0.25">
      <c r="A1137" s="89" t="s">
        <v>3475</v>
      </c>
      <c r="B1137" s="98" t="s">
        <v>3476</v>
      </c>
      <c r="C1137" s="101" t="s">
        <v>5349</v>
      </c>
      <c r="D1137" s="101" t="s">
        <v>3477</v>
      </c>
      <c r="E1137" s="73" t="s">
        <v>3478</v>
      </c>
      <c r="F1137" s="100" t="s">
        <v>98</v>
      </c>
      <c r="G1137" s="72" t="e">
        <f>_xlfn.TEXTJOIN(", ",TRUE,B1137,#REF!,#REF!,#REF!,D1137,E1137)</f>
        <v>#REF!</v>
      </c>
      <c r="H1137" s="99"/>
      <c r="I1137" s="99"/>
      <c r="J1137" s="99"/>
      <c r="K1137" s="99"/>
      <c r="L1137" s="99"/>
      <c r="M1137" s="77" t="s">
        <v>3479</v>
      </c>
    </row>
    <row r="1138" spans="1:13" s="103" customFormat="1" ht="10.9" hidden="1" customHeight="1" x14ac:dyDescent="0.25">
      <c r="A1138" s="89" t="s">
        <v>3480</v>
      </c>
      <c r="B1138" s="98" t="s">
        <v>3481</v>
      </c>
      <c r="C1138" s="101" t="s">
        <v>5349</v>
      </c>
      <c r="D1138" s="101" t="s">
        <v>3477</v>
      </c>
      <c r="E1138" s="73" t="s">
        <v>3482</v>
      </c>
      <c r="F1138" s="100" t="s">
        <v>98</v>
      </c>
      <c r="G1138" s="72" t="e">
        <f>_xlfn.TEXTJOIN(", ",TRUE,B1138,#REF!,#REF!,#REF!,D1138,E1138)</f>
        <v>#REF!</v>
      </c>
      <c r="H1138" s="99"/>
      <c r="I1138" s="99"/>
      <c r="J1138" s="99"/>
      <c r="K1138" s="99"/>
      <c r="L1138" s="99"/>
      <c r="M1138" s="77" t="s">
        <v>88</v>
      </c>
    </row>
    <row r="1139" spans="1:13" s="103" customFormat="1" ht="10.9" hidden="1" customHeight="1" x14ac:dyDescent="0.25">
      <c r="A1139" s="89" t="s">
        <v>3483</v>
      </c>
      <c r="B1139" s="98" t="s">
        <v>3484</v>
      </c>
      <c r="C1139" s="101" t="s">
        <v>5349</v>
      </c>
      <c r="D1139" s="101" t="s">
        <v>3477</v>
      </c>
      <c r="E1139" s="74" t="s">
        <v>3485</v>
      </c>
      <c r="F1139" s="100" t="s">
        <v>98</v>
      </c>
      <c r="G1139" s="72" t="e">
        <f>_xlfn.TEXTJOIN(", ",TRUE,B1139,#REF!,#REF!,#REF!,D1139,E1139)</f>
        <v>#REF!</v>
      </c>
      <c r="H1139" s="99"/>
      <c r="I1139" s="99"/>
      <c r="J1139" s="99"/>
      <c r="K1139" s="99"/>
      <c r="L1139" s="99"/>
      <c r="M1139" s="77" t="s">
        <v>88</v>
      </c>
    </row>
    <row r="1140" spans="1:13" s="103" customFormat="1" ht="10.9" hidden="1" customHeight="1" x14ac:dyDescent="0.25">
      <c r="A1140" s="89" t="s">
        <v>3486</v>
      </c>
      <c r="B1140" s="102" t="s">
        <v>3487</v>
      </c>
      <c r="C1140" s="101" t="s">
        <v>5349</v>
      </c>
      <c r="D1140" s="101" t="s">
        <v>3477</v>
      </c>
      <c r="E1140" s="73" t="s">
        <v>3477</v>
      </c>
      <c r="F1140" s="100" t="s">
        <v>98</v>
      </c>
      <c r="G1140" s="72" t="e">
        <f>_xlfn.TEXTJOIN(", ",TRUE,B1140,#REF!,#REF!,#REF!,D1140,E1140)</f>
        <v>#REF!</v>
      </c>
      <c r="H1140" s="99"/>
      <c r="I1140" s="99"/>
      <c r="J1140" s="99"/>
      <c r="K1140" s="99"/>
      <c r="L1140" s="99"/>
      <c r="M1140" s="77" t="s">
        <v>88</v>
      </c>
    </row>
    <row r="1141" spans="1:13" s="103" customFormat="1" ht="10.9" hidden="1" customHeight="1" x14ac:dyDescent="0.25">
      <c r="A1141" s="89" t="s">
        <v>3488</v>
      </c>
      <c r="B1141" s="102" t="s">
        <v>3489</v>
      </c>
      <c r="C1141" s="101"/>
      <c r="D1141" s="101" t="s">
        <v>3490</v>
      </c>
      <c r="E1141" s="74" t="s">
        <v>3491</v>
      </c>
      <c r="F1141" s="100"/>
      <c r="G1141" s="72" t="e">
        <f>_xlfn.TEXTJOIN(", ",TRUE,B1141,#REF!,#REF!,#REF!,D1141,E1141)</f>
        <v>#REF!</v>
      </c>
      <c r="H1141" s="99"/>
      <c r="I1141" s="99"/>
      <c r="J1141" s="99"/>
      <c r="K1141" s="99"/>
      <c r="L1141" s="99"/>
      <c r="M1141" s="77" t="s">
        <v>88</v>
      </c>
    </row>
    <row r="1142" spans="1:13" s="103" customFormat="1" ht="10.9" hidden="1" customHeight="1" x14ac:dyDescent="0.25">
      <c r="A1142" s="89" t="s">
        <v>2126</v>
      </c>
      <c r="B1142" s="104" t="s">
        <v>3492</v>
      </c>
      <c r="C1142" s="101" t="s">
        <v>5348</v>
      </c>
      <c r="D1142" s="101" t="s">
        <v>3493</v>
      </c>
      <c r="E1142" s="73" t="s">
        <v>88</v>
      </c>
      <c r="F1142" s="100" t="s">
        <v>98</v>
      </c>
      <c r="G1142" s="72" t="e">
        <f>_xlfn.TEXTJOIN(", ",TRUE,B1142,#REF!,#REF!,#REF!,D1142,E1142)</f>
        <v>#REF!</v>
      </c>
      <c r="H1142" s="99"/>
      <c r="I1142" s="99"/>
      <c r="J1142" s="99"/>
      <c r="K1142" s="99"/>
      <c r="L1142" s="99"/>
      <c r="M1142" s="77" t="s">
        <v>88</v>
      </c>
    </row>
    <row r="1143" spans="1:13" s="103" customFormat="1" ht="10.9" hidden="1" customHeight="1" x14ac:dyDescent="0.25">
      <c r="A1143" s="89" t="s">
        <v>3494</v>
      </c>
      <c r="B1143" s="98" t="s">
        <v>3495</v>
      </c>
      <c r="C1143" s="101" t="s">
        <v>5349</v>
      </c>
      <c r="D1143" s="101" t="s">
        <v>3496</v>
      </c>
      <c r="E1143" s="73" t="s">
        <v>88</v>
      </c>
      <c r="F1143" s="100" t="s">
        <v>98</v>
      </c>
      <c r="G1143" s="72" t="e">
        <f>_xlfn.TEXTJOIN(", ",TRUE,B1143,#REF!,#REF!,#REF!,D1143,E1143)</f>
        <v>#REF!</v>
      </c>
      <c r="H1143" s="99"/>
      <c r="I1143" s="99"/>
      <c r="J1143" s="99"/>
      <c r="K1143" s="99"/>
      <c r="L1143" s="99"/>
      <c r="M1143" s="77" t="s">
        <v>88</v>
      </c>
    </row>
    <row r="1144" spans="1:13" s="103" customFormat="1" ht="10.9" hidden="1" customHeight="1" x14ac:dyDescent="0.25">
      <c r="A1144" s="89" t="s">
        <v>3497</v>
      </c>
      <c r="B1144" s="104" t="s">
        <v>3498</v>
      </c>
      <c r="C1144" s="101" t="s">
        <v>5349</v>
      </c>
      <c r="D1144" s="101" t="s">
        <v>3499</v>
      </c>
      <c r="E1144" s="73" t="s">
        <v>88</v>
      </c>
      <c r="F1144" s="100" t="s">
        <v>98</v>
      </c>
      <c r="G1144" s="72" t="e">
        <f>_xlfn.TEXTJOIN(", ",TRUE,B1144,#REF!,#REF!,#REF!,D1144,E1144)</f>
        <v>#REF!</v>
      </c>
      <c r="H1144" s="99"/>
      <c r="I1144" s="99"/>
      <c r="J1144" s="99"/>
      <c r="K1144" s="99"/>
      <c r="L1144" s="99"/>
      <c r="M1144" s="77" t="s">
        <v>88</v>
      </c>
    </row>
    <row r="1145" spans="1:13" s="103" customFormat="1" ht="10.9" hidden="1" customHeight="1" x14ac:dyDescent="0.25">
      <c r="A1145" s="89" t="s">
        <v>3500</v>
      </c>
      <c r="B1145" s="104" t="s">
        <v>3501</v>
      </c>
      <c r="C1145" s="101" t="s">
        <v>5349</v>
      </c>
      <c r="D1145" s="101" t="s">
        <v>3502</v>
      </c>
      <c r="E1145" s="74" t="s">
        <v>3503</v>
      </c>
      <c r="F1145" s="100" t="s">
        <v>98</v>
      </c>
      <c r="G1145" s="72" t="e">
        <f>_xlfn.TEXTJOIN(", ",TRUE,B1145,#REF!,#REF!,#REF!,D1145,E1145)</f>
        <v>#REF!</v>
      </c>
      <c r="H1145" s="99"/>
      <c r="I1145" s="99"/>
      <c r="J1145" s="99"/>
      <c r="K1145" s="99"/>
      <c r="L1145" s="99"/>
      <c r="M1145" s="77">
        <v>0</v>
      </c>
    </row>
    <row r="1146" spans="1:13" s="103" customFormat="1" ht="10.9" hidden="1" customHeight="1" x14ac:dyDescent="0.25">
      <c r="A1146" s="89" t="s">
        <v>3504</v>
      </c>
      <c r="B1146" s="98" t="s">
        <v>3505</v>
      </c>
      <c r="C1146" s="101" t="s">
        <v>5349</v>
      </c>
      <c r="D1146" s="101" t="s">
        <v>3506</v>
      </c>
      <c r="E1146" s="73" t="s">
        <v>88</v>
      </c>
      <c r="F1146" s="100" t="s">
        <v>282</v>
      </c>
      <c r="G1146" s="72" t="e">
        <f>_xlfn.TEXTJOIN(", ",TRUE,B1146,#REF!,#REF!,#REF!,D1146,E1146)</f>
        <v>#REF!</v>
      </c>
      <c r="H1146" s="99"/>
      <c r="I1146" s="99"/>
      <c r="J1146" s="99"/>
      <c r="K1146" s="99"/>
      <c r="L1146" s="99"/>
      <c r="M1146" s="77" t="s">
        <v>88</v>
      </c>
    </row>
    <row r="1147" spans="1:13" s="103" customFormat="1" ht="10.9" hidden="1" customHeight="1" x14ac:dyDescent="0.25">
      <c r="A1147" s="89" t="s">
        <v>3507</v>
      </c>
      <c r="B1147" s="98" t="s">
        <v>3508</v>
      </c>
      <c r="C1147" s="101" t="s">
        <v>5348</v>
      </c>
      <c r="D1147" s="101" t="s">
        <v>3506</v>
      </c>
      <c r="E1147" s="74" t="s">
        <v>3509</v>
      </c>
      <c r="F1147" s="100"/>
      <c r="G1147" s="72" t="e">
        <f>_xlfn.TEXTJOIN(", ",TRUE,B1147,#REF!,#REF!,#REF!,D1147,E1147)</f>
        <v>#REF!</v>
      </c>
      <c r="H1147" s="99"/>
      <c r="I1147" s="99"/>
      <c r="J1147" s="99"/>
      <c r="K1147" s="99"/>
      <c r="L1147" s="99"/>
      <c r="M1147" s="77" t="s">
        <v>88</v>
      </c>
    </row>
    <row r="1148" spans="1:13" s="103" customFormat="1" ht="10.9" hidden="1" customHeight="1" x14ac:dyDescent="0.25">
      <c r="A1148" s="89" t="s">
        <v>3510</v>
      </c>
      <c r="B1148" s="98" t="s">
        <v>3511</v>
      </c>
      <c r="C1148" s="101" t="s">
        <v>5348</v>
      </c>
      <c r="D1148" s="101" t="s">
        <v>3512</v>
      </c>
      <c r="E1148" s="73" t="s">
        <v>3513</v>
      </c>
      <c r="F1148" s="100" t="s">
        <v>98</v>
      </c>
      <c r="G1148" s="72" t="e">
        <f>_xlfn.TEXTJOIN(", ",TRUE,B1148,#REF!,#REF!,#REF!,D1148,E1148)</f>
        <v>#REF!</v>
      </c>
      <c r="H1148" s="99">
        <v>45643</v>
      </c>
      <c r="I1148" s="99">
        <v>45402</v>
      </c>
      <c r="J1148" s="99"/>
      <c r="K1148" s="99"/>
      <c r="L1148" s="99"/>
      <c r="M1148" s="77" t="s">
        <v>3514</v>
      </c>
    </row>
    <row r="1149" spans="1:13" s="103" customFormat="1" ht="10.9" hidden="1" customHeight="1" x14ac:dyDescent="0.25">
      <c r="A1149" s="89" t="s">
        <v>1041</v>
      </c>
      <c r="B1149" s="102" t="s">
        <v>3515</v>
      </c>
      <c r="C1149" s="101" t="s">
        <v>5348</v>
      </c>
      <c r="D1149" s="101" t="s">
        <v>3516</v>
      </c>
      <c r="E1149" s="74" t="s">
        <v>3517</v>
      </c>
      <c r="F1149" s="100" t="s">
        <v>98</v>
      </c>
      <c r="G1149" s="72" t="e">
        <f>_xlfn.TEXTJOIN(", ",TRUE,B1149,#REF!,#REF!,#REF!,D1149,E1149)</f>
        <v>#REF!</v>
      </c>
      <c r="H1149" s="99"/>
      <c r="I1149" s="99"/>
      <c r="J1149" s="99"/>
      <c r="K1149" s="99"/>
      <c r="L1149" s="99"/>
      <c r="M1149" s="77" t="s">
        <v>88</v>
      </c>
    </row>
    <row r="1150" spans="1:13" s="103" customFormat="1" ht="10.9" hidden="1" customHeight="1" x14ac:dyDescent="0.25">
      <c r="A1150" s="89" t="s">
        <v>3518</v>
      </c>
      <c r="B1150" s="102" t="s">
        <v>3519</v>
      </c>
      <c r="C1150" s="101" t="s">
        <v>5348</v>
      </c>
      <c r="D1150" s="101" t="s">
        <v>3516</v>
      </c>
      <c r="E1150" s="73" t="s">
        <v>3506</v>
      </c>
      <c r="F1150" s="100" t="s">
        <v>81</v>
      </c>
      <c r="G1150" s="72" t="e">
        <f>_xlfn.TEXTJOIN(", ",TRUE,B1150,#REF!,#REF!,#REF!,D1150,E1150)</f>
        <v>#REF!</v>
      </c>
      <c r="H1150" s="99"/>
      <c r="I1150" s="99"/>
      <c r="J1150" s="99"/>
      <c r="K1150" s="99"/>
      <c r="L1150" s="99"/>
      <c r="M1150" s="77" t="s">
        <v>3520</v>
      </c>
    </row>
    <row r="1151" spans="1:13" s="103" customFormat="1" ht="10.9" hidden="1" customHeight="1" x14ac:dyDescent="0.25">
      <c r="A1151" s="89" t="s">
        <v>3521</v>
      </c>
      <c r="B1151" s="98" t="s">
        <v>3522</v>
      </c>
      <c r="C1151" s="101" t="s">
        <v>5349</v>
      </c>
      <c r="D1151" s="101" t="s">
        <v>3523</v>
      </c>
      <c r="E1151" s="73" t="s">
        <v>88</v>
      </c>
      <c r="F1151" s="100"/>
      <c r="G1151" s="72" t="e">
        <f>_xlfn.TEXTJOIN(", ",TRUE,B1151,#REF!,#REF!,#REF!,D1151,E1151)</f>
        <v>#REF!</v>
      </c>
      <c r="H1151" s="99"/>
      <c r="I1151" s="99"/>
      <c r="J1151" s="99"/>
      <c r="K1151" s="99"/>
      <c r="L1151" s="99"/>
      <c r="M1151" s="77" t="s">
        <v>88</v>
      </c>
    </row>
    <row r="1152" spans="1:13" s="103" customFormat="1" ht="10.9" hidden="1" customHeight="1" x14ac:dyDescent="0.25">
      <c r="A1152" s="89" t="s">
        <v>3524</v>
      </c>
      <c r="B1152" s="98" t="s">
        <v>3525</v>
      </c>
      <c r="C1152" s="101" t="s">
        <v>5349</v>
      </c>
      <c r="D1152" s="101" t="s">
        <v>3526</v>
      </c>
      <c r="E1152" s="73" t="s">
        <v>3527</v>
      </c>
      <c r="F1152" s="100" t="s">
        <v>81</v>
      </c>
      <c r="G1152" s="72" t="e">
        <f>_xlfn.TEXTJOIN(", ",TRUE,B1152,#REF!,#REF!,#REF!,D1152,E1152)</f>
        <v>#REF!</v>
      </c>
      <c r="H1152" s="99"/>
      <c r="I1152" s="99"/>
      <c r="J1152" s="99"/>
      <c r="K1152" s="99"/>
      <c r="L1152" s="99"/>
      <c r="M1152" s="77" t="s">
        <v>88</v>
      </c>
    </row>
    <row r="1153" spans="1:13" s="103" customFormat="1" ht="10.9" hidden="1" customHeight="1" x14ac:dyDescent="0.25">
      <c r="A1153" s="89" t="s">
        <v>3528</v>
      </c>
      <c r="B1153" s="98" t="s">
        <v>3529</v>
      </c>
      <c r="C1153" s="101" t="s">
        <v>5349</v>
      </c>
      <c r="D1153" s="101" t="s">
        <v>3530</v>
      </c>
      <c r="E1153" s="73" t="s">
        <v>3531</v>
      </c>
      <c r="F1153" s="100" t="s">
        <v>98</v>
      </c>
      <c r="G1153" s="72" t="e">
        <f>_xlfn.TEXTJOIN(", ",TRUE,B1153,#REF!,#REF!,#REF!,D1153,E1153)</f>
        <v>#REF!</v>
      </c>
      <c r="H1153" s="99"/>
      <c r="I1153" s="99"/>
      <c r="J1153" s="99"/>
      <c r="K1153" s="99"/>
      <c r="L1153" s="99"/>
      <c r="M1153" s="77" t="s">
        <v>3532</v>
      </c>
    </row>
    <row r="1154" spans="1:13" s="103" customFormat="1" ht="10.9" hidden="1" customHeight="1" x14ac:dyDescent="0.25">
      <c r="A1154" s="89" t="s">
        <v>3533</v>
      </c>
      <c r="B1154" s="104" t="s">
        <v>3534</v>
      </c>
      <c r="C1154" s="101" t="s">
        <v>5349</v>
      </c>
      <c r="D1154" s="101" t="s">
        <v>3530</v>
      </c>
      <c r="E1154" s="73" t="s">
        <v>3535</v>
      </c>
      <c r="F1154" s="100" t="s">
        <v>98</v>
      </c>
      <c r="G1154" s="72" t="e">
        <f>_xlfn.TEXTJOIN(", ",TRUE,B1154,#REF!,#REF!,#REF!,D1154,E1154)</f>
        <v>#REF!</v>
      </c>
      <c r="H1154" s="99"/>
      <c r="I1154" s="99"/>
      <c r="J1154" s="99"/>
      <c r="K1154" s="99"/>
      <c r="L1154" s="99"/>
      <c r="M1154" s="77">
        <v>0</v>
      </c>
    </row>
    <row r="1155" spans="1:13" s="103" customFormat="1" ht="10.9" hidden="1" customHeight="1" x14ac:dyDescent="0.25">
      <c r="A1155" s="89" t="s">
        <v>3536</v>
      </c>
      <c r="B1155" s="98" t="s">
        <v>3537</v>
      </c>
      <c r="C1155" s="101" t="s">
        <v>5349</v>
      </c>
      <c r="D1155" s="101" t="s">
        <v>3538</v>
      </c>
      <c r="E1155" s="73" t="s">
        <v>3539</v>
      </c>
      <c r="F1155" s="100" t="s">
        <v>81</v>
      </c>
      <c r="G1155" s="72" t="e">
        <f>_xlfn.TEXTJOIN(", ",TRUE,B1155,#REF!,#REF!,#REF!,D1155,E1155)</f>
        <v>#REF!</v>
      </c>
      <c r="H1155" s="99"/>
      <c r="I1155" s="99"/>
      <c r="J1155" s="99"/>
      <c r="K1155" s="99"/>
      <c r="L1155" s="99"/>
      <c r="M1155" s="77" t="s">
        <v>88</v>
      </c>
    </row>
    <row r="1156" spans="1:13" s="103" customFormat="1" ht="10.9" hidden="1" customHeight="1" x14ac:dyDescent="0.25">
      <c r="A1156" s="89" t="s">
        <v>3540</v>
      </c>
      <c r="B1156" s="102" t="s">
        <v>3541</v>
      </c>
      <c r="C1156" s="101" t="s">
        <v>5349</v>
      </c>
      <c r="D1156" s="101" t="s">
        <v>3542</v>
      </c>
      <c r="E1156" s="73" t="s">
        <v>3543</v>
      </c>
      <c r="F1156" s="100" t="s">
        <v>81</v>
      </c>
      <c r="G1156" s="72" t="e">
        <f>_xlfn.TEXTJOIN(", ",TRUE,B1156,#REF!,#REF!,#REF!,D1156,E1156)</f>
        <v>#REF!</v>
      </c>
      <c r="H1156" s="99"/>
      <c r="I1156" s="99"/>
      <c r="J1156" s="99"/>
      <c r="K1156" s="99"/>
      <c r="L1156" s="99"/>
      <c r="M1156" s="77">
        <v>0</v>
      </c>
    </row>
    <row r="1157" spans="1:13" s="103" customFormat="1" ht="10.9" hidden="1" customHeight="1" x14ac:dyDescent="0.25">
      <c r="A1157" s="89" t="s">
        <v>3544</v>
      </c>
      <c r="B1157" s="104" t="s">
        <v>3545</v>
      </c>
      <c r="C1157" s="101" t="s">
        <v>5349</v>
      </c>
      <c r="D1157" s="101" t="s">
        <v>3546</v>
      </c>
      <c r="E1157" s="73" t="s">
        <v>88</v>
      </c>
      <c r="F1157" s="100"/>
      <c r="G1157" s="72" t="e">
        <f>_xlfn.TEXTJOIN(", ",TRUE,B1157,#REF!,#REF!,#REF!,D1157,E1157)</f>
        <v>#REF!</v>
      </c>
      <c r="H1157" s="99"/>
      <c r="I1157" s="99"/>
      <c r="J1157" s="99"/>
      <c r="K1157" s="99"/>
      <c r="L1157" s="99"/>
      <c r="M1157" s="77" t="s">
        <v>88</v>
      </c>
    </row>
    <row r="1158" spans="1:13" s="103" customFormat="1" ht="10.9" hidden="1" customHeight="1" x14ac:dyDescent="0.25">
      <c r="A1158" s="89" t="e">
        <v>#VALUE!</v>
      </c>
      <c r="B1158" s="98" t="s">
        <v>3547</v>
      </c>
      <c r="C1158" s="101" t="s">
        <v>5349</v>
      </c>
      <c r="D1158" s="101" t="s">
        <v>3548</v>
      </c>
      <c r="E1158" s="73" t="s">
        <v>3548</v>
      </c>
      <c r="F1158" s="100" t="s">
        <v>81</v>
      </c>
      <c r="G1158" s="72" t="e">
        <f>_xlfn.TEXTJOIN(", ",TRUE,B1158,#REF!,#REF!,#REF!,D1158,E1158)</f>
        <v>#REF!</v>
      </c>
      <c r="H1158" s="99"/>
      <c r="I1158" s="99"/>
      <c r="J1158" s="99"/>
      <c r="K1158" s="99"/>
      <c r="L1158" s="99"/>
      <c r="M1158" s="77" t="s">
        <v>88</v>
      </c>
    </row>
    <row r="1159" spans="1:13" s="103" customFormat="1" ht="10.9" hidden="1" customHeight="1" x14ac:dyDescent="0.25">
      <c r="A1159" s="89" t="s">
        <v>3549</v>
      </c>
      <c r="B1159" s="98" t="s">
        <v>3550</v>
      </c>
      <c r="C1159" s="101" t="s">
        <v>5348</v>
      </c>
      <c r="D1159" s="101" t="s">
        <v>3551</v>
      </c>
      <c r="E1159" s="73" t="s">
        <v>88</v>
      </c>
      <c r="F1159" s="100" t="s">
        <v>98</v>
      </c>
      <c r="G1159" s="72" t="e">
        <f>_xlfn.TEXTJOIN(", ",TRUE,B1159,#REF!,#REF!,#REF!,D1159,E1159)</f>
        <v>#REF!</v>
      </c>
      <c r="H1159" s="99"/>
      <c r="I1159" s="99"/>
      <c r="J1159" s="99"/>
      <c r="K1159" s="99"/>
      <c r="L1159" s="99"/>
      <c r="M1159" s="77">
        <v>0</v>
      </c>
    </row>
    <row r="1160" spans="1:13" s="103" customFormat="1" ht="10.9" hidden="1" customHeight="1" x14ac:dyDescent="0.25">
      <c r="A1160" s="89" t="s">
        <v>3552</v>
      </c>
      <c r="B1160" s="98" t="s">
        <v>3553</v>
      </c>
      <c r="C1160" s="101" t="s">
        <v>5348</v>
      </c>
      <c r="D1160" s="101" t="s">
        <v>3554</v>
      </c>
      <c r="E1160" s="73" t="s">
        <v>3555</v>
      </c>
      <c r="F1160" s="100" t="s">
        <v>98</v>
      </c>
      <c r="G1160" s="72" t="e">
        <f>_xlfn.TEXTJOIN(", ",TRUE,B1160,#REF!,#REF!,#REF!,D1160,E1160)</f>
        <v>#REF!</v>
      </c>
      <c r="H1160" s="99">
        <v>44838</v>
      </c>
      <c r="I1160" s="99"/>
      <c r="J1160" s="99"/>
      <c r="K1160" s="99"/>
      <c r="L1160" s="99"/>
      <c r="M1160" s="77" t="s">
        <v>88</v>
      </c>
    </row>
    <row r="1161" spans="1:13" s="103" customFormat="1" ht="10.9" hidden="1" customHeight="1" x14ac:dyDescent="0.25">
      <c r="A1161" s="89" t="s">
        <v>3556</v>
      </c>
      <c r="B1161" s="104" t="s">
        <v>3557</v>
      </c>
      <c r="C1161" s="101" t="s">
        <v>5348</v>
      </c>
      <c r="D1161" s="101" t="s">
        <v>3554</v>
      </c>
      <c r="E1161" s="73" t="s">
        <v>88</v>
      </c>
      <c r="F1161" s="100" t="s">
        <v>221</v>
      </c>
      <c r="G1161" s="72" t="e">
        <f>_xlfn.TEXTJOIN(", ",TRUE,B1161,#REF!,#REF!,#REF!,D1161,E1161)</f>
        <v>#REF!</v>
      </c>
      <c r="H1161" s="99"/>
      <c r="I1161" s="99"/>
      <c r="J1161" s="99"/>
      <c r="K1161" s="99"/>
      <c r="L1161" s="99"/>
      <c r="M1161" s="77" t="s">
        <v>945</v>
      </c>
    </row>
    <row r="1162" spans="1:13" s="103" customFormat="1" ht="10.9" hidden="1" customHeight="1" x14ac:dyDescent="0.25">
      <c r="A1162" s="89" t="s">
        <v>3558</v>
      </c>
      <c r="B1162" s="98" t="s">
        <v>3559</v>
      </c>
      <c r="C1162" s="101" t="s">
        <v>5348</v>
      </c>
      <c r="D1162" s="101" t="s">
        <v>3554</v>
      </c>
      <c r="E1162" s="73" t="s">
        <v>88</v>
      </c>
      <c r="F1162" s="100" t="s">
        <v>98</v>
      </c>
      <c r="G1162" s="72" t="e">
        <f>_xlfn.TEXTJOIN(", ",TRUE,B1162,#REF!,#REF!,#REF!,D1162,E1162)</f>
        <v>#REF!</v>
      </c>
      <c r="H1162" s="99"/>
      <c r="I1162" s="99"/>
      <c r="J1162" s="99"/>
      <c r="K1162" s="99"/>
      <c r="L1162" s="99"/>
      <c r="M1162" s="77" t="s">
        <v>88</v>
      </c>
    </row>
    <row r="1163" spans="1:13" s="103" customFormat="1" ht="10.9" hidden="1" customHeight="1" x14ac:dyDescent="0.25">
      <c r="A1163" s="89" t="s">
        <v>3560</v>
      </c>
      <c r="B1163" s="98" t="s">
        <v>3561</v>
      </c>
      <c r="C1163" s="101" t="s">
        <v>5348</v>
      </c>
      <c r="D1163" s="101" t="s">
        <v>3554</v>
      </c>
      <c r="E1163" s="73" t="s">
        <v>3554</v>
      </c>
      <c r="F1163" s="100" t="s">
        <v>98</v>
      </c>
      <c r="G1163" s="72" t="e">
        <f>_xlfn.TEXTJOIN(", ",TRUE,B1163,#REF!,#REF!,#REF!,D1163,E1163)</f>
        <v>#REF!</v>
      </c>
      <c r="H1163" s="99"/>
      <c r="I1163" s="99">
        <v>44967</v>
      </c>
      <c r="J1163" s="99"/>
      <c r="K1163" s="99"/>
      <c r="L1163" s="99"/>
      <c r="M1163" s="77" t="s">
        <v>88</v>
      </c>
    </row>
    <row r="1164" spans="1:13" s="103" customFormat="1" ht="10.9" hidden="1" customHeight="1" x14ac:dyDescent="0.25">
      <c r="A1164" s="89" t="s">
        <v>3562</v>
      </c>
      <c r="B1164" s="102" t="s">
        <v>3563</v>
      </c>
      <c r="C1164" s="101" t="s">
        <v>5348</v>
      </c>
      <c r="D1164" s="101" t="s">
        <v>3564</v>
      </c>
      <c r="E1164" s="73" t="s">
        <v>88</v>
      </c>
      <c r="F1164" s="100" t="s">
        <v>3565</v>
      </c>
      <c r="G1164" s="72" t="e">
        <f>_xlfn.TEXTJOIN(", ",TRUE,B1164,#REF!,#REF!,#REF!,D1164,E1164)</f>
        <v>#REF!</v>
      </c>
      <c r="H1164" s="99"/>
      <c r="I1164" s="99"/>
      <c r="J1164" s="99"/>
      <c r="K1164" s="99"/>
      <c r="L1164" s="99"/>
      <c r="M1164" s="77" t="s">
        <v>88</v>
      </c>
    </row>
    <row r="1165" spans="1:13" s="103" customFormat="1" ht="10.9" hidden="1" customHeight="1" x14ac:dyDescent="0.25">
      <c r="A1165" s="89" t="s">
        <v>3566</v>
      </c>
      <c r="B1165" s="102" t="s">
        <v>3567</v>
      </c>
      <c r="C1165" s="101" t="s">
        <v>5348</v>
      </c>
      <c r="D1165" s="101" t="s">
        <v>3568</v>
      </c>
      <c r="E1165" s="73" t="s">
        <v>88</v>
      </c>
      <c r="F1165" s="100" t="s">
        <v>98</v>
      </c>
      <c r="G1165" s="72" t="e">
        <f>_xlfn.TEXTJOIN(", ",TRUE,B1165,#REF!,#REF!,#REF!,D1165,E1165)</f>
        <v>#REF!</v>
      </c>
      <c r="H1165" s="99"/>
      <c r="I1165" s="99"/>
      <c r="J1165" s="99"/>
      <c r="K1165" s="99"/>
      <c r="L1165" s="99"/>
      <c r="M1165" s="77" t="s">
        <v>88</v>
      </c>
    </row>
    <row r="1166" spans="1:13" s="103" customFormat="1" ht="10.9" hidden="1" customHeight="1" x14ac:dyDescent="0.25">
      <c r="A1166" s="89" t="s">
        <v>465</v>
      </c>
      <c r="B1166" s="102" t="s">
        <v>3569</v>
      </c>
      <c r="C1166" s="101" t="s">
        <v>5348</v>
      </c>
      <c r="D1166" s="101" t="s">
        <v>3568</v>
      </c>
      <c r="E1166" s="73" t="s">
        <v>88</v>
      </c>
      <c r="F1166" s="100" t="s">
        <v>98</v>
      </c>
      <c r="G1166" s="72" t="e">
        <f>_xlfn.TEXTJOIN(", ",TRUE,B1166,#REF!,#REF!,#REF!,D1166,E1166)</f>
        <v>#REF!</v>
      </c>
      <c r="H1166" s="99"/>
      <c r="I1166" s="99"/>
      <c r="J1166" s="99"/>
      <c r="K1166" s="99"/>
      <c r="L1166" s="99"/>
      <c r="M1166" s="77" t="s">
        <v>3570</v>
      </c>
    </row>
    <row r="1167" spans="1:13" s="103" customFormat="1" ht="10.9" hidden="1" customHeight="1" x14ac:dyDescent="0.25">
      <c r="A1167" s="89" t="s">
        <v>3571</v>
      </c>
      <c r="B1167" s="98" t="s">
        <v>3572</v>
      </c>
      <c r="C1167" s="101" t="s">
        <v>5349</v>
      </c>
      <c r="D1167" s="101" t="s">
        <v>3573</v>
      </c>
      <c r="E1167" s="73" t="s">
        <v>88</v>
      </c>
      <c r="F1167" s="100"/>
      <c r="G1167" s="72" t="e">
        <f>_xlfn.TEXTJOIN(", ",TRUE,B1167,#REF!,#REF!,#REF!,D1167,E1167)</f>
        <v>#REF!</v>
      </c>
      <c r="H1167" s="99"/>
      <c r="I1167" s="99"/>
      <c r="J1167" s="99"/>
      <c r="K1167" s="99"/>
      <c r="L1167" s="99"/>
      <c r="M1167" s="77" t="s">
        <v>3574</v>
      </c>
    </row>
    <row r="1168" spans="1:13" s="103" customFormat="1" ht="10.9" hidden="1" customHeight="1" x14ac:dyDescent="0.25">
      <c r="A1168" s="89" t="s">
        <v>3575</v>
      </c>
      <c r="B1168" s="102" t="s">
        <v>3576</v>
      </c>
      <c r="C1168" s="101" t="s">
        <v>5349</v>
      </c>
      <c r="D1168" s="101" t="s">
        <v>3577</v>
      </c>
      <c r="E1168" s="73" t="s">
        <v>3577</v>
      </c>
      <c r="F1168" s="100" t="s">
        <v>81</v>
      </c>
      <c r="G1168" s="72" t="e">
        <f>_xlfn.TEXTJOIN(", ",TRUE,B1168,#REF!,#REF!,#REF!,D1168,E1168)</f>
        <v>#REF!</v>
      </c>
      <c r="H1168" s="99"/>
      <c r="I1168" s="99"/>
      <c r="J1168" s="99"/>
      <c r="K1168" s="99"/>
      <c r="L1168" s="99"/>
      <c r="M1168" s="77">
        <v>0</v>
      </c>
    </row>
    <row r="1169" spans="1:13" s="103" customFormat="1" ht="10.9" hidden="1" customHeight="1" x14ac:dyDescent="0.25">
      <c r="A1169" s="89" t="s">
        <v>3578</v>
      </c>
      <c r="B1169" s="102" t="s">
        <v>3579</v>
      </c>
      <c r="C1169" s="101" t="s">
        <v>5349</v>
      </c>
      <c r="D1169" s="101" t="s">
        <v>3580</v>
      </c>
      <c r="E1169" s="73" t="s">
        <v>3580</v>
      </c>
      <c r="F1169" s="100" t="s">
        <v>81</v>
      </c>
      <c r="G1169" s="72" t="e">
        <f>_xlfn.TEXTJOIN(", ",TRUE,B1169,#REF!,#REF!,#REF!,D1169,E1169)</f>
        <v>#REF!</v>
      </c>
      <c r="H1169" s="99"/>
      <c r="I1169" s="99"/>
      <c r="J1169" s="99"/>
      <c r="K1169" s="99"/>
      <c r="L1169" s="99"/>
      <c r="M1169" s="77">
        <v>0</v>
      </c>
    </row>
    <row r="1170" spans="1:13" s="103" customFormat="1" ht="10.9" hidden="1" customHeight="1" x14ac:dyDescent="0.25">
      <c r="A1170" s="89" t="s">
        <v>3581</v>
      </c>
      <c r="B1170" s="98" t="s">
        <v>3582</v>
      </c>
      <c r="C1170" s="101" t="s">
        <v>5348</v>
      </c>
      <c r="D1170" s="101" t="s">
        <v>3583</v>
      </c>
      <c r="E1170" s="74" t="s">
        <v>3584</v>
      </c>
      <c r="F1170" s="100" t="s">
        <v>348</v>
      </c>
      <c r="G1170" s="72" t="e">
        <f>_xlfn.TEXTJOIN(", ",TRUE,B1170,#REF!,#REF!,#REF!,D1170,E1170)</f>
        <v>#REF!</v>
      </c>
      <c r="H1170" s="99">
        <v>45347</v>
      </c>
      <c r="I1170" s="99"/>
      <c r="J1170" s="99"/>
      <c r="K1170" s="99"/>
      <c r="L1170" s="99"/>
      <c r="M1170" s="77" t="s">
        <v>88</v>
      </c>
    </row>
    <row r="1171" spans="1:13" s="103" customFormat="1" ht="10.9" hidden="1" customHeight="1" x14ac:dyDescent="0.25">
      <c r="A1171" s="89" t="s">
        <v>3585</v>
      </c>
      <c r="B1171" s="98" t="s">
        <v>3586</v>
      </c>
      <c r="C1171" s="101" t="s">
        <v>5348</v>
      </c>
      <c r="D1171" s="101" t="s">
        <v>3583</v>
      </c>
      <c r="E1171" s="73" t="s">
        <v>3583</v>
      </c>
      <c r="F1171" s="100" t="s">
        <v>98</v>
      </c>
      <c r="G1171" s="72" t="e">
        <f>_xlfn.TEXTJOIN(", ",TRUE,B1171,#REF!,#REF!,#REF!,D1171,E1171)</f>
        <v>#REF!</v>
      </c>
      <c r="H1171" s="99">
        <v>45229</v>
      </c>
      <c r="I1171" s="99"/>
      <c r="J1171" s="99"/>
      <c r="K1171" s="99"/>
      <c r="L1171" s="99"/>
      <c r="M1171" s="77" t="s">
        <v>3587</v>
      </c>
    </row>
    <row r="1172" spans="1:13" s="103" customFormat="1" ht="10.9" hidden="1" customHeight="1" x14ac:dyDescent="0.25">
      <c r="A1172" s="89" t="s">
        <v>3588</v>
      </c>
      <c r="B1172" s="102" t="s">
        <v>3589</v>
      </c>
      <c r="C1172" s="101" t="s">
        <v>5349</v>
      </c>
      <c r="D1172" s="101" t="s">
        <v>3590</v>
      </c>
      <c r="E1172" s="73" t="s">
        <v>3590</v>
      </c>
      <c r="F1172" s="100" t="s">
        <v>81</v>
      </c>
      <c r="G1172" s="72" t="e">
        <f>_xlfn.TEXTJOIN(", ",TRUE,B1172,#REF!,#REF!,#REF!,D1172,E1172)</f>
        <v>#REF!</v>
      </c>
      <c r="H1172" s="99"/>
      <c r="I1172" s="99"/>
      <c r="J1172" s="99"/>
      <c r="K1172" s="99"/>
      <c r="L1172" s="99"/>
      <c r="M1172" s="77" t="s">
        <v>3078</v>
      </c>
    </row>
    <row r="1173" spans="1:13" s="103" customFormat="1" ht="10.9" hidden="1" customHeight="1" x14ac:dyDescent="0.25">
      <c r="A1173" s="89" t="s">
        <v>3591</v>
      </c>
      <c r="B1173" s="98" t="s">
        <v>3592</v>
      </c>
      <c r="C1173" s="101" t="s">
        <v>5349</v>
      </c>
      <c r="D1173" s="101" t="s">
        <v>3590</v>
      </c>
      <c r="E1173" s="73" t="s">
        <v>88</v>
      </c>
      <c r="F1173" s="100"/>
      <c r="G1173" s="72" t="e">
        <f>_xlfn.TEXTJOIN(", ",TRUE,B1173,#REF!,#REF!,#REF!,D1173,E1173)</f>
        <v>#REF!</v>
      </c>
      <c r="H1173" s="99"/>
      <c r="I1173" s="99"/>
      <c r="J1173" s="99"/>
      <c r="K1173" s="99"/>
      <c r="L1173" s="99"/>
      <c r="M1173" s="77" t="s">
        <v>88</v>
      </c>
    </row>
    <row r="1174" spans="1:13" s="103" customFormat="1" ht="10.9" hidden="1" customHeight="1" x14ac:dyDescent="0.25">
      <c r="A1174" s="89" t="s">
        <v>3593</v>
      </c>
      <c r="B1174" s="98" t="s">
        <v>3594</v>
      </c>
      <c r="C1174" s="101" t="s">
        <v>5349</v>
      </c>
      <c r="D1174" s="101" t="s">
        <v>3595</v>
      </c>
      <c r="E1174" s="73" t="s">
        <v>3595</v>
      </c>
      <c r="F1174" s="100" t="s">
        <v>3121</v>
      </c>
      <c r="G1174" s="72" t="e">
        <f>_xlfn.TEXTJOIN(", ",TRUE,B1174,#REF!,#REF!,#REF!,D1174,E1174)</f>
        <v>#REF!</v>
      </c>
      <c r="H1174" s="99"/>
      <c r="I1174" s="99"/>
      <c r="J1174" s="99"/>
      <c r="K1174" s="99"/>
      <c r="L1174" s="99"/>
      <c r="M1174" s="77" t="s">
        <v>3596</v>
      </c>
    </row>
    <row r="1175" spans="1:13" s="103" customFormat="1" ht="10.9" hidden="1" customHeight="1" x14ac:dyDescent="0.25">
      <c r="A1175" s="89" t="s">
        <v>3597</v>
      </c>
      <c r="B1175" s="102" t="s">
        <v>3598</v>
      </c>
      <c r="C1175" s="101" t="s">
        <v>5348</v>
      </c>
      <c r="D1175" s="101" t="s">
        <v>3599</v>
      </c>
      <c r="E1175" s="73" t="s">
        <v>88</v>
      </c>
      <c r="F1175" s="100" t="s">
        <v>118</v>
      </c>
      <c r="G1175" s="72" t="e">
        <f>_xlfn.TEXTJOIN(", ",TRUE,B1175,#REF!,#REF!,#REF!,D1175,E1175)</f>
        <v>#REF!</v>
      </c>
      <c r="H1175" s="99"/>
      <c r="I1175" s="99"/>
      <c r="J1175" s="99"/>
      <c r="K1175" s="99"/>
      <c r="L1175" s="99"/>
      <c r="M1175" s="77" t="s">
        <v>3600</v>
      </c>
    </row>
    <row r="1176" spans="1:13" s="103" customFormat="1" ht="10.9" hidden="1" customHeight="1" x14ac:dyDescent="0.25">
      <c r="A1176" s="89" t="s">
        <v>3601</v>
      </c>
      <c r="B1176" s="102" t="s">
        <v>3602</v>
      </c>
      <c r="C1176" s="101" t="s">
        <v>5348</v>
      </c>
      <c r="D1176" s="101" t="s">
        <v>3599</v>
      </c>
      <c r="E1176" s="73" t="s">
        <v>3599</v>
      </c>
      <c r="F1176" s="100" t="s">
        <v>98</v>
      </c>
      <c r="G1176" s="72" t="e">
        <f>_xlfn.TEXTJOIN(", ",TRUE,B1176,#REF!,#REF!,#REF!,D1176,E1176)</f>
        <v>#REF!</v>
      </c>
      <c r="H1176" s="99"/>
      <c r="I1176" s="99"/>
      <c r="J1176" s="99"/>
      <c r="K1176" s="99"/>
      <c r="L1176" s="99"/>
      <c r="M1176" s="77" t="s">
        <v>88</v>
      </c>
    </row>
    <row r="1177" spans="1:13" s="103" customFormat="1" ht="10.9" hidden="1" customHeight="1" x14ac:dyDescent="0.25">
      <c r="A1177" s="89" t="s">
        <v>3603</v>
      </c>
      <c r="B1177" s="98" t="s">
        <v>3604</v>
      </c>
      <c r="C1177" s="101" t="s">
        <v>5348</v>
      </c>
      <c r="D1177" s="101" t="s">
        <v>3605</v>
      </c>
      <c r="E1177" s="74" t="s">
        <v>3606</v>
      </c>
      <c r="F1177" s="100" t="s">
        <v>98</v>
      </c>
      <c r="G1177" s="72" t="e">
        <f>_xlfn.TEXTJOIN(", ",TRUE,B1177,#REF!,#REF!,#REF!,D1177,E1177)</f>
        <v>#REF!</v>
      </c>
      <c r="H1177" s="99">
        <v>45230</v>
      </c>
      <c r="I1177" s="99"/>
      <c r="J1177" s="99"/>
      <c r="K1177" s="99"/>
      <c r="L1177" s="99"/>
      <c r="M1177" s="77" t="s">
        <v>88</v>
      </c>
    </row>
    <row r="1178" spans="1:13" s="103" customFormat="1" ht="10.9" hidden="1" customHeight="1" x14ac:dyDescent="0.25">
      <c r="A1178" s="89" t="s">
        <v>3607</v>
      </c>
      <c r="B1178" s="104" t="s">
        <v>3608</v>
      </c>
      <c r="C1178" s="101" t="s">
        <v>5349</v>
      </c>
      <c r="D1178" s="101" t="s">
        <v>3609</v>
      </c>
      <c r="E1178" s="73" t="s">
        <v>88</v>
      </c>
      <c r="F1178" s="100" t="s">
        <v>98</v>
      </c>
      <c r="G1178" s="72" t="e">
        <f>_xlfn.TEXTJOIN(", ",TRUE,B1178,#REF!,#REF!,#REF!,D1178,E1178)</f>
        <v>#REF!</v>
      </c>
      <c r="H1178" s="99"/>
      <c r="I1178" s="99"/>
      <c r="J1178" s="99"/>
      <c r="K1178" s="99"/>
      <c r="L1178" s="99"/>
      <c r="M1178" s="77" t="s">
        <v>88</v>
      </c>
    </row>
    <row r="1179" spans="1:13" s="103" customFormat="1" ht="10.9" hidden="1" customHeight="1" x14ac:dyDescent="0.25">
      <c r="A1179" s="89" t="s">
        <v>3610</v>
      </c>
      <c r="B1179" s="104" t="s">
        <v>3611</v>
      </c>
      <c r="C1179" s="101" t="s">
        <v>5349</v>
      </c>
      <c r="D1179" s="101" t="s">
        <v>3609</v>
      </c>
      <c r="E1179" s="73" t="s">
        <v>88</v>
      </c>
      <c r="F1179" s="100" t="s">
        <v>98</v>
      </c>
      <c r="G1179" s="72" t="e">
        <f>_xlfn.TEXTJOIN(", ",TRUE,B1179,#REF!,#REF!,#REF!,D1179,E1179)</f>
        <v>#REF!</v>
      </c>
      <c r="H1179" s="99"/>
      <c r="I1179" s="99"/>
      <c r="J1179" s="99"/>
      <c r="K1179" s="99"/>
      <c r="L1179" s="99"/>
      <c r="M1179" s="77" t="s">
        <v>88</v>
      </c>
    </row>
    <row r="1180" spans="1:13" s="103" customFormat="1" ht="10.9" hidden="1" customHeight="1" x14ac:dyDescent="0.25">
      <c r="A1180" s="89" t="s">
        <v>3612</v>
      </c>
      <c r="B1180" s="98" t="s">
        <v>3613</v>
      </c>
      <c r="C1180" s="101" t="s">
        <v>5348</v>
      </c>
      <c r="D1180" s="101" t="s">
        <v>3609</v>
      </c>
      <c r="E1180" s="74" t="s">
        <v>3614</v>
      </c>
      <c r="F1180" s="100" t="s">
        <v>98</v>
      </c>
      <c r="G1180" s="72" t="e">
        <f>_xlfn.TEXTJOIN(", ",TRUE,B1180,#REF!,#REF!,#REF!,D1180,E1180)</f>
        <v>#REF!</v>
      </c>
      <c r="H1180" s="99"/>
      <c r="I1180" s="99"/>
      <c r="J1180" s="99"/>
      <c r="K1180" s="99"/>
      <c r="L1180" s="99"/>
      <c r="M1180" s="77" t="s">
        <v>3615</v>
      </c>
    </row>
    <row r="1181" spans="1:13" s="103" customFormat="1" ht="10.9" hidden="1" customHeight="1" x14ac:dyDescent="0.25">
      <c r="A1181" s="89" t="s">
        <v>3616</v>
      </c>
      <c r="B1181" s="104" t="s">
        <v>3617</v>
      </c>
      <c r="C1181" s="101" t="s">
        <v>5349</v>
      </c>
      <c r="D1181" s="101" t="s">
        <v>3618</v>
      </c>
      <c r="E1181" s="74" t="s">
        <v>3619</v>
      </c>
      <c r="F1181" s="100" t="s">
        <v>98</v>
      </c>
      <c r="G1181" s="72" t="e">
        <f>_xlfn.TEXTJOIN(", ",TRUE,B1181,#REF!,#REF!,#REF!,D1181,E1181)</f>
        <v>#REF!</v>
      </c>
      <c r="H1181" s="99"/>
      <c r="I1181" s="99"/>
      <c r="J1181" s="99"/>
      <c r="K1181" s="99"/>
      <c r="L1181" s="99"/>
      <c r="M1181" s="77" t="s">
        <v>3620</v>
      </c>
    </row>
    <row r="1182" spans="1:13" s="103" customFormat="1" ht="10.9" hidden="1" customHeight="1" x14ac:dyDescent="0.25">
      <c r="A1182" s="89" t="s">
        <v>3621</v>
      </c>
      <c r="B1182" s="98" t="s">
        <v>3622</v>
      </c>
      <c r="C1182" s="101" t="s">
        <v>5348</v>
      </c>
      <c r="D1182" s="101" t="s">
        <v>3623</v>
      </c>
      <c r="E1182" s="74" t="s">
        <v>3624</v>
      </c>
      <c r="F1182" s="100" t="s">
        <v>449</v>
      </c>
      <c r="G1182" s="72" t="e">
        <f>_xlfn.TEXTJOIN(", ",TRUE,B1182,#REF!,#REF!,#REF!,D1182,E1182)</f>
        <v>#REF!</v>
      </c>
      <c r="H1182" s="99">
        <v>44912</v>
      </c>
      <c r="I1182" s="99"/>
      <c r="J1182" s="99"/>
      <c r="K1182" s="99"/>
      <c r="L1182" s="99"/>
      <c r="M1182" s="77">
        <v>0</v>
      </c>
    </row>
    <row r="1183" spans="1:13" s="103" customFormat="1" ht="10.9" hidden="1" customHeight="1" x14ac:dyDescent="0.25">
      <c r="A1183" s="89" t="s">
        <v>3625</v>
      </c>
      <c r="B1183" s="98" t="s">
        <v>3626</v>
      </c>
      <c r="C1183" s="101" t="s">
        <v>5348</v>
      </c>
      <c r="D1183" s="101" t="s">
        <v>3623</v>
      </c>
      <c r="E1183" s="74" t="s">
        <v>3627</v>
      </c>
      <c r="F1183" s="100" t="s">
        <v>449</v>
      </c>
      <c r="G1183" s="72" t="e">
        <f>_xlfn.TEXTJOIN(", ",TRUE,B1183,#REF!,#REF!,#REF!,D1183,E1183)</f>
        <v>#REF!</v>
      </c>
      <c r="H1183" s="99">
        <v>45687</v>
      </c>
      <c r="I1183" s="99"/>
      <c r="J1183" s="99"/>
      <c r="K1183" s="99"/>
      <c r="L1183" s="99"/>
      <c r="M1183" s="77" t="s">
        <v>3628</v>
      </c>
    </row>
    <row r="1184" spans="1:13" s="103" customFormat="1" ht="10.9" hidden="1" customHeight="1" x14ac:dyDescent="0.25">
      <c r="A1184" s="89" t="s">
        <v>3629</v>
      </c>
      <c r="B1184" s="98" t="s">
        <v>3630</v>
      </c>
      <c r="C1184" s="101" t="s">
        <v>5348</v>
      </c>
      <c r="D1184" s="101" t="s">
        <v>3623</v>
      </c>
      <c r="E1184" s="74" t="s">
        <v>3631</v>
      </c>
      <c r="F1184" s="100" t="s">
        <v>98</v>
      </c>
      <c r="G1184" s="72" t="e">
        <f>_xlfn.TEXTJOIN(", ",TRUE,B1184,#REF!,#REF!,#REF!,D1184,E1184)</f>
        <v>#REF!</v>
      </c>
      <c r="H1184" s="99"/>
      <c r="I1184" s="99"/>
      <c r="J1184" s="99"/>
      <c r="K1184" s="99"/>
      <c r="L1184" s="99"/>
      <c r="M1184" s="77" t="s">
        <v>88</v>
      </c>
    </row>
    <row r="1185" spans="1:12" ht="9" hidden="1" customHeight="1" x14ac:dyDescent="0.25">
      <c r="A1185" s="89" t="s">
        <v>3632</v>
      </c>
      <c r="B1185" s="98" t="s">
        <v>3633</v>
      </c>
      <c r="C1185" s="101" t="s">
        <v>5348</v>
      </c>
      <c r="D1185" s="101" t="s">
        <v>3623</v>
      </c>
      <c r="E1185" s="74" t="s">
        <v>3634</v>
      </c>
      <c r="F1185" s="100" t="s">
        <v>449</v>
      </c>
      <c r="G1185" s="72" t="e">
        <f>_xlfn.TEXTJOIN(", ",TRUE,B1185,#REF!,#REF!,#REF!,D1185,E1185)</f>
        <v>#REF!</v>
      </c>
      <c r="H1185" s="99">
        <v>45155</v>
      </c>
      <c r="I1185" s="99"/>
      <c r="J1185" s="99"/>
      <c r="K1185" s="99"/>
      <c r="L1185" s="99">
        <v>45154</v>
      </c>
    </row>
    <row r="1186" spans="1:12" hidden="1" x14ac:dyDescent="0.25">
      <c r="A1186" s="89" t="s">
        <v>3635</v>
      </c>
      <c r="B1186" s="98" t="s">
        <v>3636</v>
      </c>
      <c r="C1186" s="101" t="s">
        <v>5349</v>
      </c>
      <c r="D1186" s="101" t="s">
        <v>3637</v>
      </c>
      <c r="E1186" s="73" t="s">
        <v>88</v>
      </c>
      <c r="F1186" s="100" t="s">
        <v>98</v>
      </c>
      <c r="G1186" s="72" t="e">
        <f>_xlfn.TEXTJOIN(", ",TRUE,B1186,#REF!,#REF!,#REF!,D1186,E1186)</f>
        <v>#REF!</v>
      </c>
      <c r="H1186" s="99"/>
      <c r="I1186" s="99"/>
      <c r="J1186" s="99"/>
      <c r="K1186" s="99"/>
      <c r="L1186" s="99"/>
    </row>
    <row r="1187" spans="1:12" hidden="1" x14ac:dyDescent="0.25">
      <c r="A1187" s="89" t="s">
        <v>3638</v>
      </c>
      <c r="B1187" s="98" t="s">
        <v>3639</v>
      </c>
    </row>
    <row r="1188" spans="1:12" hidden="1" x14ac:dyDescent="0.25">
      <c r="A1188" s="89"/>
      <c r="B1188" s="98" t="s">
        <v>3640</v>
      </c>
    </row>
    <row r="1189" spans="1:12" hidden="1" x14ac:dyDescent="0.25">
      <c r="A1189" s="89"/>
      <c r="B1189" s="98" t="s">
        <v>3641</v>
      </c>
    </row>
    <row r="1190" spans="1:12" hidden="1" x14ac:dyDescent="0.25">
      <c r="A1190" s="89"/>
      <c r="B1190" s="98" t="s">
        <v>3642</v>
      </c>
    </row>
    <row r="1191" spans="1:12" hidden="1" x14ac:dyDescent="0.25">
      <c r="A1191" s="89"/>
      <c r="B1191" s="98" t="s">
        <v>3643</v>
      </c>
    </row>
    <row r="1192" spans="1:12" hidden="1" x14ac:dyDescent="0.25">
      <c r="A1192" s="89"/>
      <c r="B1192" s="98" t="s">
        <v>3644</v>
      </c>
    </row>
    <row r="1193" spans="1:12" hidden="1" x14ac:dyDescent="0.25">
      <c r="A1193" s="89"/>
      <c r="B1193" s="98" t="s">
        <v>3645</v>
      </c>
    </row>
    <row r="1194" spans="1:12" hidden="1" x14ac:dyDescent="0.25">
      <c r="A1194" s="89"/>
      <c r="B1194" s="98" t="s">
        <v>3646</v>
      </c>
    </row>
    <row r="1195" spans="1:12" hidden="1" x14ac:dyDescent="0.25">
      <c r="A1195" s="89"/>
      <c r="B1195" s="98" t="s">
        <v>3647</v>
      </c>
    </row>
    <row r="1196" spans="1:12" hidden="1" x14ac:dyDescent="0.25">
      <c r="A1196" s="89"/>
      <c r="B1196" s="98" t="s">
        <v>3648</v>
      </c>
    </row>
    <row r="1197" spans="1:12" hidden="1" x14ac:dyDescent="0.25">
      <c r="A1197" s="89"/>
      <c r="B1197" s="98" t="s">
        <v>3649</v>
      </c>
    </row>
    <row r="1198" spans="1:12" hidden="1" x14ac:dyDescent="0.25">
      <c r="A1198" s="89"/>
      <c r="B1198" s="98" t="s">
        <v>3650</v>
      </c>
    </row>
    <row r="1199" spans="1:12" hidden="1" x14ac:dyDescent="0.25">
      <c r="A1199" s="89"/>
      <c r="B1199" s="98" t="s">
        <v>3651</v>
      </c>
    </row>
    <row r="1200" spans="1:12" hidden="1" x14ac:dyDescent="0.25">
      <c r="A1200" s="89"/>
      <c r="B1200" s="98" t="s">
        <v>3652</v>
      </c>
    </row>
    <row r="1201" spans="1:2" hidden="1" x14ac:dyDescent="0.25">
      <c r="A1201" s="89"/>
      <c r="B1201" s="98" t="s">
        <v>3653</v>
      </c>
    </row>
    <row r="1202" spans="1:2" hidden="1" x14ac:dyDescent="0.25">
      <c r="A1202" s="89"/>
      <c r="B1202" s="98" t="s">
        <v>3654</v>
      </c>
    </row>
    <row r="1494" spans="5:13" x14ac:dyDescent="0.25">
      <c r="E1494" s="75"/>
      <c r="G1494" s="79"/>
      <c r="M1494" s="75"/>
    </row>
  </sheetData>
  <sheetProtection formatCells="0" formatColumns="0" insertRows="0" autoFilter="0"/>
  <autoFilter ref="A3:L1202" xr:uid="{00000000-0001-0000-0100-000000000000}">
    <filterColumn colId="2">
      <filters>
        <filter val="TIER 1"/>
      </filters>
    </filterColumn>
    <sortState xmlns:xlrd2="http://schemas.microsoft.com/office/spreadsheetml/2017/richdata2" ref="A19:L1186">
      <sortCondition ref="D3:D1202"/>
    </sortState>
  </autoFilter>
  <sortState xmlns:xlrd2="http://schemas.microsoft.com/office/spreadsheetml/2017/richdata2" ref="B7:L733">
    <sortCondition ref="B7:B733"/>
  </sortState>
  <dataConsolidate/>
  <phoneticPr fontId="44" type="noConversion"/>
  <conditionalFormatting sqref="H4:L1184">
    <cfRule type="cellIs" dxfId="9" priority="16" operator="lessThanOrEqual">
      <formula>#REF!</formula>
    </cfRule>
  </conditionalFormatting>
  <conditionalFormatting sqref="A4:XFD1944">
    <cfRule type="expression" dxfId="8" priority="20" stopIfTrue="1">
      <formula>#REF!="RESTRICTED"</formula>
    </cfRule>
  </conditionalFormatting>
  <hyperlinks>
    <hyperlink ref="A122" r:id="rId1" xr:uid="{6CA07F35-62BB-41B2-A1D4-138D371A6413}"/>
    <hyperlink ref="A92" r:id="rId2" xr:uid="{593969DD-FBB7-48FF-88C1-3AAA5BFB81E5}"/>
    <hyperlink ref="A327" r:id="rId3" xr:uid="{82022F9E-8E50-4A10-B57E-8F7D4C789140}"/>
    <hyperlink ref="A840" r:id="rId4" xr:uid="{BB229020-8C90-4BBE-A769-DC4A6F59A2F2}"/>
    <hyperlink ref="A470" r:id="rId5" xr:uid="{D86B79B6-D8D5-425E-A743-D26405BCF6FD}"/>
    <hyperlink ref="A979" r:id="rId6" xr:uid="{C4674C34-BFDF-4E26-98D1-68E4CF5E7433}"/>
    <hyperlink ref="A612" r:id="rId7" xr:uid="{04214873-9076-486C-B0A8-F668D40A3549}"/>
    <hyperlink ref="A349" r:id="rId8" xr:uid="{CC608F4F-19BB-4BC1-AF8A-96238CB50F32}"/>
    <hyperlink ref="A143" r:id="rId9" xr:uid="{066F94E5-6E77-4D62-9FA0-766F10CC207B}"/>
    <hyperlink ref="A1014" r:id="rId10" xr:uid="{83BC8622-339A-49C6-9C49-9116C1CF4077}"/>
    <hyperlink ref="A566" r:id="rId11" xr:uid="{11B0B246-79A5-4A16-B19E-421D19E81DA2}"/>
    <hyperlink ref="A1040" r:id="rId12" xr:uid="{BB478DCD-3A9D-4D27-8BE4-4228CD3122D2}"/>
    <hyperlink ref="A835" r:id="rId13" xr:uid="{01F8DF5E-5F85-4D25-AAE2-F26D0662CB5C}"/>
    <hyperlink ref="A980" r:id="rId14" xr:uid="{C2EB15CD-1580-4480-AB7C-D8F6211F7193}"/>
    <hyperlink ref="A721" r:id="rId15" xr:uid="{97AF4DBB-A2F1-4C57-BB31-F69C8F290499}"/>
    <hyperlink ref="A247" r:id="rId16" xr:uid="{4BFD8278-9A42-47E7-B331-FD5BDF5D355D}"/>
    <hyperlink ref="A290" r:id="rId17" xr:uid="{13378F46-6D2D-4766-97F4-540233F14D75}"/>
    <hyperlink ref="A568" r:id="rId18" xr:uid="{505DE0A1-7A49-441F-A452-F8A7C0653AB8}"/>
    <hyperlink ref="A38" r:id="rId19" xr:uid="{8349B3D2-1687-4E69-BECB-85825CADAF2B}"/>
    <hyperlink ref="A1089" r:id="rId20" xr:uid="{C8433C5B-E172-46F7-828C-CE1DC9322550}"/>
    <hyperlink ref="A1018" r:id="rId21" xr:uid="{3CE68C8A-5049-4EA7-9BF2-61AFD1E559B6}"/>
    <hyperlink ref="A94" r:id="rId22" xr:uid="{60CA1E1A-147F-4CAF-AA4E-E239F3668A14}"/>
    <hyperlink ref="A292" r:id="rId23" xr:uid="{7F8CBD8C-43CF-42B2-92F3-C4E091E0AEB1}"/>
    <hyperlink ref="A95" r:id="rId24" xr:uid="{DCE7AD33-33B6-48B3-85C6-588AEFE7EF9F}"/>
    <hyperlink ref="A490" r:id="rId25" xr:uid="{08837924-24C5-4B50-A5FB-E1FD0183C14F}"/>
    <hyperlink ref="A57" r:id="rId26" xr:uid="{1ED01607-4A32-48C5-B544-B8E1A0EFBF98}"/>
    <hyperlink ref="A615" r:id="rId27" xr:uid="{247B310F-6C4D-4B3D-BAA9-693A6CD214AC}"/>
    <hyperlink ref="A248" r:id="rId28" xr:uid="{2CEEBA07-8F20-4220-BDEC-5836D75FBA22}"/>
    <hyperlink ref="A268" r:id="rId29" xr:uid="{6938FF67-EEF9-400E-9FA8-7D9E4989F12F}"/>
    <hyperlink ref="A328" r:id="rId30" xr:uid="{CE7C2E24-6F06-4B10-83BD-762F00A4E784}"/>
    <hyperlink ref="A890" r:id="rId31" xr:uid="{45EE860F-28F5-4AFF-AFCB-E85071A2CC93}"/>
    <hyperlink ref="A336" r:id="rId32" xr:uid="{E5154BE0-A169-41EC-AA00-962A355D9FD7}"/>
    <hyperlink ref="A842" r:id="rId33" xr:uid="{B6272246-1B65-4011-A861-394F560BAD7E}"/>
    <hyperlink ref="A1126" r:id="rId34" xr:uid="{4F176BB4-F20B-48D2-854D-BC8410B38355}"/>
    <hyperlink ref="A983" r:id="rId35" xr:uid="{4BDD33DD-846A-40FB-96F4-FB858EEF4373}"/>
    <hyperlink ref="A1173" r:id="rId36" xr:uid="{D3C40563-5995-4E49-9D25-9F47D1B0B1BF}"/>
    <hyperlink ref="A1159" r:id="rId37" xr:uid="{33FF3C55-9289-44CA-BF80-FBA47EE29673}"/>
    <hyperlink ref="A131" r:id="rId38" xr:uid="{2DDF5EBD-148B-4325-BDEE-1AFC81FBA111}"/>
    <hyperlink ref="A1001" r:id="rId39" xr:uid="{F13AA7C4-6893-4A51-BD64-6FB2DBD5028F}"/>
    <hyperlink ref="A1011" r:id="rId40" xr:uid="{ECD5EF13-5851-480F-859B-B2037F3470B4}"/>
    <hyperlink ref="A491" r:id="rId41" xr:uid="{3DC1B058-AB02-45E4-B363-EB318A73F3B0}"/>
    <hyperlink ref="A1180" r:id="rId42" xr:uid="{65EB86DD-0527-4F20-9F73-D3B833457A64}"/>
    <hyperlink ref="A773" r:id="rId43" xr:uid="{C22F2334-3BDA-43F7-BEC9-AABE8DA28B54}"/>
    <hyperlink ref="A384" r:id="rId44" xr:uid="{46B37C1A-3DE5-49C7-869D-F74232C2FC06}"/>
    <hyperlink ref="A105" r:id="rId45" xr:uid="{2CC8847B-C93F-4CA9-80D9-39BE3575391F}"/>
    <hyperlink ref="A1143" r:id="rId46" xr:uid="{EE86BA1B-2C7A-4311-B2E8-28395930FC0C}"/>
    <hyperlink ref="A977" r:id="rId47" xr:uid="{3C2CD6F3-BBFF-4CDB-B231-5AA5456D5E33}"/>
    <hyperlink ref="A40" r:id="rId48" xr:uid="{E34F11A1-00BE-4FB9-ABF4-5F524E3B15DA}"/>
    <hyperlink ref="A492" r:id="rId49" xr:uid="{E848AE7A-765A-48D0-A7E4-07D93EC46484}"/>
    <hyperlink ref="A1167" r:id="rId50" xr:uid="{723C0FE6-E58D-4FDF-B8C6-59EB45F84DDC}"/>
    <hyperlink ref="A844" r:id="rId51" xr:uid="{7F7319A5-3D8D-4143-A7EB-149BD14A8DCE}"/>
    <hyperlink ref="A11" r:id="rId52" xr:uid="{8691D9D1-704F-4A4E-AAB7-50441BE72308}"/>
    <hyperlink ref="A1071" r:id="rId53" xr:uid="{646F875D-3F45-42ED-BE0A-8A85A4E72CDE}"/>
    <hyperlink ref="A438" r:id="rId54" xr:uid="{D0D2BBAF-76F3-4681-92BA-50DF28723486}"/>
    <hyperlink ref="A1128" r:id="rId55" xr:uid="{F736E614-29CC-4EDF-ADA0-E47A0C39510B}"/>
    <hyperlink ref="A859" r:id="rId56" xr:uid="{A7A4F749-4E1F-4593-BC4D-A3A81AA132D2}"/>
    <hyperlink ref="A561" r:id="rId57" xr:uid="{9F0CD16C-82C4-42DE-92F2-F6581F13E095}"/>
    <hyperlink ref="A291" r:id="rId58" xr:uid="{392F601E-6644-4EDA-AA93-268FB58DD529}"/>
    <hyperlink ref="A809" r:id="rId59" xr:uid="{F67BCC4C-85C5-4D22-B6E0-689594EC790E}"/>
    <hyperlink ref="A954" r:id="rId60" xr:uid="{E35DD4D2-0A01-48EF-B025-79AB37EDDCA6}"/>
    <hyperlink ref="A616" r:id="rId61" xr:uid="{22C1F58B-F3B8-4887-B5A6-3FBA524D060D}"/>
    <hyperlink ref="A337" r:id="rId62" xr:uid="{2CEF4068-440E-4D33-BD19-C6F47B6A914D}"/>
    <hyperlink ref="A1090" r:id="rId63" xr:uid="{902C4B4B-F82C-44AB-BDE7-1738F710DB4B}"/>
    <hyperlink ref="A1091" r:id="rId64" xr:uid="{B95E07AC-78DF-4C50-A73E-619B37F2481A}"/>
    <hyperlink ref="A338" r:id="rId65" xr:uid="{41C39C5F-B68E-4429-89DE-0C895262AD27}"/>
    <hyperlink ref="A550" r:id="rId66" xr:uid="{77FD65FF-C3AB-4D05-864B-85D116FEF57A}"/>
    <hyperlink ref="A518" r:id="rId67" xr:uid="{DE72932D-430A-4CF9-83F5-FDB5A4E8594E}"/>
    <hyperlink ref="A528" r:id="rId68" xr:uid="{1B04FBCE-9BE4-4A8A-A4BF-926449223135}"/>
    <hyperlink ref="A144" r:id="rId69" xr:uid="{83FED6DA-D5DB-44E0-A179-80F98C7D7F1C}"/>
    <hyperlink ref="A39" r:id="rId70" xr:uid="{5FDC6FB5-1E08-4647-A502-93DB4BD92F70}"/>
    <hyperlink ref="A214" r:id="rId71" xr:uid="{C1B262D2-8808-4201-BF76-94A333DAF4D1}"/>
    <hyperlink ref="A953" r:id="rId72" xr:uid="{2133DD90-D415-4B2B-ACA6-B4881E351AFC}"/>
    <hyperlink ref="A806" r:id="rId73" xr:uid="{CF87A3CF-0C48-4035-8AD4-5A5D22C2DF29}"/>
    <hyperlink ref="A474" r:id="rId74" xr:uid="{46C57C4A-A988-473F-B708-B96B85CC5C84}"/>
    <hyperlink ref="A475" r:id="rId75" xr:uid="{6B45A10C-A57F-43B2-A8C9-82CAF755B0D5}"/>
    <hyperlink ref="A618" r:id="rId76" xr:uid="{13140A4D-2BA2-44E3-A0E1-4DB57807399B}"/>
    <hyperlink ref="A1162" r:id="rId77" xr:uid="{04792D94-E192-4639-A4AE-5C8A10EB450B}"/>
    <hyperlink ref="A218" r:id="rId78" xr:uid="{72FB242B-B0A2-493D-8A38-6C635530CC35}"/>
    <hyperlink ref="A1092" r:id="rId79" xr:uid="{BABC72DC-63CE-4A86-B1F7-A91B53B1574D}"/>
    <hyperlink ref="A305" r:id="rId80" xr:uid="{90112D2B-C4EE-45F5-BC5C-EB9AFC139D2B}"/>
    <hyperlink ref="A1032" r:id="rId81" xr:uid="{63E0D623-0770-4408-B34A-0B3581FE5892}"/>
    <hyperlink ref="A1124" r:id="rId82" xr:uid="{D640DC57-B235-4D7C-8FCA-9E430C1BA360}"/>
    <hyperlink ref="A787" r:id="rId83" xr:uid="{2291AA9B-2E03-432B-9B49-AA5A780DE704}"/>
    <hyperlink ref="A1073" r:id="rId84" xr:uid="{79B2FBCA-705B-4AC3-910A-0C389C63C0BA}"/>
    <hyperlink ref="A949" r:id="rId85" xr:uid="{140A82CA-C05D-4A75-A0E7-7080C352D210}"/>
    <hyperlink ref="A955" r:id="rId86" xr:uid="{218E2D54-DD7D-4B65-A3DE-C7EC1E5C73F8}"/>
    <hyperlink ref="A861" r:id="rId87" xr:uid="{0E2F381D-C58B-4E40-BCFB-243922DF5E83}"/>
    <hyperlink ref="A142" r:id="rId88" xr:uid="{DAAB6F7C-9264-47D4-A6BE-1BB105A6AC11}"/>
    <hyperlink ref="A263" r:id="rId89" xr:uid="{4CBBBF82-7EDE-4A6E-AAD2-0792A519050C}"/>
    <hyperlink ref="A794" r:id="rId90" xr:uid="{5E6ECE2B-1AC6-4406-B0EC-0D3BC75ECEB4}"/>
    <hyperlink ref="A151" r:id="rId91" xr:uid="{3ED71703-4FAC-4191-848D-9B6B10B4C50A}"/>
    <hyperlink ref="A76" r:id="rId92" xr:uid="{42D9CB0C-3DA5-499A-B12C-9BFF4E372CA9}"/>
    <hyperlink ref="A1019" r:id="rId93" xr:uid="{F322B010-BC3A-4A65-972F-6C8A7EB2E5AA}"/>
    <hyperlink ref="A47" r:id="rId94" xr:uid="{9B7961F1-47A8-4CF0-99BC-829494DC08DE}"/>
    <hyperlink ref="A637" r:id="rId95" xr:uid="{1394B1C6-A8C1-4F89-88FB-1280EBA621B7}"/>
    <hyperlink ref="A441" r:id="rId96" xr:uid="{B0AF4C2F-F62D-4BDD-937B-EB7B1E8C628F}"/>
    <hyperlink ref="A219" r:id="rId97" xr:uid="{19AAB448-8A87-4A03-AD24-DE19929F2C67}"/>
    <hyperlink ref="A330" r:id="rId98" xr:uid="{8ADE1055-057B-4A04-B421-76CF09D4093A}"/>
    <hyperlink ref="A571" r:id="rId99" xr:uid="{28435092-5176-4D0E-A8BD-B52119689D2C}"/>
    <hyperlink ref="A152" r:id="rId100" xr:uid="{F978522E-5A63-4108-B62A-246696952D1D}"/>
    <hyperlink ref="A731" r:id="rId101" xr:uid="{26FB1327-3ACE-419E-B786-AF371F5A852C}"/>
    <hyperlink ref="A1151" r:id="rId102" xr:uid="{006EC783-29A9-4B64-802C-CCB9AA9774BE}"/>
    <hyperlink ref="A1093" r:id="rId103" xr:uid="{4A5E7CF3-E37A-47B6-800C-D88C2F0B8B50}"/>
    <hyperlink ref="A523" r:id="rId104" xr:uid="{B6137534-AE96-465B-9B69-B0599CF40411}"/>
    <hyperlink ref="A392" r:id="rId105" xr:uid="{BE798D11-779C-4EBA-A5F9-8C3E304017E8}"/>
    <hyperlink ref="A845" r:id="rId106" xr:uid="{371E40D1-14E1-4B07-A6D5-12A4188FC8B0}"/>
    <hyperlink ref="A815" r:id="rId107" xr:uid="{D6663EF3-DD94-4BA6-8799-4CA5087833E1}"/>
    <hyperlink ref="A734" r:id="rId108" xr:uid="{8FD6E36E-F9F3-4B75-A33F-A02FC230DAB3}"/>
    <hyperlink ref="A21" r:id="rId109" xr:uid="{29E65FEA-9706-48B3-A910-D0B121746DC5}"/>
    <hyperlink ref="A986" r:id="rId110" xr:uid="{F034A904-7F06-4E88-A6B7-7FEA0A98B9BF}"/>
    <hyperlink ref="A27" r:id="rId111" xr:uid="{74ACFA2A-E1AC-496C-822A-830222B944D0}"/>
    <hyperlink ref="A1153" r:id="rId112" xr:uid="{7E59269E-9D4B-4182-BB21-D88295D09CA5}"/>
    <hyperlink ref="A1035" r:id="rId113" xr:uid="{BDF0E413-2D68-47B3-903F-8B52364D3010}"/>
    <hyperlink ref="A350" r:id="rId114" xr:uid="{5C885640-89CD-4DA9-B409-B768B9A013C6}"/>
    <hyperlink ref="A197" r:id="rId115" xr:uid="{794896E0-74FC-48C3-8D10-D4C9EE6F3E93}"/>
    <hyperlink ref="A970" r:id="rId116" xr:uid="{86E6D339-9E2E-45DA-9558-AF0406FB07EE}"/>
    <hyperlink ref="A198" r:id="rId117" xr:uid="{49FE4D7E-4EA3-44B6-A337-95F7C6D08DDA}"/>
    <hyperlink ref="A964" r:id="rId118" xr:uid="{552DC3C6-0145-4A28-AFE5-E04175A4B0C2}"/>
    <hyperlink ref="A260" r:id="rId119" xr:uid="{927A5E2C-18F5-4DB9-8DF0-5C83B48278A5}"/>
    <hyperlink ref="A269" r:id="rId120" xr:uid="{235BEAAD-83F2-492A-AA7C-CDD9116ED7B7}"/>
    <hyperlink ref="A478" r:id="rId121" xr:uid="{B264E23A-C55D-4B7A-BE23-5EF1BDA86892}"/>
    <hyperlink ref="A209" r:id="rId122" xr:uid="{05558150-2437-4B9F-97FD-159768293277}"/>
    <hyperlink ref="A8" r:id="rId123" xr:uid="{9E3CED76-F304-48C5-8374-BD1CB7341B6A}"/>
    <hyperlink ref="A24" r:id="rId124" xr:uid="{C440F22E-FF1A-4FCB-91FA-7485016BD572}"/>
    <hyperlink ref="A987" r:id="rId125" xr:uid="{A4659A83-5ADA-4FA1-8236-1C9A75DF4C8A}"/>
    <hyperlink ref="A479" r:id="rId126" xr:uid="{4115CE37-C854-466B-80C6-AFE9EBDFE824}"/>
    <hyperlink ref="A706" r:id="rId127" xr:uid="{190A3326-43F3-4C21-8475-6679DD388ED8}"/>
    <hyperlink ref="A889" r:id="rId128" xr:uid="{9ED4FD26-5FE8-48B0-8A14-DC33233CDE2E}"/>
    <hyperlink ref="A553" r:id="rId129" xr:uid="{D4F2FC3F-6451-4B4E-B8AD-D365813326DC}"/>
    <hyperlink ref="A351" r:id="rId130" xr:uid="{066B0BC8-5178-4E47-A9E7-D9463D47B0AA}"/>
    <hyperlink ref="A346" r:id="rId131" xr:uid="{6AED2087-53A3-4A95-99C6-1597A3B41016}"/>
    <hyperlink ref="A1175" r:id="rId132" xr:uid="{79C5DBEE-8742-417C-B239-E349AF446D34}"/>
    <hyperlink ref="A703" r:id="rId133" xr:uid="{EE8B2B30-3D11-4654-8845-7993C30D9029}"/>
    <hyperlink ref="A863" r:id="rId134" xr:uid="{84D4D9E7-8E25-47DA-AC88-45C3075F97E5}"/>
    <hyperlink ref="A527" r:id="rId135" xr:uid="{0BD69F15-652D-440B-AE1A-B02DCF72884F}"/>
    <hyperlink ref="A879" r:id="rId136" xr:uid="{70F3C568-771C-4C30-971F-5205D7A0375B}"/>
    <hyperlink ref="A1041" r:id="rId137" xr:uid="{9C6D4F71-1CD6-4D57-8697-477F50C1CD2F}"/>
    <hyperlink ref="A9" r:id="rId138" xr:uid="{99B0ED23-A684-4B4A-B9B6-69D18487FCCF}"/>
    <hyperlink ref="A880" r:id="rId139" xr:uid="{04F3E99D-2B21-4184-85C6-0314A1D8AA01}"/>
    <hyperlink ref="A212" r:id="rId140" xr:uid="{CC94CF88-F815-4CCF-90EA-7F0ABC595957}"/>
    <hyperlink ref="A785" r:id="rId141" xr:uid="{8B773335-BC20-42D5-8A32-EA95425C1A22}"/>
    <hyperlink ref="A409" r:id="rId142" xr:uid="{B5969C20-4F67-483B-AA0C-CCE0523D38D5}"/>
    <hyperlink ref="A1186" r:id="rId143" xr:uid="{639FBB3C-E760-4AC5-B1CC-98C8EE9C3181}"/>
    <hyperlink ref="A352" r:id="rId144" xr:uid="{C9E8F3FA-01F0-4ADE-BBB0-957123B9DE13}"/>
    <hyperlink ref="A1165" r:id="rId145" xr:uid="{D1BD14F9-2EE9-4CD1-895C-1BE786D7DCD9}"/>
    <hyperlink ref="A100" r:id="rId146" xr:uid="{1DFD56F8-044D-4B18-B605-B738A92005F7}"/>
    <hyperlink ref="A700" r:id="rId147" xr:uid="{62E8554F-D3C7-408C-9814-FEEAD9B1613A}"/>
    <hyperlink ref="A480" r:id="rId148" xr:uid="{8BFB7A5C-6738-4767-95D4-4C39AFE875C5}"/>
    <hyperlink ref="A574" r:id="rId149" xr:uid="{97E184F2-94A0-474D-8757-9435AD41EB21}"/>
    <hyperlink ref="A400" r:id="rId150" xr:uid="{C9BEC121-6FDC-4C36-9EBC-636A24C3B5A3}"/>
    <hyperlink ref="A241" r:id="rId151" xr:uid="{DC1EF7D2-2170-4657-8AB3-A2E635EDA400}"/>
    <hyperlink ref="A738" r:id="rId152" xr:uid="{BBE4D966-E984-4E87-A635-CB16B22C537C}"/>
    <hyperlink ref="A200" r:id="rId153" xr:uid="{7AD014C3-C84C-47F8-9C17-D57ABC1971B6}"/>
    <hyperlink ref="A1146" r:id="rId154" xr:uid="{3335EB78-DAD3-438D-9F45-C261418A9949}"/>
    <hyperlink ref="A691" r:id="rId155" xr:uid="{D8AF677C-CA56-49C5-86D3-CAE87618C038}"/>
    <hyperlink ref="A600" r:id="rId156" xr:uid="{31695FC8-550C-44F8-84DF-820C0FED2308}"/>
    <hyperlink ref="A201" r:id="rId157" xr:uid="{AE770F29-8FE9-4EB5-842C-C9D62CCFB054}"/>
    <hyperlink ref="A601" r:id="rId158" xr:uid="{4743E177-01B7-4D79-99B7-76A4E322A908}"/>
    <hyperlink ref="A229" r:id="rId159" xr:uid="{F470ED2D-ABBE-45F2-9BB9-EB25F4411739}"/>
    <hyperlink ref="A383" r:id="rId160" xr:uid="{B4568665-D3CE-49DB-B7E2-338CCC726ED7}"/>
    <hyperlink ref="A126" r:id="rId161" xr:uid="{4096AF64-83BE-4B6F-B243-75BE93B413CE}"/>
    <hyperlink ref="A791" r:id="rId162" xr:uid="{9D5008E5-4A8B-4C1A-9500-8FB669C62406}"/>
    <hyperlink ref="A857" r:id="rId163" xr:uid="{861FA5DC-7904-4045-AE33-80F0C4660922}"/>
    <hyperlink ref="A995" r:id="rId164" xr:uid="{BA699824-74BA-4A11-9CBF-79C8273CDE3A}"/>
    <hyperlink ref="A1166" r:id="rId165" xr:uid="{4869E22F-B0C3-4817-8403-1F1F1B54BFDE}"/>
    <hyperlink ref="A125" r:id="rId166" xr:uid="{BC62A238-D4D3-4DAF-9498-221FD2ED3592}"/>
    <hyperlink ref="A807" r:id="rId167" xr:uid="{F6C3E955-70B1-42BF-98F6-0961620A549C}"/>
    <hyperlink ref="A662" r:id="rId168" xr:uid="{8B68E5BF-A8FF-4FBD-9C73-5FE698645486}"/>
    <hyperlink ref="A239" r:id="rId169" xr:uid="{F8E4B40E-E893-4A87-A6B0-D55819801A1F}"/>
    <hyperlink ref="A788" r:id="rId170" xr:uid="{088DD6FC-534D-4036-81AC-F80F28DFC324}"/>
    <hyperlink ref="A628" r:id="rId171" xr:uid="{F46FDB10-91DA-4FB7-8499-02D4230E0610}"/>
    <hyperlink ref="A401" r:id="rId172" xr:uid="{F64852B4-896A-4AA9-B829-B55FCD9B6E79}"/>
    <hyperlink ref="A947" r:id="rId173" xr:uid="{8253FFA1-E4D2-40A4-98B7-BE5460238F3E}"/>
    <hyperlink ref="A483" r:id="rId174" xr:uid="{7BB46F7C-3AAE-4400-8C95-4CE20B56D5A0}"/>
    <hyperlink ref="A603" r:id="rId175" xr:uid="{A6B103AD-4593-40DB-9C2E-C29FCAC4D99F}"/>
    <hyperlink ref="A28" r:id="rId176" xr:uid="{9130BFE1-EDA3-490A-BB43-7DD64FFDB1A8}"/>
    <hyperlink ref="A1122" r:id="rId177" xr:uid="{50926DF5-CB42-45F0-A68B-4ACFAAB00D0A}"/>
    <hyperlink ref="A556" r:id="rId178" xr:uid="{936C82E8-CFCC-40AE-A940-79EF8E66E5DA}"/>
    <hyperlink ref="A311" r:id="rId179" xr:uid="{79F93592-F27D-4E76-8C1E-3DD61BA2B6EF}"/>
    <hyperlink ref="A30" r:id="rId180" xr:uid="{920F4238-01F1-4779-936C-4CBF8D301F5F}"/>
    <hyperlink ref="A156" r:id="rId181" xr:uid="{6E458E11-96CF-4046-B68F-4CE033DB76BA}"/>
    <hyperlink ref="A158" r:id="rId182" xr:uid="{7A0E7C8A-9A6E-474A-B565-12F92C1AEA0E}"/>
    <hyperlink ref="A701" r:id="rId183" xr:uid="{11DCD892-F85F-4EB5-B5E1-D31E7F25B012}"/>
    <hyperlink ref="A1130" r:id="rId184" xr:uid="{FE8B9E8C-1A1F-4CAE-89A4-A0E02E9EAF99}"/>
    <hyperlink ref="A745" r:id="rId185" xr:uid="{723DEAD9-506C-4A92-B1D8-83AC0B9188FE}"/>
    <hyperlink ref="A159" r:id="rId186" xr:uid="{C5D6AA4D-6DF4-4277-B3D1-843564F31B84}"/>
    <hyperlink ref="A111" r:id="rId187" xr:uid="{36FC5193-D5AF-46A4-9AF6-2B2F63099458}"/>
    <hyperlink ref="A163" r:id="rId188" xr:uid="{4B383A26-A0C9-4CEF-B75F-98B0CDFE693F}"/>
    <hyperlink ref="A50" r:id="rId189" xr:uid="{2FF6F156-0986-4D9A-9A16-AD4D5E1990B4}"/>
    <hyperlink ref="A53" r:id="rId190" xr:uid="{1C805D4F-3AAC-46E0-9980-99B830A381CD}"/>
    <hyperlink ref="A563" r:id="rId191" xr:uid="{45AB1AA7-8E4F-4A39-95D6-C1E1E80C415B}"/>
    <hyperlink ref="A164" r:id="rId192" xr:uid="{0395D7A9-B1D5-48AC-A257-9A1BEC407537}"/>
    <hyperlink ref="A900" r:id="rId193" xr:uid="{89E40130-E4C0-40B3-8E00-C029E6FDEF51}"/>
    <hyperlink ref="A299" r:id="rId194" xr:uid="{619E5138-85AB-451D-A202-0E6C4DDB5D74}"/>
    <hyperlink ref="A495" r:id="rId195" xr:uid="{808E951D-A6C8-47BC-8D56-C77CF3B0194C}"/>
    <hyperlink ref="A769" r:id="rId196" xr:uid="{F3F9E2EC-E990-4F05-A272-2DEE88AD2700}"/>
    <hyperlink ref="A361" r:id="rId197" xr:uid="{30531B9F-13CB-479B-A0BF-D99C452BF366}"/>
    <hyperlink ref="A404" r:id="rId198" xr:uid="{BBA22998-B4FE-45C5-ACAE-B3733456DF21}"/>
    <hyperlink ref="A42" r:id="rId199" xr:uid="{64423BB3-6E42-4981-A7F8-DF238D340749}"/>
    <hyperlink ref="A202" r:id="rId200" xr:uid="{4853D9FB-175F-4CBA-9DFC-BAAFE8DFF527}"/>
    <hyperlink ref="A516" r:id="rId201" xr:uid="{0AFA0965-75AE-423A-8A41-D542D72B603A}"/>
    <hyperlink ref="A75" r:id="rId202" xr:uid="{79DB86F6-A85B-4FB7-B5BF-C68FDBACBEB4}"/>
    <hyperlink ref="A579" r:id="rId203" xr:uid="{7E2F335D-BBDC-4688-A2B0-9475794FF75C}"/>
    <hyperlink ref="A647" r:id="rId204" xr:uid="{8C26CEBA-F897-4C36-86AA-1C91D4BB95F9}"/>
    <hyperlink ref="A318" r:id="rId205" xr:uid="{99D25F3A-1F3E-4A7C-B518-76436B05C26B}"/>
    <hyperlink ref="A463" r:id="rId206" xr:uid="{F18A0580-0B2F-4002-83D4-4CAAB0972589}"/>
    <hyperlink ref="A43" r:id="rId207" xr:uid="{94EF9005-70BE-4F7D-B098-2E6051E0FA13}"/>
    <hyperlink ref="A1161" r:id="rId208" xr:uid="{2AE09B5F-5C56-43E6-A013-FCF9CF74BC12}"/>
    <hyperlink ref="A692" r:id="rId209" xr:uid="{2CEC22D6-4084-4116-9EE5-EF1C22FF64BC}"/>
    <hyperlink ref="A354" r:id="rId210" xr:uid="{930B167A-D01A-41FB-9175-A86F7750E12F}"/>
    <hyperlink ref="A284" r:id="rId211" xr:uid="{5AA77792-EC29-4160-A9A2-FFBC521E7921}"/>
    <hyperlink ref="A1144" r:id="rId212" xr:uid="{0786E924-3A68-464B-BF0E-DF3E38FF77DB}"/>
    <hyperlink ref="A1123" r:id="rId213" xr:uid="{5DA34C57-7A29-4A75-8DB8-012DC9E89670}"/>
    <hyperlink ref="A287" r:id="rId214" xr:uid="{ECEA05F2-48FA-415C-9758-AF6A2B7BFDA2}"/>
    <hyperlink ref="A124" r:id="rId215" xr:uid="{4A27B244-0D54-45CA-AC33-7EBCB6314A52}"/>
    <hyperlink ref="A363" r:id="rId216" xr:uid="{B95B3127-F4F3-4E8C-AC7D-856223C6DE1D}"/>
    <hyperlink ref="A971" r:id="rId217" xr:uid="{D63FE6D3-6C23-4A1A-81C0-02AA969E0B23}"/>
    <hyperlink ref="A167" r:id="rId218" xr:uid="{C2838839-3448-4F68-9BFA-47C136979210}"/>
    <hyperlink ref="A171" r:id="rId219" xr:uid="{1FD2E4B5-BD9A-4C44-B022-CE64AF61A763}"/>
    <hyperlink ref="A973" r:id="rId220" xr:uid="{E3415232-0286-4804-A560-99F33D4E17C7}"/>
    <hyperlink ref="A132" r:id="rId221" xr:uid="{0D7CFC96-2CDD-495D-8490-7A295E2D0391}"/>
    <hyperlink ref="A306" r:id="rId222" xr:uid="{635090D8-2D1E-4088-8BE4-2D8F3152AE85}"/>
    <hyperlink ref="A102" r:id="rId223" xr:uid="{7EA069F9-67BC-48BA-A695-7111FAC3C31E}"/>
    <hyperlink ref="A448" r:id="rId224" xr:uid="{B6D31FA8-D93A-466E-839F-7956F3E6A67B}"/>
    <hyperlink ref="A170" r:id="rId225" xr:uid="{30467E6E-B029-4537-9818-5D1E9A55A67F}"/>
    <hyperlink ref="A213" r:id="rId226" xr:uid="{017F5C6D-1F7E-428D-B333-2B0E0DC9E1A9}"/>
    <hyperlink ref="A320" r:id="rId227" xr:uid="{6DD598FE-09BF-4150-94F5-69812A6536CB}"/>
    <hyperlink ref="A261" r:id="rId228" xr:uid="{44A7A27E-0541-4B5B-80D1-11D8EF8B5E09}"/>
    <hyperlink ref="A649" r:id="rId229" xr:uid="{18B345E6-B669-49DD-99FC-B5A62002188B}"/>
    <hyperlink ref="A129" r:id="rId230" xr:uid="{950E7164-DDEF-4007-9A53-770436D32651}"/>
    <hyperlink ref="A775" r:id="rId231" xr:uid="{2A8E9D42-0C58-41D5-9FDA-7F0D2EE0C000}"/>
    <hyperlink ref="A246" r:id="rId232" xr:uid="{C30F6518-6398-430B-B575-AFD71DF702FB}"/>
    <hyperlink ref="A650" r:id="rId233" xr:uid="{58B32364-1083-4CEC-AFD9-9D4811EB136E}"/>
    <hyperlink ref="A823" r:id="rId234" xr:uid="{53FEB948-2891-4314-BD36-822F68AC475F}"/>
    <hyperlink ref="A645" r:id="rId235" xr:uid="{452B19CE-9532-47AE-86DB-8B034FC88586}"/>
    <hyperlink ref="A936" r:id="rId236" xr:uid="{03F8E91F-10C6-45CD-AD12-3E0A369D1C26}"/>
    <hyperlink ref="A355" r:id="rId237" xr:uid="{E1A68CCC-4E71-49DE-BFA0-0984B67B3B59}"/>
    <hyperlink ref="A1017" r:id="rId238" xr:uid="{9D04EDF7-E7E9-455C-94FE-5FC2427DD7A5}"/>
    <hyperlink ref="A1034" r:id="rId239" xr:uid="{CE27188E-CF10-4398-A9E5-6AB3E302AC89}"/>
    <hyperlink ref="A927" r:id="rId240" xr:uid="{F35DD4D3-6EE8-4E69-89EB-2529E1F5AF5F}"/>
    <hyperlink ref="A757" r:id="rId241" xr:uid="{3782AEE7-9586-465A-BFF7-0F252CA35232}"/>
    <hyperlink ref="A65" r:id="rId242" xr:uid="{9EC7880C-7396-4EAE-BFE5-9211849BEDB0}"/>
    <hyperlink ref="A82" r:id="rId243" xr:uid="{B49956D8-8F83-4935-A40F-FABD9B1E948D}"/>
    <hyperlink ref="A393" r:id="rId244" xr:uid="{414C78FD-4A8E-4AE9-A37D-10B4F5031292}"/>
    <hyperlink ref="A838" r:id="rId245" xr:uid="{0BBCCA34-BA93-4EAB-94B0-2684F46BD7E3}"/>
    <hyperlink ref="A705" r:id="rId246" xr:uid="{C9C99152-7598-4D80-A4C5-87C3D0347E99}"/>
    <hyperlink ref="A449" r:id="rId247" xr:uid="{A9B36E8A-0C8F-4043-9760-EFC99DFDAA19}"/>
    <hyperlink ref="A1039" r:id="rId248" xr:uid="{2B431120-A348-4CFE-A1B6-0E1598252151}"/>
    <hyperlink ref="A1030" r:id="rId249" xr:uid="{373A9AB4-4462-4421-9220-94CCB2F7A9B7}"/>
    <hyperlink ref="A959" r:id="rId250" xr:uid="{67525F51-7DD7-4DA7-A2B1-74F326BBE98E}"/>
    <hyperlink ref="A1164" r:id="rId251" xr:uid="{35A8E9A5-B121-428E-AD31-EBC5BA6D0FC4}"/>
    <hyperlink ref="A1157" r:id="rId252" xr:uid="{6807682D-AE87-4060-81B5-B0044D52FAA6}"/>
    <hyperlink ref="A651" r:id="rId253" xr:uid="{7A96507C-578C-4AF1-9396-3706CB3AB253}"/>
    <hyperlink ref="A1141" r:id="rId254" xr:uid="{B905F6B6-3EBB-42B3-A26D-2FA70D8FCBD1}"/>
    <hyperlink ref="A1149" r:id="rId255" xr:uid="{24453353-1A27-4732-A2CC-42DC56179006}"/>
    <hyperlink ref="A864" r:id="rId256" xr:uid="{B7238D7A-E03E-4698-836B-C5A43F79EB5C}"/>
    <hyperlink ref="A862" r:id="rId257" xr:uid="{862A8230-7CF1-42FC-B4DC-898CB9140148}"/>
    <hyperlink ref="A583" r:id="rId258" xr:uid="{718ADC66-A037-4172-8682-7F8427119698}"/>
    <hyperlink ref="A916" r:id="rId259" xr:uid="{BBE79E24-5C79-40D7-A12D-1E72585485A0}"/>
    <hyperlink ref="A904" r:id="rId260" xr:uid="{0B050108-8FEB-4457-9E59-ACF2FA8F0FD7}"/>
    <hyperlink ref="A278" r:id="rId261" xr:uid="{7392308B-9B83-4AF4-A75D-074E00ABC764}"/>
    <hyperlink ref="A652" r:id="rId262" xr:uid="{3F80AFD4-39B8-4D99-8309-EFE2F955E140}"/>
    <hyperlink ref="A289" r:id="rId263" xr:uid="{42AA1D12-1AEE-4A18-AAD6-B19BA89A22C8}"/>
    <hyperlink ref="A235" r:id="rId264" xr:uid="{CAA50402-6610-41EC-B403-EAA0098AD24E}"/>
    <hyperlink ref="A974" r:id="rId265" xr:uid="{59C57706-3C29-4636-AF6F-14573D44C210}"/>
    <hyperlink ref="A918" r:id="rId266" xr:uid="{7D787425-E781-4312-956A-5707D53330B3}"/>
    <hyperlink ref="A960" r:id="rId267" xr:uid="{8C71D223-FFC3-4389-970E-4D73881B2485}"/>
    <hyperlink ref="A993" r:id="rId268" xr:uid="{4456F3BF-9C8D-475A-99AB-192E5D981716}"/>
    <hyperlink ref="A996" r:id="rId269" xr:uid="{0E2F8D8F-4EFC-4BE2-9405-2A82D8F71FB6}"/>
    <hyperlink ref="A782" r:id="rId270" xr:uid="{0EF9955E-ABD1-4EB9-8E27-272B5799F8DD}"/>
    <hyperlink ref="A1181" r:id="rId271" xr:uid="{24589845-D924-42CA-9A8A-93FD98A2DDE7}"/>
    <hyperlink ref="A348" r:id="rId272" xr:uid="{025029E9-C8E2-4636-AF8B-721138402177}"/>
    <hyperlink ref="A586" r:id="rId273" xr:uid="{EF95EFF1-CA74-42B6-91DC-22637E6EBBA9}"/>
    <hyperlink ref="A1154" r:id="rId274" xr:uid="{E58A4AC1-64D5-4157-B459-37FE6CA56762}"/>
    <hyperlink ref="A450" r:id="rId275" xr:uid="{A21D3E69-2234-4AC4-BEE4-12D5AE6C3D6D}"/>
    <hyperlink ref="A1087" r:id="rId276" xr:uid="{711C16BA-EA38-41FE-AF06-0CF38F873E08}"/>
    <hyperlink ref="A1096" r:id="rId277" xr:uid="{90D90BD8-3436-4495-9727-B24455869DBE}"/>
    <hyperlink ref="A1142" r:id="rId278" xr:uid="{14A37596-57C9-481B-9338-E94DA48F81E0}"/>
    <hyperlink ref="A1094" r:id="rId279" xr:uid="{0458A9F6-0E5F-4ADD-B307-1FCC3436986C}"/>
    <hyperlink ref="A800" r:id="rId280" xr:uid="{18CA40ED-1279-4999-8504-BA76043282B5}"/>
    <hyperlink ref="A367" r:id="rId281" xr:uid="{C2D0ED35-06F1-453B-BA45-DC6B085C1D68}"/>
    <hyperlink ref="A533" r:id="rId282" xr:uid="{21D578C5-B9AF-4099-BBC2-0996030AB2A4}"/>
    <hyperlink ref="A1133" r:id="rId283" xr:uid="{8E2F1674-6AB4-4472-BE7F-AF54DA61EE90}"/>
    <hyperlink ref="A25" r:id="rId284" xr:uid="{701CBAA5-39F0-48FA-B093-EEE2C69EE973}"/>
    <hyperlink ref="A315" r:id="rId285" xr:uid="{5EA3FCE9-DF21-47C5-83E2-0FA9809A02F1}"/>
    <hyperlink ref="A851" r:id="rId286" xr:uid="{4FA2E9DC-5BB0-4BC2-96BC-71C9FE7B9932}"/>
    <hyperlink ref="A723" r:id="rId287" xr:uid="{0E25117D-DDA4-4114-98D2-7202A757A51F}"/>
    <hyperlink ref="A83" r:id="rId288" xr:uid="{645B717C-7836-4B3A-8466-C352764BAC16}"/>
    <hyperlink ref="A653" r:id="rId289" xr:uid="{9A38C105-18FB-49AF-B41E-2A11DD93C9E9}"/>
    <hyperlink ref="A225" r:id="rId290" xr:uid="{6243F6B4-0E11-44BB-BBD7-F4652186EB26}"/>
    <hyperlink ref="A917" r:id="rId291" xr:uid="{B3E7E719-6075-4E17-A02E-024AFA0E3C35}"/>
    <hyperlink ref="A1138" r:id="rId292" xr:uid="{B35CF4AF-3A60-4CE7-8C5D-682EF8EFEA2F}"/>
    <hyperlink ref="A31" r:id="rId293" xr:uid="{77B23330-7CAE-4B3B-B624-546D483309CD}"/>
    <hyperlink ref="A605" r:id="rId294" xr:uid="{F9BBF42A-C7B5-4CC1-94BE-0BFEDECABF93}"/>
    <hyperlink ref="A1178" r:id="rId295" xr:uid="{D9D73565-25BD-47C3-9665-337F1C2023F3}"/>
    <hyperlink ref="A786" r:id="rId296" xr:uid="{D2FE8417-8CC2-4DD2-877C-0A50A1DB9F7E}"/>
    <hyperlink ref="A271" r:id="rId297" xr:uid="{AEE8E347-10A2-4DC9-A1F3-08DC8A4E495A}"/>
    <hyperlink ref="A926" r:id="rId298" xr:uid="{C463033C-478B-4CF2-9D26-AF13BA57712A}"/>
    <hyperlink ref="A868" r:id="rId299" xr:uid="{13E5289A-2792-4081-B1D9-CB280DBE6B8B}"/>
    <hyperlink ref="A1145" r:id="rId300" xr:uid="{079B99F4-FE8E-418A-8899-6CE1295F9B85}"/>
    <hyperlink ref="A670" r:id="rId301" xr:uid="{88258513-0FDE-4F86-B65E-E18B9B8EBC2C}"/>
    <hyperlink ref="A950" r:id="rId302" xr:uid="{6DF6F8EF-FA9B-4FAA-A0CD-9661EF288BC8}"/>
    <hyperlink ref="A951" r:id="rId303" xr:uid="{83F1C7A2-3CC3-445F-A566-7E532D57282A}"/>
    <hyperlink ref="A358" r:id="rId304" xr:uid="{7B58110C-4197-42BD-801E-74896A3CA82B}"/>
    <hyperlink ref="A919" r:id="rId305" xr:uid="{1462E2A7-2B80-4270-A9F8-51031AA4B717}"/>
    <hyperlink ref="A121" r:id="rId306" xr:uid="{4EF91076-D195-4862-93C6-EC51ED4B4A83}"/>
    <hyperlink ref="A558" r:id="rId307" xr:uid="{68A2912E-CDE2-4E61-898E-E2ED69A2B96D}"/>
    <hyperlink ref="A296" r:id="rId308" xr:uid="{7452A36C-5F12-4F01-8CCF-81DD7C0863D2}"/>
    <hyperlink ref="A481" r:id="rId309" xr:uid="{685A57D1-6279-48CC-8F14-1681259D7358}"/>
    <hyperlink ref="A359" r:id="rId310" xr:uid="{D3932DDB-52EB-48DF-B01C-CE1C493B204C}"/>
    <hyperlink ref="A324" r:id="rId311" xr:uid="{04F47D92-FF9A-4C29-9957-0AB9AE4AB0A1}"/>
    <hyperlink ref="A173" r:id="rId312" xr:uid="{48ACFD68-1B9B-402F-9129-C240887DCBC6}"/>
    <hyperlink ref="A853" r:id="rId313" xr:uid="{FC6C25D7-B951-4D39-850F-FBC692B35331}"/>
    <hyperlink ref="A909" r:id="rId314" xr:uid="{824D962A-BB07-48F6-9CFE-413C17088EC3}"/>
    <hyperlink ref="A997" r:id="rId315" xr:uid="{FBF217AF-4B6B-4C5F-B34D-2D6F15F6C398}"/>
    <hyperlink ref="A55" r:id="rId316" xr:uid="{5569B73A-F98B-4487-97AA-49B73AFFD338}"/>
    <hyperlink ref="A56" r:id="rId317" xr:uid="{010A4042-9086-431D-897C-0091AFAEE638}"/>
    <hyperlink ref="A360" r:id="rId318" xr:uid="{934431DF-1B49-49E2-863B-6DA2DFA3D5FC}"/>
    <hyperlink ref="A952" r:id="rId319" xr:uid="{C250C83B-E971-4ABB-B938-A0185012060F}"/>
    <hyperlink ref="A962" r:id="rId320" xr:uid="{F0C1954E-A99B-4705-92F7-4EC91F3351C6}"/>
    <hyperlink ref="A1095" r:id="rId321" xr:uid="{FFE2E563-0F99-498B-8B97-F634E4682879}"/>
    <hyperlink ref="A671" r:id="rId322" xr:uid="{71942C4C-6829-4EBD-9AF2-DD28CB2055AB}"/>
    <hyperlink ref="A204" r:id="rId323" xr:uid="{AB893040-B008-482F-AABF-95CA11A420FE}"/>
    <hyperlink ref="A1134" r:id="rId324" xr:uid="{B285FD51-5B6B-4536-A8A4-199A93DD6970}"/>
    <hyperlink ref="A1033" r:id="rId325" xr:uid="{E9AEF077-FA57-4BF9-B634-F98E798D8DA8}"/>
    <hyperlink ref="A415" r:id="rId326" xr:uid="{7733DBD3-71E0-4F55-8F0E-26B46882F6AF}"/>
    <hyperlink ref="A272" r:id="rId327" xr:uid="{D18405F4-92F6-48A8-92FD-D4C0B658A4B3}"/>
    <hyperlink ref="A827" r:id="rId328" xr:uid="{B363C174-2CA5-45E5-A70F-9B7EEE8CE37D}"/>
    <hyperlink ref="A266" r:id="rId329" xr:uid="{3F8C5512-0237-4A12-80FB-011DB7D5E5C7}"/>
    <hyperlink ref="A1060" r:id="rId330" xr:uid="{7CE29893-DA35-4EE9-8A3F-61463EBD4AB2}"/>
    <hyperlink ref="A781" r:id="rId331" xr:uid="{BAB8674E-CD16-43F5-8DE6-383571F22080}"/>
    <hyperlink ref="A1045" r:id="rId332" xr:uid="{0A2467B9-9D77-451A-9027-4FF26C777229}"/>
    <hyperlink ref="A325" r:id="rId333" xr:uid="{094B14A8-CFC5-4BCC-9A8B-49A085CA2678}"/>
    <hyperlink ref="A728" r:id="rId334" xr:uid="{24A8E8BC-4B70-4351-8CBC-3FBD7B38BA19}"/>
    <hyperlink ref="A228" r:id="rId335" xr:uid="{DEDC174A-3DE6-4734-AFDD-C0432D889954}"/>
    <hyperlink ref="A999" r:id="rId336" xr:uid="{F0B3AB41-FBF0-4AEE-894E-3A04ACAE1D87}"/>
    <hyperlink ref="A945" r:id="rId337" xr:uid="{38EBC3B1-C9C4-4133-B133-7706005B7804}"/>
    <hyperlink ref="A18" r:id="rId338" xr:uid="{ED50D867-AA47-498F-B83F-131E789B2068}"/>
    <hyperlink ref="A1135" r:id="rId339" xr:uid="{FD77D310-9D5C-4556-9BA7-B53E38862EAF}"/>
    <hyperlink ref="A931" r:id="rId340" xr:uid="{662F27E2-24EA-4FA4-B6A4-9CBC6D4E3DC4}"/>
    <hyperlink ref="A19" r:id="rId341" xr:uid="{6DCC9E8E-48F4-4E50-8B7E-5C08CEC97143}"/>
    <hyperlink ref="A312" r:id="rId342" xr:uid="{B5E6DAA3-E366-4A77-914B-7E62B83573F5}"/>
    <hyperlink ref="A176" r:id="rId343" xr:uid="{6C9ABBC3-1EFB-4EC7-A31D-AA88580A2C3C}"/>
    <hyperlink ref="A84" r:id="rId344" xr:uid="{44E49A4D-98D2-4FB9-AD73-5DA1F5C646FA}"/>
    <hyperlink ref="A279" r:id="rId345" xr:uid="{B16D2A61-13DB-440E-94E8-187B0BD4E0A7}"/>
    <hyperlink ref="A772" r:id="rId346" xr:uid="{7A4C0215-D7ED-463D-831B-ABA780363AE5}"/>
    <hyperlink ref="A657" r:id="rId347" xr:uid="{5823E7DC-03CF-480E-8D6E-E6DA6D120199}"/>
    <hyperlink ref="A968" r:id="rId348" xr:uid="{CAD26247-C7A2-44E0-BE16-7339D0D20E88}"/>
    <hyperlink ref="A62" r:id="rId349" xr:uid="{248F92F7-4101-492F-A982-98BA244EAF7F}"/>
    <hyperlink ref="A1150" r:id="rId350" xr:uid="{683CF23B-3EC0-4C53-8F16-DD1C53D5B7BE}"/>
    <hyperlink ref="A658" r:id="rId351" xr:uid="{1A0B8358-BF58-41AD-B40C-BBBE75FED77F}"/>
    <hyperlink ref="A313" r:id="rId352" xr:uid="{093BA690-AB7B-4E04-98DF-7EF2CD237CCD}"/>
    <hyperlink ref="A486" r:id="rId353" xr:uid="{50B08591-BE54-4B0A-B903-13EA6F7295C4}"/>
    <hyperlink ref="A63" r:id="rId354" xr:uid="{E5B2DDAC-EBA5-4D26-8F1E-42CA127F5126}"/>
    <hyperlink ref="A659" r:id="rId355" xr:uid="{14248AC4-B784-4C63-9290-7A540185605B}"/>
    <hyperlink ref="A118" r:id="rId356" xr:uid="{3B60CC8B-F6FD-42FC-9726-024C39215CE9}"/>
    <hyperlink ref="A205" r:id="rId357" xr:uid="{E269CE3D-C9A1-4319-905C-BD9E6454C26F}"/>
    <hyperlink ref="A309" r:id="rId358" xr:uid="{CCB88238-9C3B-4E62-A2D8-181B0EBC61DB}"/>
    <hyperlink ref="A661" r:id="rId359" xr:uid="{84925280-0345-42DE-A288-27E6534E3153}"/>
    <hyperlink ref="A920" r:id="rId360" xr:uid="{FAAEA127-065F-43B1-882E-958005C9EA99}"/>
    <hyperlink ref="A178" r:id="rId361" xr:uid="{53D38BC7-9296-40E9-A752-0056CF6DF1F5}"/>
    <hyperlink ref="A274" r:id="rId362" xr:uid="{34BB4747-BFD1-4822-BC72-8FF356382CC3}"/>
    <hyperlink ref="A784" r:id="rId363" xr:uid="{21576294-5EAC-4E31-A7B5-49F84D35EBB4}"/>
    <hyperlink ref="A913" r:id="rId364" xr:uid="{3FB35D99-9522-449D-B463-07E5B58B3152}"/>
    <hyperlink ref="A245" r:id="rId365" xr:uid="{5628D5D1-A02A-4D49-AC83-C72BD02FB69E}"/>
    <hyperlink ref="A238" r:id="rId366" xr:uid="{0E109FD0-B371-415D-9378-BF9F338013D5}"/>
    <hyperlink ref="A664" r:id="rId367" xr:uid="{755A2A78-7C16-4C0A-9FA2-BA2CA2F803A1}"/>
    <hyperlink ref="A1080" r:id="rId368" xr:uid="{A1D67EE1-1117-4C91-8FEC-7312F617FB58}"/>
    <hyperlink ref="A334" r:id="rId369" xr:uid="{3B8E8E8A-C3E9-4184-8F88-AF86F3B2F979}"/>
    <hyperlink ref="A391" r:id="rId370" xr:uid="{E53A7F05-FD70-401F-B336-69EB4A32B3A4}"/>
    <hyperlink ref="A515" r:id="rId371" xr:uid="{E685A7FC-0449-4458-97EB-85380643AB00}"/>
    <hyperlink ref="A181" r:id="rId372" xr:uid="{C6740EA3-565C-4EED-8497-845ABAFFBBB9}"/>
    <hyperlink ref="A293" r:id="rId373" xr:uid="{1179B31D-DF15-4E9B-8903-D0B65890F51F}"/>
    <hyperlink ref="A326" r:id="rId374" xr:uid="{C0B8F8AF-B8C1-4BEA-B90A-635910B0F2D7}"/>
    <hyperlink ref="A207" r:id="rId375" xr:uid="{598CE153-E574-48DB-9AA3-926DD91C92B7}"/>
    <hyperlink ref="A418" r:id="rId376" xr:uid="{E112FB67-9EA3-4589-B026-A50497FDC701}"/>
    <hyperlink ref="A1079" r:id="rId377" xr:uid="{20ED97B6-E43B-41A1-B9BB-7889278A42A1}"/>
    <hyperlink ref="A487" r:id="rId378" xr:uid="{B39B64EF-A94D-4B8B-BA7B-68203106AF28}"/>
    <hyperlink ref="A969" r:id="rId379" xr:uid="{8BA84AF5-6C55-4A0F-8AF8-C093CDB592E6}"/>
    <hyperlink ref="A915" r:id="rId380" xr:uid="{42F2AF4D-0B6A-4550-8338-035C4190BCAA}"/>
    <hyperlink ref="A1081" r:id="rId381" xr:uid="{2E069279-4A7C-4071-8A4B-E21684DE3D5F}"/>
    <hyperlink ref="A870" r:id="rId382" xr:uid="{C7365AF2-C7A2-462A-9020-74BF45E90324}"/>
    <hyperlink ref="A23" r:id="rId383" xr:uid="{1297BF5C-311B-41B6-BBBA-F2BB0717E6D0}"/>
    <hyperlink ref="A1179" r:id="rId384" xr:uid="{A4BC2350-2ECD-4887-A6B4-9A8E86D54072}"/>
    <hyperlink ref="A967" r:id="rId385" xr:uid="{3733642A-9E30-45FA-8079-0608C9E0F75A}"/>
    <hyperlink ref="A44" r:id="rId386" xr:uid="{F702C8E5-F10C-4A39-B41B-05029CE86DC0}"/>
    <hyperlink ref="A51" r:id="rId387" xr:uid="{DE1E9D9B-6E5C-44F0-8562-B7320EC9697B}"/>
    <hyperlink ref="A52" r:id="rId388" xr:uid="{8EA20DFC-1A4A-4094-843A-CBFBBA113C3E}"/>
    <hyperlink ref="A975" r:id="rId389" xr:uid="{44B00641-C066-446A-975D-D3826F198053}"/>
    <hyperlink ref="A10" r:id="rId390" xr:uid="{E8006DBA-2066-4CC5-8AA1-5331BB52C0C1}"/>
    <hyperlink ref="A839" r:id="rId391" xr:uid="{ED15C892-3880-4150-85BF-4B15B0802146}"/>
    <hyperlink ref="A285" r:id="rId392" xr:uid="{E9141C19-7AB8-44AD-ABB0-B7F7B71F5AD8}"/>
    <hyperlink ref="A1187" r:id="rId393" xr:uid="{CA0BF28A-FF03-4348-83A3-D2505B7B9B47}"/>
    <hyperlink ref="A304" r:id="rId394" xr:uid="{CE444CF9-0CB1-4EDF-9228-898B461F46EC}"/>
    <hyperlink ref="A988" r:id="rId395" xr:uid="{C7D3B913-DDB0-4574-8A8C-EC682A8A53B8}"/>
  </hyperlinks>
  <pageMargins left="0.31496062992125984" right="0.31496062992125984" top="0.62992125984251968" bottom="0.74803149606299213" header="0.31496062992125984" footer="0.31496062992125984"/>
  <pageSetup paperSize="9" scale="39" fitToHeight="0" orientation="landscape" r:id="rId396"/>
  <headerFooter>
    <oddFooter>&amp;LQR1002 Approved Supplier Register v4.0&amp;RPage &amp;P of &amp;N</oddFooter>
  </headerFooter>
  <drawing r:id="rId397"/>
  <legacyDrawing r:id="rId398"/>
  <controls>
    <mc:AlternateContent xmlns:mc="http://schemas.openxmlformats.org/markup-compatibility/2006">
      <mc:Choice Requires="x14">
        <control shapeId="1183" r:id="rId399" name="CommandButton1">
          <controlPr defaultSize="0" autoFill="0" autoLine="0" r:id="rId400">
            <anchor moveWithCells="1">
              <from>
                <xdr:col>1</xdr:col>
                <xdr:colOff>66675</xdr:colOff>
                <xdr:row>2</xdr:row>
                <xdr:rowOff>38100</xdr:rowOff>
              </from>
              <to>
                <xdr:col>1</xdr:col>
                <xdr:colOff>1123950</xdr:colOff>
                <xdr:row>2</xdr:row>
                <xdr:rowOff>323850</xdr:rowOff>
              </to>
            </anchor>
          </controlPr>
        </control>
      </mc:Choice>
      <mc:Fallback>
        <control shapeId="1183" r:id="rId399" name="CommandButton1"/>
      </mc:Fallback>
    </mc:AlternateContent>
    <mc:AlternateContent xmlns:mc="http://schemas.openxmlformats.org/markup-compatibility/2006">
      <mc:Choice Requires="x14">
        <control shapeId="1137" r:id="rId401" name="TextBox1">
          <controlPr defaultSize="0" autoLine="0" r:id="rId402">
            <anchor moveWithCells="1">
              <from>
                <xdr:col>1</xdr:col>
                <xdr:colOff>28575</xdr:colOff>
                <xdr:row>1</xdr:row>
                <xdr:rowOff>38100</xdr:rowOff>
              </from>
              <to>
                <xdr:col>1</xdr:col>
                <xdr:colOff>2171700</xdr:colOff>
                <xdr:row>1</xdr:row>
                <xdr:rowOff>228600</xdr:rowOff>
              </to>
            </anchor>
          </controlPr>
        </control>
      </mc:Choice>
      <mc:Fallback>
        <control shapeId="1137" r:id="rId401" name="TextBox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27947-8EC7-4D4A-8481-74A3B7A6F77F}">
  <sheetPr codeName="Sheet5"/>
  <dimension ref="A1:AF104"/>
  <sheetViews>
    <sheetView zoomScale="55" zoomScaleNormal="55" workbookViewId="0">
      <selection activeCell="AA80" sqref="AA80"/>
    </sheetView>
  </sheetViews>
  <sheetFormatPr defaultColWidth="4.46484375" defaultRowHeight="12.75" x14ac:dyDescent="0.45"/>
  <cols>
    <col min="1" max="1" width="29.86328125" style="26" bestFit="1" customWidth="1"/>
    <col min="2" max="2" width="7.6640625" style="26" bestFit="1" customWidth="1"/>
    <col min="3" max="16384" width="4.46484375" style="26"/>
  </cols>
  <sheetData>
    <row r="1" spans="1:11" ht="14.25" x14ac:dyDescent="0.45">
      <c r="A1" s="17" t="s">
        <v>3657</v>
      </c>
      <c r="B1" s="17" t="s">
        <v>3658</v>
      </c>
    </row>
    <row r="3" spans="1:11" ht="14.25" x14ac:dyDescent="0.45">
      <c r="A3" s="17" t="s">
        <v>3659</v>
      </c>
      <c r="B3" s="17"/>
      <c r="C3" s="17"/>
      <c r="D3" s="17"/>
      <c r="E3" s="17"/>
      <c r="F3" s="17"/>
      <c r="G3" s="17"/>
      <c r="H3" s="17"/>
      <c r="I3" s="17"/>
      <c r="J3" s="17"/>
      <c r="K3" s="17"/>
    </row>
    <row r="4" spans="1:11" ht="14.25" x14ac:dyDescent="0.45">
      <c r="A4" s="27" t="s">
        <v>3660</v>
      </c>
      <c r="B4" s="17"/>
      <c r="C4" s="17"/>
      <c r="D4" s="17"/>
      <c r="E4" s="17"/>
      <c r="F4" s="17"/>
      <c r="G4" s="17"/>
      <c r="H4" s="17"/>
      <c r="I4" s="17"/>
      <c r="J4" s="17"/>
      <c r="K4" s="17"/>
    </row>
    <row r="5" spans="1:11" ht="14.25" x14ac:dyDescent="0.45">
      <c r="A5" s="27" t="s">
        <v>3661</v>
      </c>
      <c r="B5" s="17"/>
      <c r="C5" s="17"/>
      <c r="D5" s="17"/>
      <c r="E5" s="17"/>
      <c r="F5" s="17"/>
      <c r="G5" s="17"/>
      <c r="H5" s="17"/>
      <c r="I5" s="17"/>
      <c r="J5" s="17"/>
      <c r="K5" s="17"/>
    </row>
    <row r="6" spans="1:11" ht="14.25" x14ac:dyDescent="0.45">
      <c r="A6" s="27" t="s">
        <v>3662</v>
      </c>
      <c r="B6" s="17"/>
      <c r="C6" s="17"/>
      <c r="D6" s="17"/>
      <c r="E6" s="17"/>
      <c r="F6" s="17"/>
      <c r="G6" s="17"/>
      <c r="H6" s="17"/>
      <c r="I6" s="17"/>
      <c r="J6" s="17"/>
      <c r="K6" s="17"/>
    </row>
    <row r="7" spans="1:11" ht="14.25" x14ac:dyDescent="0.45">
      <c r="A7" s="27" t="s">
        <v>3663</v>
      </c>
      <c r="B7" s="17"/>
      <c r="C7" s="17"/>
      <c r="D7" s="17"/>
      <c r="E7" s="17"/>
      <c r="F7" s="17"/>
      <c r="G7" s="17"/>
      <c r="H7" s="17"/>
      <c r="I7" s="17"/>
      <c r="J7" s="17"/>
      <c r="K7" s="17"/>
    </row>
    <row r="8" spans="1:11" ht="14.25" x14ac:dyDescent="0.45">
      <c r="A8" s="27" t="s">
        <v>3664</v>
      </c>
      <c r="B8" s="17"/>
      <c r="C8" s="17"/>
      <c r="D8" s="17"/>
      <c r="E8" s="17"/>
      <c r="F8" s="17"/>
      <c r="G8" s="17"/>
      <c r="H8" s="17"/>
      <c r="I8" s="17"/>
      <c r="J8" s="17"/>
      <c r="K8" s="17"/>
    </row>
    <row r="9" spans="1:11" ht="14.25" x14ac:dyDescent="0.45">
      <c r="A9" s="27" t="s">
        <v>3665</v>
      </c>
      <c r="B9" s="17"/>
      <c r="C9" s="17"/>
      <c r="D9" s="17"/>
      <c r="E9" s="17"/>
      <c r="F9" s="17"/>
      <c r="G9" s="17"/>
      <c r="H9" s="17"/>
      <c r="I9" s="17"/>
      <c r="J9" s="17"/>
      <c r="K9" s="17"/>
    </row>
    <row r="10" spans="1:11" ht="14.25" x14ac:dyDescent="0.45">
      <c r="A10" s="27" t="s">
        <v>3666</v>
      </c>
      <c r="B10" s="17"/>
      <c r="C10" s="17"/>
      <c r="D10" s="17"/>
      <c r="E10" s="17"/>
      <c r="F10" s="17"/>
      <c r="G10" s="17"/>
      <c r="H10" s="17"/>
      <c r="I10" s="17"/>
      <c r="J10" s="17"/>
      <c r="K10" s="17"/>
    </row>
    <row r="11" spans="1:11" ht="14.25" x14ac:dyDescent="0.45">
      <c r="A11" s="27" t="s">
        <v>3667</v>
      </c>
      <c r="B11" s="17"/>
      <c r="C11" s="17"/>
      <c r="D11" s="17"/>
      <c r="E11" s="17"/>
      <c r="F11" s="17"/>
      <c r="G11" s="17"/>
      <c r="H11" s="17"/>
      <c r="I11" s="17"/>
      <c r="J11" s="17"/>
      <c r="K11" s="17"/>
    </row>
    <row r="12" spans="1:11" ht="14.25" x14ac:dyDescent="0.45">
      <c r="A12" s="27" t="s">
        <v>3668</v>
      </c>
      <c r="B12" s="17"/>
      <c r="C12" s="17"/>
      <c r="D12" s="17"/>
      <c r="E12" s="17"/>
      <c r="F12" s="17"/>
      <c r="G12" s="17"/>
      <c r="H12" s="17"/>
      <c r="I12" s="17"/>
      <c r="J12" s="17"/>
      <c r="K12" s="17"/>
    </row>
    <row r="13" spans="1:11" ht="14.25" x14ac:dyDescent="0.45">
      <c r="A13" s="27" t="s">
        <v>3669</v>
      </c>
      <c r="B13" s="17"/>
      <c r="C13" s="17"/>
      <c r="D13" s="17"/>
      <c r="E13" s="17"/>
      <c r="F13" s="17"/>
      <c r="G13" s="17"/>
      <c r="H13" s="17"/>
      <c r="I13" s="17"/>
      <c r="J13" s="17"/>
      <c r="K13" s="17"/>
    </row>
    <row r="14" spans="1:11" ht="14.25" x14ac:dyDescent="0.45">
      <c r="A14" s="27" t="s">
        <v>3670</v>
      </c>
      <c r="B14" s="17"/>
      <c r="C14" s="17"/>
      <c r="D14" s="17"/>
      <c r="E14" s="17"/>
      <c r="F14" s="17"/>
      <c r="G14" s="17"/>
      <c r="H14" s="17"/>
      <c r="I14" s="17"/>
      <c r="J14" s="17"/>
      <c r="K14" s="17"/>
    </row>
    <row r="15" spans="1:11" ht="14.25" x14ac:dyDescent="0.45">
      <c r="A15" s="27" t="s">
        <v>3671</v>
      </c>
      <c r="B15" s="17"/>
      <c r="C15" s="17"/>
      <c r="D15" s="17"/>
      <c r="E15" s="17"/>
      <c r="F15" s="17"/>
      <c r="G15" s="17"/>
      <c r="H15" s="17"/>
      <c r="I15" s="17"/>
      <c r="J15" s="17"/>
      <c r="K15" s="17"/>
    </row>
    <row r="16" spans="1:11" ht="14.25" x14ac:dyDescent="0.45">
      <c r="A16" s="27" t="s">
        <v>3672</v>
      </c>
      <c r="B16" s="17"/>
      <c r="C16" s="17"/>
      <c r="D16" s="17"/>
      <c r="E16" s="17"/>
      <c r="F16" s="17"/>
      <c r="G16" s="17"/>
      <c r="H16" s="17"/>
      <c r="I16" s="17"/>
      <c r="J16" s="17"/>
      <c r="K16" s="17"/>
    </row>
    <row r="17" spans="1:32" ht="14.25" x14ac:dyDescent="0.45">
      <c r="A17" s="27" t="s">
        <v>3673</v>
      </c>
      <c r="B17" s="17"/>
      <c r="C17" s="17"/>
      <c r="D17" s="17"/>
      <c r="E17" s="17"/>
      <c r="F17" s="17"/>
      <c r="G17" s="17"/>
      <c r="H17" s="17"/>
      <c r="I17" s="17"/>
      <c r="J17" s="17"/>
      <c r="K17" s="17"/>
    </row>
    <row r="18" spans="1:32" ht="14.25" x14ac:dyDescent="0.45">
      <c r="A18" s="27" t="s">
        <v>3674</v>
      </c>
      <c r="B18" s="17"/>
      <c r="C18" s="17"/>
      <c r="D18" s="17"/>
      <c r="E18" s="17"/>
      <c r="F18" s="17"/>
      <c r="G18" s="17"/>
      <c r="H18" s="17"/>
      <c r="I18" s="17"/>
      <c r="J18" s="17"/>
      <c r="K18" s="17"/>
    </row>
    <row r="19" spans="1:32" ht="14.25" x14ac:dyDescent="0.45">
      <c r="A19" s="27" t="s">
        <v>3675</v>
      </c>
      <c r="B19" s="17"/>
      <c r="C19" s="17"/>
      <c r="D19" s="17"/>
      <c r="E19" s="17"/>
      <c r="F19" s="17"/>
      <c r="G19" s="17"/>
      <c r="H19" s="17"/>
      <c r="I19" s="17"/>
      <c r="J19" s="17"/>
      <c r="K19" s="17"/>
    </row>
    <row r="20" spans="1:32" ht="14.25" x14ac:dyDescent="0.45">
      <c r="A20" s="27" t="s">
        <v>3676</v>
      </c>
      <c r="B20" s="17"/>
      <c r="C20" s="17"/>
      <c r="D20" s="17"/>
      <c r="E20" s="17"/>
      <c r="F20" s="17"/>
      <c r="G20" s="17"/>
      <c r="H20" s="17"/>
      <c r="I20" s="17"/>
      <c r="J20" s="17"/>
      <c r="K20" s="17"/>
    </row>
    <row r="21" spans="1:32" ht="14.25" x14ac:dyDescent="0.45">
      <c r="A21" s="27" t="s">
        <v>3677</v>
      </c>
      <c r="B21" s="17"/>
      <c r="C21" s="17"/>
      <c r="D21" s="17"/>
      <c r="E21" s="17"/>
      <c r="F21" s="17"/>
      <c r="G21" s="17"/>
      <c r="H21" s="17"/>
      <c r="I21" s="17"/>
      <c r="J21" s="17"/>
      <c r="K21" s="17"/>
      <c r="M21" s="152"/>
      <c r="N21" s="153"/>
      <c r="O21" s="153"/>
      <c r="P21" s="153"/>
      <c r="Q21" s="153"/>
      <c r="R21" s="153"/>
      <c r="T21" s="153"/>
      <c r="U21" s="153"/>
      <c r="V21" s="153"/>
      <c r="W21" s="153"/>
      <c r="X21" s="153"/>
      <c r="Y21" s="153"/>
      <c r="AA21" s="153"/>
      <c r="AB21" s="153"/>
      <c r="AC21" s="153"/>
      <c r="AD21" s="153"/>
      <c r="AE21" s="153"/>
      <c r="AF21" s="153"/>
    </row>
    <row r="22" spans="1:32" ht="14.25" x14ac:dyDescent="0.45">
      <c r="A22" s="27" t="s">
        <v>3678</v>
      </c>
      <c r="B22" s="17"/>
      <c r="C22" s="17"/>
      <c r="D22" s="17"/>
      <c r="E22" s="17"/>
      <c r="F22" s="17"/>
      <c r="G22" s="17"/>
      <c r="H22" s="17"/>
      <c r="I22" s="17"/>
      <c r="J22" s="17"/>
      <c r="K22" s="17"/>
      <c r="M22" s="153"/>
      <c r="N22" s="153"/>
      <c r="O22" s="153"/>
      <c r="P22" s="153"/>
      <c r="Q22" s="153"/>
      <c r="R22" s="153"/>
      <c r="T22" s="153"/>
      <c r="U22" s="153"/>
      <c r="V22" s="153"/>
      <c r="W22" s="153"/>
      <c r="X22" s="153"/>
      <c r="Y22" s="153"/>
      <c r="AA22" s="153"/>
      <c r="AB22" s="153"/>
      <c r="AC22" s="153"/>
      <c r="AD22" s="153"/>
      <c r="AE22" s="153"/>
      <c r="AF22" s="153"/>
    </row>
    <row r="23" spans="1:32" ht="14.25" x14ac:dyDescent="0.45">
      <c r="A23" s="27" t="s">
        <v>3679</v>
      </c>
      <c r="B23" s="17"/>
      <c r="C23" s="17"/>
      <c r="D23" s="17"/>
      <c r="E23" s="17"/>
      <c r="F23" s="17"/>
      <c r="G23" s="17"/>
      <c r="H23" s="17"/>
      <c r="I23" s="17"/>
      <c r="J23" s="17"/>
      <c r="K23" s="17"/>
      <c r="M23" s="154"/>
      <c r="N23" s="154"/>
      <c r="O23" s="151"/>
      <c r="P23" s="151"/>
      <c r="Q23" s="151"/>
      <c r="R23" s="151"/>
      <c r="T23" s="154"/>
      <c r="U23" s="154"/>
      <c r="V23" s="151"/>
      <c r="W23" s="151"/>
      <c r="X23" s="151"/>
      <c r="Y23" s="151"/>
      <c r="AA23" s="154"/>
      <c r="AB23" s="154"/>
      <c r="AC23" s="151"/>
      <c r="AD23" s="151"/>
      <c r="AE23" s="151"/>
      <c r="AF23" s="151"/>
    </row>
    <row r="24" spans="1:32" ht="14.25" x14ac:dyDescent="0.45">
      <c r="A24" s="27" t="s">
        <v>3680</v>
      </c>
      <c r="B24" s="17"/>
      <c r="C24" s="17"/>
      <c r="D24" s="17"/>
      <c r="E24" s="17"/>
      <c r="F24" s="17"/>
      <c r="G24" s="17"/>
      <c r="H24" s="17"/>
      <c r="I24" s="17"/>
      <c r="J24" s="17"/>
      <c r="K24" s="17"/>
      <c r="M24" s="154"/>
      <c r="N24" s="154"/>
      <c r="O24" s="151"/>
      <c r="P24" s="151"/>
      <c r="Q24" s="151"/>
      <c r="R24" s="151"/>
      <c r="T24" s="154"/>
      <c r="U24" s="154"/>
      <c r="V24" s="151"/>
      <c r="W24" s="151"/>
      <c r="X24" s="151"/>
      <c r="Y24" s="151"/>
      <c r="AA24" s="154"/>
      <c r="AB24" s="154"/>
      <c r="AC24" s="151"/>
      <c r="AD24" s="151"/>
      <c r="AE24" s="151"/>
      <c r="AF24" s="151"/>
    </row>
    <row r="25" spans="1:32" ht="14.25" x14ac:dyDescent="0.45">
      <c r="A25" s="27" t="s">
        <v>3681</v>
      </c>
      <c r="B25" s="17"/>
      <c r="C25" s="17"/>
      <c r="D25" s="17"/>
      <c r="E25" s="17"/>
      <c r="F25" s="17"/>
      <c r="G25" s="17"/>
      <c r="H25" s="17"/>
      <c r="I25" s="17"/>
      <c r="J25" s="17"/>
      <c r="K25" s="17"/>
      <c r="M25" s="151"/>
      <c r="N25" s="151"/>
      <c r="O25" s="151"/>
      <c r="P25" s="151"/>
      <c r="Q25" s="151"/>
      <c r="R25" s="151"/>
      <c r="T25" s="151"/>
      <c r="U25" s="151"/>
      <c r="V25" s="151"/>
      <c r="W25" s="151"/>
      <c r="X25" s="151"/>
      <c r="Y25" s="151"/>
      <c r="AA25" s="151"/>
      <c r="AB25" s="151"/>
      <c r="AC25" s="151"/>
      <c r="AD25" s="151"/>
      <c r="AE25" s="151"/>
      <c r="AF25" s="151"/>
    </row>
    <row r="26" spans="1:32" ht="14.25" x14ac:dyDescent="0.45">
      <c r="A26" s="27" t="s">
        <v>3682</v>
      </c>
      <c r="B26" s="17"/>
      <c r="C26" s="17"/>
      <c r="D26" s="17"/>
      <c r="E26" s="17"/>
      <c r="F26" s="17"/>
      <c r="G26" s="17"/>
      <c r="H26" s="17"/>
      <c r="I26" s="17"/>
      <c r="J26" s="17"/>
      <c r="K26" s="17"/>
      <c r="M26" s="151"/>
      <c r="N26" s="151"/>
      <c r="O26" s="151"/>
      <c r="P26" s="151"/>
      <c r="Q26" s="151"/>
      <c r="R26" s="151"/>
      <c r="T26" s="151"/>
      <c r="U26" s="151"/>
      <c r="V26" s="151"/>
      <c r="W26" s="151"/>
      <c r="X26" s="151"/>
      <c r="Y26" s="151"/>
      <c r="AA26" s="151"/>
      <c r="AB26" s="151"/>
      <c r="AC26" s="151"/>
      <c r="AD26" s="151"/>
      <c r="AE26" s="151"/>
      <c r="AF26" s="151"/>
    </row>
    <row r="27" spans="1:32" ht="14.25" x14ac:dyDescent="0.45">
      <c r="A27" s="27" t="s">
        <v>3683</v>
      </c>
      <c r="B27" s="17"/>
      <c r="C27" s="17"/>
      <c r="D27" s="17"/>
      <c r="E27" s="17"/>
      <c r="F27" s="17"/>
      <c r="G27" s="17"/>
      <c r="H27" s="17"/>
      <c r="I27" s="17"/>
      <c r="J27" s="17"/>
      <c r="K27" s="17"/>
      <c r="M27" s="151"/>
      <c r="N27" s="151"/>
      <c r="O27" s="151"/>
      <c r="P27" s="151"/>
      <c r="Q27" s="151"/>
      <c r="R27" s="151"/>
      <c r="T27" s="151"/>
      <c r="U27" s="151"/>
      <c r="V27" s="151"/>
      <c r="W27" s="151"/>
      <c r="X27" s="151"/>
      <c r="Y27" s="151"/>
      <c r="AA27" s="151"/>
      <c r="AB27" s="151"/>
      <c r="AC27" s="151"/>
      <c r="AD27" s="151"/>
      <c r="AE27" s="151"/>
      <c r="AF27" s="151"/>
    </row>
    <row r="28" spans="1:32" ht="14.25" x14ac:dyDescent="0.45">
      <c r="A28" s="27" t="s">
        <v>3684</v>
      </c>
      <c r="B28" s="17"/>
      <c r="C28" s="17"/>
      <c r="D28" s="17"/>
      <c r="E28" s="17"/>
      <c r="F28" s="17"/>
      <c r="G28" s="17"/>
      <c r="H28" s="17"/>
      <c r="I28" s="17"/>
      <c r="J28" s="17"/>
      <c r="K28" s="17"/>
      <c r="M28" s="151"/>
      <c r="N28" s="151"/>
      <c r="O28" s="151"/>
      <c r="P28" s="151"/>
      <c r="Q28" s="151"/>
      <c r="R28" s="151"/>
      <c r="T28" s="151"/>
      <c r="U28" s="151"/>
      <c r="V28" s="151"/>
      <c r="W28" s="151"/>
      <c r="X28" s="151"/>
      <c r="Y28" s="151"/>
      <c r="AA28" s="151"/>
      <c r="AB28" s="151"/>
      <c r="AC28" s="151"/>
      <c r="AD28" s="151"/>
      <c r="AE28" s="151"/>
      <c r="AF28" s="151"/>
    </row>
    <row r="29" spans="1:32" ht="14.25" x14ac:dyDescent="0.45">
      <c r="A29" s="27" t="s">
        <v>3685</v>
      </c>
      <c r="B29" s="17"/>
      <c r="C29" s="17"/>
      <c r="D29" s="17"/>
      <c r="E29" s="17"/>
      <c r="F29" s="17"/>
      <c r="G29" s="17"/>
      <c r="H29" s="17"/>
      <c r="I29" s="17"/>
      <c r="J29" s="17"/>
      <c r="K29" s="17"/>
    </row>
    <row r="30" spans="1:32" ht="14.25" x14ac:dyDescent="0.45">
      <c r="A30" s="27" t="s">
        <v>3686</v>
      </c>
      <c r="B30" s="17"/>
      <c r="C30" s="17"/>
      <c r="D30" s="17"/>
      <c r="E30" s="17"/>
      <c r="F30" s="17"/>
      <c r="G30" s="17"/>
      <c r="H30" s="17"/>
      <c r="I30" s="17"/>
      <c r="J30" s="17"/>
      <c r="K30" s="17"/>
    </row>
    <row r="31" spans="1:32" ht="14.25" x14ac:dyDescent="0.45">
      <c r="A31" s="27" t="s">
        <v>3687</v>
      </c>
      <c r="B31" s="17"/>
      <c r="C31" s="17"/>
      <c r="D31" s="17"/>
      <c r="E31" s="17"/>
      <c r="F31" s="17"/>
      <c r="G31" s="17"/>
      <c r="H31" s="17"/>
      <c r="I31" s="17"/>
      <c r="J31" s="17"/>
      <c r="K31" s="17"/>
    </row>
    <row r="32" spans="1:32" ht="14.25" x14ac:dyDescent="0.45">
      <c r="A32" s="27" t="s">
        <v>3688</v>
      </c>
      <c r="B32" s="17"/>
      <c r="C32" s="17"/>
      <c r="D32" s="17"/>
      <c r="E32" s="17"/>
      <c r="F32" s="17"/>
      <c r="G32" s="17"/>
      <c r="H32" s="17"/>
      <c r="I32" s="17"/>
      <c r="J32" s="17"/>
      <c r="K32" s="17"/>
    </row>
    <row r="33" spans="1:11" ht="14.25" x14ac:dyDescent="0.45">
      <c r="A33" s="27" t="s">
        <v>3689</v>
      </c>
      <c r="B33" s="17"/>
      <c r="C33" s="17"/>
      <c r="D33" s="17"/>
      <c r="E33" s="17"/>
      <c r="F33" s="17"/>
      <c r="G33" s="17"/>
      <c r="H33" s="17"/>
      <c r="I33" s="17"/>
      <c r="J33" s="17"/>
      <c r="K33" s="17"/>
    </row>
    <row r="34" spans="1:11" ht="14.25" x14ac:dyDescent="0.45">
      <c r="A34" s="27" t="s">
        <v>3690</v>
      </c>
      <c r="B34" s="17"/>
      <c r="C34" s="17"/>
      <c r="D34" s="17"/>
      <c r="E34" s="17"/>
      <c r="F34" s="17"/>
      <c r="G34" s="17"/>
      <c r="H34" s="17"/>
      <c r="I34" s="17"/>
      <c r="J34" s="17"/>
      <c r="K34" s="17"/>
    </row>
    <row r="35" spans="1:11" ht="14.25" x14ac:dyDescent="0.45">
      <c r="A35" s="27" t="s">
        <v>3691</v>
      </c>
      <c r="B35" s="17"/>
      <c r="C35" s="17"/>
      <c r="D35" s="17"/>
      <c r="E35" s="17"/>
      <c r="F35" s="17"/>
      <c r="G35" s="17"/>
      <c r="H35" s="17"/>
      <c r="I35" s="17"/>
      <c r="J35" s="17"/>
      <c r="K35" s="17"/>
    </row>
    <row r="36" spans="1:11" ht="14.25" x14ac:dyDescent="0.45">
      <c r="A36" s="27" t="s">
        <v>3692</v>
      </c>
      <c r="B36" s="17"/>
      <c r="C36" s="17"/>
      <c r="D36" s="17"/>
      <c r="E36" s="17"/>
      <c r="F36" s="17"/>
      <c r="G36" s="17"/>
      <c r="H36" s="17"/>
      <c r="I36" s="17"/>
      <c r="J36" s="17"/>
      <c r="K36" s="17"/>
    </row>
    <row r="37" spans="1:11" ht="14.25" x14ac:dyDescent="0.45">
      <c r="A37" s="27" t="s">
        <v>3693</v>
      </c>
      <c r="B37" s="17"/>
      <c r="C37" s="17"/>
      <c r="D37" s="17"/>
      <c r="E37" s="17"/>
      <c r="F37" s="17"/>
      <c r="G37" s="17"/>
      <c r="H37" s="17"/>
      <c r="I37" s="17"/>
      <c r="J37" s="17"/>
      <c r="K37" s="17"/>
    </row>
    <row r="38" spans="1:11" ht="14.25" x14ac:dyDescent="0.45">
      <c r="A38" s="27" t="s">
        <v>3694</v>
      </c>
      <c r="B38" s="17"/>
      <c r="C38" s="17"/>
      <c r="D38" s="17"/>
      <c r="E38" s="17"/>
      <c r="F38" s="17"/>
      <c r="G38" s="17"/>
      <c r="H38" s="17"/>
      <c r="I38" s="17"/>
      <c r="J38" s="17"/>
      <c r="K38" s="17"/>
    </row>
    <row r="39" spans="1:11" ht="14.25" x14ac:dyDescent="0.45">
      <c r="A39" s="27" t="s">
        <v>3695</v>
      </c>
      <c r="B39" s="17"/>
      <c r="C39" s="17"/>
      <c r="D39" s="17"/>
      <c r="E39" s="17"/>
      <c r="F39" s="17"/>
      <c r="G39" s="17"/>
      <c r="H39" s="17"/>
      <c r="I39" s="17"/>
      <c r="J39" s="17"/>
      <c r="K39" s="17"/>
    </row>
    <row r="40" spans="1:11" ht="14.25" x14ac:dyDescent="0.45">
      <c r="A40" s="27" t="s">
        <v>3696</v>
      </c>
      <c r="B40" s="17"/>
      <c r="C40" s="17"/>
      <c r="D40" s="17"/>
      <c r="E40" s="17"/>
      <c r="F40" s="17"/>
      <c r="G40" s="17"/>
      <c r="H40" s="17"/>
      <c r="I40" s="17"/>
      <c r="J40" s="17"/>
      <c r="K40" s="17"/>
    </row>
    <row r="41" spans="1:11" ht="14.25" x14ac:dyDescent="0.45">
      <c r="A41" s="27" t="s">
        <v>3697</v>
      </c>
      <c r="B41" s="17"/>
      <c r="C41" s="17"/>
      <c r="D41" s="17"/>
      <c r="E41" s="17"/>
      <c r="F41" s="17"/>
      <c r="G41" s="17"/>
      <c r="H41" s="17"/>
      <c r="I41" s="17"/>
      <c r="J41" s="17"/>
      <c r="K41" s="17"/>
    </row>
    <row r="42" spans="1:11" ht="14.25" x14ac:dyDescent="0.45">
      <c r="A42" s="27" t="s">
        <v>3698</v>
      </c>
      <c r="B42" s="17"/>
      <c r="C42" s="17"/>
      <c r="D42" s="17"/>
      <c r="E42" s="17"/>
      <c r="F42" s="17"/>
      <c r="G42" s="17"/>
      <c r="H42" s="17"/>
      <c r="I42" s="17"/>
      <c r="J42" s="17"/>
      <c r="K42" s="17"/>
    </row>
    <row r="43" spans="1:11" ht="14.25" x14ac:dyDescent="0.45">
      <c r="A43" s="27" t="s">
        <v>3699</v>
      </c>
      <c r="B43" s="17"/>
      <c r="C43" s="17"/>
      <c r="D43" s="17"/>
      <c r="E43" s="17"/>
      <c r="F43" s="17"/>
      <c r="G43" s="17"/>
      <c r="H43" s="17"/>
      <c r="I43" s="17"/>
      <c r="J43" s="17"/>
      <c r="K43" s="17"/>
    </row>
    <row r="44" spans="1:11" ht="14.25" x14ac:dyDescent="0.45">
      <c r="A44" s="27" t="s">
        <v>3700</v>
      </c>
      <c r="B44" s="17"/>
      <c r="C44" s="17"/>
      <c r="D44" s="17"/>
      <c r="E44" s="17"/>
      <c r="F44" s="17"/>
      <c r="G44" s="17"/>
      <c r="H44" s="17"/>
      <c r="I44" s="17"/>
      <c r="J44" s="17"/>
      <c r="K44" s="17"/>
    </row>
    <row r="45" spans="1:11" ht="14.25" x14ac:dyDescent="0.45">
      <c r="A45" s="27" t="s">
        <v>3701</v>
      </c>
      <c r="B45" s="17"/>
      <c r="C45" s="17"/>
      <c r="D45" s="17"/>
      <c r="E45" s="17"/>
      <c r="F45" s="17"/>
      <c r="G45" s="17"/>
      <c r="H45" s="17"/>
      <c r="I45" s="17"/>
      <c r="J45" s="17"/>
      <c r="K45" s="17"/>
    </row>
    <row r="46" spans="1:11" ht="14.25" x14ac:dyDescent="0.45">
      <c r="A46" s="27" t="s">
        <v>3702</v>
      </c>
      <c r="B46" s="17"/>
      <c r="C46" s="17"/>
      <c r="D46" s="17"/>
      <c r="E46" s="17"/>
      <c r="F46" s="17"/>
      <c r="G46" s="17"/>
      <c r="H46" s="17"/>
      <c r="I46" s="17"/>
      <c r="J46" s="17"/>
      <c r="K46" s="17"/>
    </row>
    <row r="47" spans="1:11" ht="14.25" x14ac:dyDescent="0.45">
      <c r="A47" s="27" t="s">
        <v>3703</v>
      </c>
      <c r="B47" s="17"/>
      <c r="C47" s="17"/>
      <c r="D47" s="17"/>
      <c r="E47" s="17"/>
      <c r="F47" s="17"/>
      <c r="G47" s="17"/>
      <c r="H47" s="17"/>
      <c r="I47" s="17"/>
      <c r="J47" s="17"/>
      <c r="K47" s="17"/>
    </row>
    <row r="48" spans="1:11" ht="14.25" x14ac:dyDescent="0.45">
      <c r="A48" s="27" t="s">
        <v>3704</v>
      </c>
      <c r="B48" s="17"/>
      <c r="C48" s="17"/>
      <c r="D48" s="17"/>
      <c r="E48" s="17"/>
      <c r="F48" s="17"/>
      <c r="G48" s="17"/>
      <c r="H48" s="17"/>
      <c r="I48" s="17"/>
      <c r="J48" s="17"/>
      <c r="K48" s="17"/>
    </row>
    <row r="49" spans="1:11" ht="14.25" x14ac:dyDescent="0.45">
      <c r="A49" s="17"/>
      <c r="B49" s="17"/>
      <c r="C49" s="17"/>
      <c r="D49" s="17"/>
      <c r="E49" s="17"/>
      <c r="F49" s="17"/>
      <c r="G49" s="17"/>
      <c r="H49" s="17"/>
      <c r="I49" s="17"/>
      <c r="J49" s="17"/>
      <c r="K49" s="17"/>
    </row>
    <row r="50" spans="1:11" ht="14.25" x14ac:dyDescent="0.45">
      <c r="A50" s="17"/>
    </row>
    <row r="51" spans="1:11" ht="14.25" x14ac:dyDescent="0.45">
      <c r="A51" s="17"/>
    </row>
    <row r="52" spans="1:11" ht="14.25" x14ac:dyDescent="0.45">
      <c r="A52" s="17"/>
    </row>
    <row r="53" spans="1:11" ht="14.25" x14ac:dyDescent="0.45">
      <c r="A53" s="17"/>
    </row>
    <row r="54" spans="1:11" ht="14.25" x14ac:dyDescent="0.45">
      <c r="A54" s="17"/>
    </row>
    <row r="55" spans="1:11" ht="14.25" x14ac:dyDescent="0.45">
      <c r="A55" s="17"/>
    </row>
    <row r="56" spans="1:11" ht="14.25" x14ac:dyDescent="0.45">
      <c r="A56" s="17"/>
    </row>
    <row r="57" spans="1:11" ht="14.25" x14ac:dyDescent="0.45">
      <c r="A57" s="17"/>
    </row>
    <row r="58" spans="1:11" ht="14.25" x14ac:dyDescent="0.45">
      <c r="A58" s="17"/>
    </row>
    <row r="59" spans="1:11" ht="14.25" x14ac:dyDescent="0.45">
      <c r="A59" s="17"/>
    </row>
    <row r="60" spans="1:11" ht="14.25" x14ac:dyDescent="0.45">
      <c r="A60" s="17"/>
    </row>
    <row r="61" spans="1:11" ht="14.25" x14ac:dyDescent="0.45">
      <c r="A61" s="17"/>
    </row>
    <row r="62" spans="1:11" ht="14.25" x14ac:dyDescent="0.45">
      <c r="A62" s="17"/>
    </row>
    <row r="63" spans="1:11" ht="14.25" x14ac:dyDescent="0.45">
      <c r="A63" s="17"/>
    </row>
    <row r="64" spans="1:11" ht="14.25" x14ac:dyDescent="0.45">
      <c r="A64" s="17"/>
    </row>
    <row r="65" spans="1:1" ht="14.25" x14ac:dyDescent="0.45">
      <c r="A65" s="17"/>
    </row>
    <row r="66" spans="1:1" ht="14.25" x14ac:dyDescent="0.45">
      <c r="A66" s="17"/>
    </row>
    <row r="67" spans="1:1" ht="14.25" x14ac:dyDescent="0.45">
      <c r="A67" s="17"/>
    </row>
    <row r="68" spans="1:1" ht="14.25" x14ac:dyDescent="0.45">
      <c r="A68" s="17"/>
    </row>
    <row r="69" spans="1:1" ht="14.25" x14ac:dyDescent="0.45">
      <c r="A69" s="17"/>
    </row>
    <row r="70" spans="1:1" ht="14.25" x14ac:dyDescent="0.45">
      <c r="A70" s="17"/>
    </row>
    <row r="71" spans="1:1" ht="14.25" x14ac:dyDescent="0.45">
      <c r="A71" s="17"/>
    </row>
    <row r="72" spans="1:1" ht="14.25" x14ac:dyDescent="0.45">
      <c r="A72" s="17"/>
    </row>
    <row r="73" spans="1:1" ht="14.25" x14ac:dyDescent="0.45">
      <c r="A73" s="17"/>
    </row>
    <row r="74" spans="1:1" ht="14.25" x14ac:dyDescent="0.45">
      <c r="A74" s="17"/>
    </row>
    <row r="75" spans="1:1" ht="14.25" x14ac:dyDescent="0.45">
      <c r="A75" s="17"/>
    </row>
    <row r="76" spans="1:1" ht="14.25" x14ac:dyDescent="0.45">
      <c r="A76" s="17"/>
    </row>
    <row r="77" spans="1:1" ht="14.25" x14ac:dyDescent="0.45">
      <c r="A77" s="17"/>
    </row>
    <row r="78" spans="1:1" ht="14.25" x14ac:dyDescent="0.45">
      <c r="A78" s="17"/>
    </row>
    <row r="79" spans="1:1" ht="14.25" x14ac:dyDescent="0.45">
      <c r="A79" s="17"/>
    </row>
    <row r="80" spans="1:1" ht="14.25" x14ac:dyDescent="0.45">
      <c r="A80" s="17"/>
    </row>
    <row r="81" spans="1:1" ht="14.25" x14ac:dyDescent="0.45">
      <c r="A81" s="17"/>
    </row>
    <row r="82" spans="1:1" ht="14.25" x14ac:dyDescent="0.45">
      <c r="A82" s="17"/>
    </row>
    <row r="83" spans="1:1" ht="14.25" x14ac:dyDescent="0.45">
      <c r="A83" s="17"/>
    </row>
    <row r="84" spans="1:1" ht="14.25" x14ac:dyDescent="0.45">
      <c r="A84" s="17"/>
    </row>
    <row r="85" spans="1:1" ht="14.25" x14ac:dyDescent="0.45">
      <c r="A85" s="17"/>
    </row>
    <row r="86" spans="1:1" ht="14.25" x14ac:dyDescent="0.45">
      <c r="A86" s="17"/>
    </row>
    <row r="87" spans="1:1" ht="14.25" x14ac:dyDescent="0.45">
      <c r="A87" s="17"/>
    </row>
    <row r="88" spans="1:1" ht="14.25" x14ac:dyDescent="0.45">
      <c r="A88" s="17"/>
    </row>
    <row r="89" spans="1:1" ht="14.25" x14ac:dyDescent="0.45">
      <c r="A89" s="17"/>
    </row>
    <row r="90" spans="1:1" ht="14.25" x14ac:dyDescent="0.45">
      <c r="A90" s="17"/>
    </row>
    <row r="91" spans="1:1" ht="14.25" x14ac:dyDescent="0.45">
      <c r="A91" s="17"/>
    </row>
    <row r="92" spans="1:1" ht="14.25" x14ac:dyDescent="0.45">
      <c r="A92" s="17"/>
    </row>
    <row r="93" spans="1:1" ht="14.25" x14ac:dyDescent="0.45">
      <c r="A93" s="17"/>
    </row>
    <row r="94" spans="1:1" ht="14.25" x14ac:dyDescent="0.45">
      <c r="A94" s="17"/>
    </row>
    <row r="95" spans="1:1" ht="14.25" x14ac:dyDescent="0.45">
      <c r="A95" s="17"/>
    </row>
    <row r="96" spans="1:1" ht="14.25" x14ac:dyDescent="0.45">
      <c r="A96" s="17"/>
    </row>
    <row r="97" spans="1:1" ht="14.25" x14ac:dyDescent="0.45">
      <c r="A97" s="17"/>
    </row>
    <row r="98" spans="1:1" ht="14.25" x14ac:dyDescent="0.45">
      <c r="A98" s="17"/>
    </row>
    <row r="99" spans="1:1" ht="14.25" x14ac:dyDescent="0.45">
      <c r="A99" s="17"/>
    </row>
    <row r="100" spans="1:1" ht="14.25" x14ac:dyDescent="0.45">
      <c r="A100" s="17"/>
    </row>
    <row r="101" spans="1:1" ht="14.25" x14ac:dyDescent="0.45">
      <c r="A101" s="17"/>
    </row>
    <row r="102" spans="1:1" ht="14.25" x14ac:dyDescent="0.45">
      <c r="A102" s="17"/>
    </row>
    <row r="103" spans="1:1" ht="14.25" x14ac:dyDescent="0.45">
      <c r="A103" s="17"/>
    </row>
    <row r="104" spans="1:1" ht="14.25" x14ac:dyDescent="0.45">
      <c r="A104" s="17"/>
    </row>
  </sheetData>
  <mergeCells count="39">
    <mergeCell ref="AA27:AB28"/>
    <mergeCell ref="AC27:AD28"/>
    <mergeCell ref="AE27:AF28"/>
    <mergeCell ref="M27:N28"/>
    <mergeCell ref="O27:P28"/>
    <mergeCell ref="Q27:R28"/>
    <mergeCell ref="T27:U28"/>
    <mergeCell ref="V27:W28"/>
    <mergeCell ref="X27:Y28"/>
    <mergeCell ref="X25:Y26"/>
    <mergeCell ref="AA25:AB26"/>
    <mergeCell ref="AC25:AD26"/>
    <mergeCell ref="AE25:AF26"/>
    <mergeCell ref="M23:N24"/>
    <mergeCell ref="O23:P24"/>
    <mergeCell ref="Q23:R24"/>
    <mergeCell ref="T23:U24"/>
    <mergeCell ref="V23:W24"/>
    <mergeCell ref="M25:N26"/>
    <mergeCell ref="O25:P26"/>
    <mergeCell ref="Q25:R26"/>
    <mergeCell ref="T25:U26"/>
    <mergeCell ref="V25:W26"/>
    <mergeCell ref="X23:Y24"/>
    <mergeCell ref="AA23:AB24"/>
    <mergeCell ref="AC23:AD24"/>
    <mergeCell ref="AE23:AF24"/>
    <mergeCell ref="M21:R21"/>
    <mergeCell ref="T21:Y21"/>
    <mergeCell ref="AA21:AF21"/>
    <mergeCell ref="M22:N22"/>
    <mergeCell ref="O22:P22"/>
    <mergeCell ref="Q22:R22"/>
    <mergeCell ref="T22:U22"/>
    <mergeCell ref="V22:W22"/>
    <mergeCell ref="X22:Y22"/>
    <mergeCell ref="AA22:AB22"/>
    <mergeCell ref="AC22:AD22"/>
    <mergeCell ref="AE22:AF22"/>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9AE32-2D5A-454F-8CD1-3F013D704005}">
  <sheetPr codeName="Sheet6"/>
  <dimension ref="A1:Q66"/>
  <sheetViews>
    <sheetView workbookViewId="0">
      <selection activeCell="D39" sqref="D39"/>
    </sheetView>
  </sheetViews>
  <sheetFormatPr defaultColWidth="9.1328125" defaultRowHeight="12.75" customHeight="1" x14ac:dyDescent="0.45"/>
  <cols>
    <col min="1" max="1" width="7.3984375" style="23" customWidth="1"/>
    <col min="2" max="2" width="13.73046875" style="23" customWidth="1"/>
    <col min="3" max="3" width="17.59765625" style="23" customWidth="1"/>
    <col min="4" max="4" width="28.3984375" style="23" customWidth="1"/>
    <col min="5" max="5" width="42.265625" style="23" customWidth="1"/>
    <col min="6" max="6" width="12.6640625" style="23" customWidth="1"/>
    <col min="7" max="7" width="11.3984375" style="23" customWidth="1"/>
    <col min="8" max="8" width="10.86328125" style="23" customWidth="1"/>
    <col min="9" max="9" width="18.796875" style="23" customWidth="1"/>
    <col min="10" max="10" width="18.6640625" style="23" customWidth="1"/>
    <col min="11" max="11" width="11.265625" style="23" customWidth="1"/>
    <col min="12" max="12" width="22.46484375" style="23" customWidth="1"/>
    <col min="13" max="13" width="28.265625" style="23" customWidth="1"/>
    <col min="14" max="14" width="16.9296875" style="23" customWidth="1"/>
    <col min="15" max="15" width="15.33203125" style="23" customWidth="1"/>
    <col min="16" max="16" width="23.1328125" style="23" customWidth="1"/>
    <col min="17" max="17" width="16.6640625" style="23" customWidth="1"/>
    <col min="18" max="16384" width="9.1328125" style="23"/>
  </cols>
  <sheetData>
    <row r="1" spans="1:17" ht="12.75" customHeight="1" x14ac:dyDescent="0.45">
      <c r="A1" s="22" t="s">
        <v>3705</v>
      </c>
      <c r="B1" s="22" t="s">
        <v>3706</v>
      </c>
      <c r="C1" s="22" t="s">
        <v>3707</v>
      </c>
      <c r="D1" s="22" t="s">
        <v>3708</v>
      </c>
      <c r="E1" s="22" t="s">
        <v>3709</v>
      </c>
      <c r="F1" s="22" t="s">
        <v>3710</v>
      </c>
      <c r="G1" s="22" t="s">
        <v>3711</v>
      </c>
      <c r="H1" s="22" t="s">
        <v>3712</v>
      </c>
      <c r="I1" s="22" t="s">
        <v>3713</v>
      </c>
      <c r="J1" s="22" t="s">
        <v>3714</v>
      </c>
      <c r="K1" s="22" t="s">
        <v>3715</v>
      </c>
      <c r="L1" s="22" t="s">
        <v>3657</v>
      </c>
      <c r="M1" s="22" t="s">
        <v>3716</v>
      </c>
      <c r="N1" s="22" t="s">
        <v>3717</v>
      </c>
      <c r="O1" s="22" t="s">
        <v>3718</v>
      </c>
      <c r="P1" s="22" t="s">
        <v>3719</v>
      </c>
      <c r="Q1" s="22" t="s">
        <v>3720</v>
      </c>
    </row>
    <row r="2" spans="1:17" ht="12.75" customHeight="1" x14ac:dyDescent="0.45">
      <c r="A2" s="23" t="s">
        <v>82</v>
      </c>
      <c r="B2" s="23" t="s">
        <v>3721</v>
      </c>
      <c r="C2" s="23" t="s">
        <v>3722</v>
      </c>
      <c r="D2" s="23" t="s">
        <v>3723</v>
      </c>
      <c r="E2" s="23" t="s">
        <v>3724</v>
      </c>
      <c r="F2" s="24" t="s">
        <v>3725</v>
      </c>
      <c r="G2" s="25">
        <v>45047</v>
      </c>
      <c r="H2" s="25">
        <v>45282</v>
      </c>
      <c r="I2" s="23" t="s">
        <v>3722</v>
      </c>
      <c r="J2" s="23" t="s">
        <v>3726</v>
      </c>
      <c r="K2" s="23">
        <v>1</v>
      </c>
      <c r="L2" s="23" t="s">
        <v>3727</v>
      </c>
      <c r="M2" s="23" t="s">
        <v>3685</v>
      </c>
      <c r="N2" s="25">
        <v>45202</v>
      </c>
      <c r="O2" s="23" t="s">
        <v>3728</v>
      </c>
      <c r="P2" s="23">
        <v>1</v>
      </c>
      <c r="Q2" s="23" t="s">
        <v>3729</v>
      </c>
    </row>
    <row r="3" spans="1:17" ht="12.75" customHeight="1" x14ac:dyDescent="0.45">
      <c r="A3" s="23" t="s">
        <v>82</v>
      </c>
      <c r="B3" s="23" t="s">
        <v>3730</v>
      </c>
      <c r="C3" s="23" t="s">
        <v>3722</v>
      </c>
      <c r="D3" s="23" t="s">
        <v>3723</v>
      </c>
      <c r="E3" s="23" t="s">
        <v>3731</v>
      </c>
      <c r="F3" s="24" t="s">
        <v>3732</v>
      </c>
      <c r="G3" s="25">
        <v>44897</v>
      </c>
      <c r="H3" s="25">
        <v>45282</v>
      </c>
      <c r="I3" s="23" t="s">
        <v>3722</v>
      </c>
      <c r="J3" s="23" t="s">
        <v>3726</v>
      </c>
      <c r="K3" s="23">
        <v>1</v>
      </c>
      <c r="L3" s="23" t="s">
        <v>3727</v>
      </c>
      <c r="M3" s="23" t="s">
        <v>3685</v>
      </c>
      <c r="N3" s="25">
        <v>45202</v>
      </c>
      <c r="O3" s="23" t="s">
        <v>3728</v>
      </c>
      <c r="P3" s="23">
        <v>1</v>
      </c>
      <c r="Q3" s="23" t="s">
        <v>3729</v>
      </c>
    </row>
    <row r="4" spans="1:17" ht="12.75" customHeight="1" x14ac:dyDescent="0.45">
      <c r="A4" s="23" t="s">
        <v>82</v>
      </c>
      <c r="B4" s="23" t="s">
        <v>3733</v>
      </c>
      <c r="C4" s="23" t="s">
        <v>3734</v>
      </c>
      <c r="D4" s="23" t="s">
        <v>3735</v>
      </c>
      <c r="E4" s="23" t="s">
        <v>3736</v>
      </c>
      <c r="F4" s="23" t="s">
        <v>3737</v>
      </c>
      <c r="G4" s="25">
        <v>44984</v>
      </c>
      <c r="H4" s="25">
        <v>45197</v>
      </c>
      <c r="I4" s="23" t="s">
        <v>3738</v>
      </c>
      <c r="J4" s="23" t="s">
        <v>3726</v>
      </c>
      <c r="K4" s="23">
        <v>1</v>
      </c>
      <c r="L4" s="23" t="s">
        <v>3739</v>
      </c>
      <c r="M4" s="23" t="s">
        <v>3689</v>
      </c>
      <c r="N4" s="25">
        <v>45202</v>
      </c>
      <c r="O4" s="23" t="s">
        <v>3728</v>
      </c>
      <c r="P4" s="23">
        <v>1</v>
      </c>
      <c r="Q4" s="23" t="s">
        <v>3740</v>
      </c>
    </row>
    <row r="5" spans="1:17" ht="12.75" customHeight="1" x14ac:dyDescent="0.45">
      <c r="A5" s="23" t="s">
        <v>82</v>
      </c>
      <c r="B5" s="23" t="s">
        <v>3741</v>
      </c>
      <c r="C5" s="23" t="s">
        <v>3734</v>
      </c>
      <c r="D5" s="23" t="s">
        <v>3735</v>
      </c>
      <c r="E5" s="23" t="s">
        <v>3742</v>
      </c>
      <c r="F5" s="23" t="s">
        <v>3743</v>
      </c>
      <c r="G5" s="25">
        <v>45019</v>
      </c>
      <c r="H5" s="25">
        <v>45260</v>
      </c>
      <c r="I5" s="23" t="s">
        <v>3744</v>
      </c>
      <c r="J5" s="23" t="s">
        <v>3726</v>
      </c>
      <c r="K5" s="23">
        <v>1</v>
      </c>
      <c r="L5" s="23" t="s">
        <v>3739</v>
      </c>
      <c r="M5" s="23" t="s">
        <v>3689</v>
      </c>
      <c r="N5" s="25">
        <v>45202</v>
      </c>
      <c r="O5" s="23" t="s">
        <v>3728</v>
      </c>
      <c r="P5" s="23">
        <v>1</v>
      </c>
      <c r="Q5" s="23" t="s">
        <v>88</v>
      </c>
    </row>
    <row r="6" spans="1:17" ht="12.75" customHeight="1" x14ac:dyDescent="0.45">
      <c r="A6" s="23" t="s">
        <v>82</v>
      </c>
      <c r="B6" s="23" t="s">
        <v>3745</v>
      </c>
      <c r="C6" s="23" t="s">
        <v>3734</v>
      </c>
      <c r="D6" s="23" t="s">
        <v>3735</v>
      </c>
      <c r="E6" s="23" t="s">
        <v>3746</v>
      </c>
      <c r="F6" s="24" t="s">
        <v>3747</v>
      </c>
      <c r="G6" s="25">
        <v>45078</v>
      </c>
      <c r="H6" s="25">
        <v>45222</v>
      </c>
      <c r="I6" s="23" t="s">
        <v>3744</v>
      </c>
      <c r="J6" s="23" t="s">
        <v>3726</v>
      </c>
      <c r="K6" s="23">
        <v>1</v>
      </c>
      <c r="L6" s="23" t="s">
        <v>3739</v>
      </c>
      <c r="M6" s="23" t="s">
        <v>3689</v>
      </c>
      <c r="N6" s="25">
        <v>45202</v>
      </c>
      <c r="O6" s="23" t="s">
        <v>3728</v>
      </c>
      <c r="P6" s="23">
        <v>1.05</v>
      </c>
      <c r="Q6" s="23" t="s">
        <v>88</v>
      </c>
    </row>
    <row r="7" spans="1:17" ht="12.75" customHeight="1" x14ac:dyDescent="0.45">
      <c r="A7" s="23" t="s">
        <v>82</v>
      </c>
      <c r="B7" s="23" t="s">
        <v>3748</v>
      </c>
      <c r="C7" s="23" t="s">
        <v>3749</v>
      </c>
      <c r="D7" s="23" t="s">
        <v>3750</v>
      </c>
      <c r="E7" s="23" t="s">
        <v>3751</v>
      </c>
      <c r="F7" s="24" t="s">
        <v>3752</v>
      </c>
      <c r="G7" s="25">
        <v>45019</v>
      </c>
      <c r="H7" s="25">
        <v>45156</v>
      </c>
      <c r="I7" s="23" t="s">
        <v>3753</v>
      </c>
      <c r="J7" s="23" t="s">
        <v>3754</v>
      </c>
      <c r="K7" s="23">
        <v>4</v>
      </c>
      <c r="L7" s="23" t="s">
        <v>3755</v>
      </c>
      <c r="M7" s="23" t="s">
        <v>3676</v>
      </c>
      <c r="N7" s="25">
        <v>45202</v>
      </c>
      <c r="O7" s="23" t="s">
        <v>3728</v>
      </c>
      <c r="P7" s="23">
        <v>1</v>
      </c>
      <c r="Q7" s="23" t="s">
        <v>88</v>
      </c>
    </row>
    <row r="8" spans="1:17" ht="12.75" customHeight="1" x14ac:dyDescent="0.45">
      <c r="A8" s="23" t="s">
        <v>82</v>
      </c>
      <c r="B8" s="23" t="s">
        <v>3756</v>
      </c>
      <c r="C8" s="23" t="s">
        <v>3749</v>
      </c>
      <c r="D8" s="23" t="s">
        <v>3750</v>
      </c>
      <c r="E8" s="23" t="s">
        <v>3757</v>
      </c>
      <c r="F8" s="24" t="s">
        <v>3758</v>
      </c>
      <c r="G8" s="25">
        <v>45139</v>
      </c>
      <c r="H8" s="25">
        <v>45254</v>
      </c>
      <c r="I8" s="23" t="s">
        <v>3753</v>
      </c>
      <c r="J8" s="23" t="s">
        <v>3754</v>
      </c>
      <c r="K8" s="23">
        <v>4</v>
      </c>
      <c r="L8" s="23" t="s">
        <v>3755</v>
      </c>
      <c r="M8" s="23" t="s">
        <v>3676</v>
      </c>
      <c r="N8" s="25">
        <v>45202</v>
      </c>
      <c r="O8" s="23" t="s">
        <v>3728</v>
      </c>
      <c r="P8" s="23">
        <v>1</v>
      </c>
      <c r="Q8" s="23" t="s">
        <v>88</v>
      </c>
    </row>
    <row r="9" spans="1:17" ht="12.75" customHeight="1" x14ac:dyDescent="0.45">
      <c r="A9" s="23" t="s">
        <v>82</v>
      </c>
      <c r="B9" s="23" t="s">
        <v>3759</v>
      </c>
      <c r="C9" s="23" t="s">
        <v>3760</v>
      </c>
      <c r="D9" s="23" t="s">
        <v>3661</v>
      </c>
      <c r="E9" s="23" t="s">
        <v>3661</v>
      </c>
      <c r="F9" s="24" t="s">
        <v>3761</v>
      </c>
      <c r="G9" s="25">
        <v>42005</v>
      </c>
      <c r="H9" s="25">
        <v>45657</v>
      </c>
      <c r="I9" s="23" t="s">
        <v>3760</v>
      </c>
      <c r="J9" s="23" t="s">
        <v>3760</v>
      </c>
      <c r="K9" s="23">
        <v>1</v>
      </c>
      <c r="L9" s="23" t="s">
        <v>3762</v>
      </c>
      <c r="M9" s="23" t="s">
        <v>3661</v>
      </c>
      <c r="N9" s="25">
        <v>45202</v>
      </c>
      <c r="O9" s="23" t="s">
        <v>3728</v>
      </c>
      <c r="P9" s="23">
        <v>1.1000000000000001</v>
      </c>
      <c r="Q9" s="23" t="s">
        <v>88</v>
      </c>
    </row>
    <row r="10" spans="1:17" ht="12.75" customHeight="1" x14ac:dyDescent="0.45">
      <c r="A10" s="23" t="s">
        <v>82</v>
      </c>
      <c r="B10" s="23" t="s">
        <v>3763</v>
      </c>
      <c r="C10" s="23" t="s">
        <v>3764</v>
      </c>
      <c r="D10" s="23" t="s">
        <v>3661</v>
      </c>
      <c r="E10" s="23" t="s">
        <v>3765</v>
      </c>
      <c r="F10" s="24" t="s">
        <v>3761</v>
      </c>
      <c r="G10" s="25">
        <v>45075</v>
      </c>
      <c r="H10" s="25">
        <v>45104</v>
      </c>
      <c r="I10" s="23" t="s">
        <v>3764</v>
      </c>
      <c r="J10" s="23" t="s">
        <v>3766</v>
      </c>
      <c r="K10" s="23">
        <v>2</v>
      </c>
      <c r="L10" s="23" t="s">
        <v>3755</v>
      </c>
      <c r="M10" s="23" t="s">
        <v>3698</v>
      </c>
      <c r="N10" s="25">
        <v>45202</v>
      </c>
      <c r="O10" s="23" t="s">
        <v>3728</v>
      </c>
      <c r="P10" s="23">
        <v>1</v>
      </c>
      <c r="Q10" s="23" t="s">
        <v>88</v>
      </c>
    </row>
    <row r="11" spans="1:17" ht="12.75" customHeight="1" x14ac:dyDescent="0.45">
      <c r="A11" s="23" t="s">
        <v>82</v>
      </c>
      <c r="B11" s="23" t="s">
        <v>3767</v>
      </c>
      <c r="C11" s="23" t="s">
        <v>3768</v>
      </c>
      <c r="D11" s="23" t="s">
        <v>3769</v>
      </c>
      <c r="E11" s="23" t="s">
        <v>3770</v>
      </c>
      <c r="F11" s="23" t="s">
        <v>3771</v>
      </c>
      <c r="G11" s="25">
        <v>45173</v>
      </c>
      <c r="H11" s="25">
        <v>45205</v>
      </c>
      <c r="I11" s="23" t="s">
        <v>3772</v>
      </c>
      <c r="J11" s="23" t="s">
        <v>3744</v>
      </c>
      <c r="K11" s="23">
        <v>0</v>
      </c>
      <c r="L11" s="23" t="s">
        <v>3773</v>
      </c>
      <c r="M11" s="23" t="s">
        <v>3702</v>
      </c>
      <c r="N11" s="25">
        <v>45202</v>
      </c>
      <c r="O11" s="23" t="s">
        <v>3728</v>
      </c>
      <c r="P11" s="23">
        <v>1</v>
      </c>
      <c r="Q11" s="23" t="s">
        <v>88</v>
      </c>
    </row>
    <row r="12" spans="1:17" ht="12.75" customHeight="1" x14ac:dyDescent="0.45">
      <c r="A12" s="23" t="s">
        <v>82</v>
      </c>
      <c r="B12" s="23" t="s">
        <v>3774</v>
      </c>
      <c r="C12" s="23" t="s">
        <v>3775</v>
      </c>
      <c r="D12" s="23" t="s">
        <v>3769</v>
      </c>
      <c r="E12" s="23" t="s">
        <v>3776</v>
      </c>
      <c r="F12" s="24" t="s">
        <v>3752</v>
      </c>
      <c r="G12" s="25">
        <v>45047</v>
      </c>
      <c r="H12" s="25">
        <v>45198</v>
      </c>
      <c r="I12" s="23" t="s">
        <v>3772</v>
      </c>
      <c r="J12" s="23" t="s">
        <v>3744</v>
      </c>
      <c r="K12" s="23">
        <v>1</v>
      </c>
      <c r="L12" s="23" t="s">
        <v>3727</v>
      </c>
      <c r="M12" s="23" t="s">
        <v>3665</v>
      </c>
      <c r="N12" s="25">
        <v>45202</v>
      </c>
      <c r="O12" s="23" t="s">
        <v>3728</v>
      </c>
      <c r="P12" s="23">
        <v>1</v>
      </c>
      <c r="Q12" s="23" t="s">
        <v>88</v>
      </c>
    </row>
    <row r="13" spans="1:17" ht="12.75" customHeight="1" x14ac:dyDescent="0.45">
      <c r="A13" s="23" t="s">
        <v>82</v>
      </c>
      <c r="B13" s="23" t="s">
        <v>3777</v>
      </c>
      <c r="C13" s="23" t="s">
        <v>3775</v>
      </c>
      <c r="D13" s="23" t="s">
        <v>3769</v>
      </c>
      <c r="E13" s="23" t="s">
        <v>3778</v>
      </c>
      <c r="F13" s="23" t="s">
        <v>148</v>
      </c>
      <c r="G13" s="25">
        <v>45194</v>
      </c>
      <c r="H13" s="25">
        <v>45275</v>
      </c>
      <c r="I13" s="23" t="s">
        <v>3772</v>
      </c>
      <c r="J13" s="23" t="s">
        <v>3744</v>
      </c>
      <c r="K13" s="23">
        <v>1</v>
      </c>
      <c r="L13" s="23" t="s">
        <v>88</v>
      </c>
      <c r="M13" s="23" t="s">
        <v>3665</v>
      </c>
      <c r="N13" s="25">
        <v>45202</v>
      </c>
      <c r="O13" s="23" t="s">
        <v>3728</v>
      </c>
      <c r="P13" s="23">
        <v>1.1000000000000001</v>
      </c>
      <c r="Q13" s="23" t="s">
        <v>88</v>
      </c>
    </row>
    <row r="14" spans="1:17" ht="12.75" customHeight="1" x14ac:dyDescent="0.45">
      <c r="A14" s="23" t="s">
        <v>82</v>
      </c>
      <c r="B14" s="23" t="s">
        <v>3779</v>
      </c>
      <c r="C14" s="23" t="s">
        <v>3772</v>
      </c>
      <c r="D14" s="23" t="s">
        <v>3769</v>
      </c>
      <c r="E14" s="23" t="s">
        <v>3780</v>
      </c>
      <c r="F14" s="24" t="s">
        <v>3781</v>
      </c>
      <c r="G14" s="25">
        <v>45139</v>
      </c>
      <c r="H14" s="25">
        <v>45282</v>
      </c>
      <c r="I14" s="23" t="s">
        <v>3772</v>
      </c>
      <c r="J14" s="23" t="s">
        <v>3772</v>
      </c>
      <c r="K14" s="23">
        <v>1</v>
      </c>
      <c r="L14" s="23" t="s">
        <v>3782</v>
      </c>
      <c r="M14" s="23" t="s">
        <v>3665</v>
      </c>
      <c r="N14" s="25">
        <v>45202</v>
      </c>
      <c r="O14" s="23" t="s">
        <v>3728</v>
      </c>
      <c r="P14" s="23">
        <v>1.1000000000000001</v>
      </c>
      <c r="Q14" s="23" t="s">
        <v>88</v>
      </c>
    </row>
    <row r="15" spans="1:17" ht="12.75" customHeight="1" x14ac:dyDescent="0.45">
      <c r="A15" s="23" t="s">
        <v>82</v>
      </c>
      <c r="B15" s="23" t="s">
        <v>3783</v>
      </c>
      <c r="C15" s="23" t="s">
        <v>3784</v>
      </c>
      <c r="D15" s="23" t="s">
        <v>3785</v>
      </c>
      <c r="E15" s="23" t="s">
        <v>3786</v>
      </c>
      <c r="F15" s="24" t="s">
        <v>3787</v>
      </c>
      <c r="G15" s="25">
        <v>44685</v>
      </c>
      <c r="H15" s="25">
        <v>45044</v>
      </c>
      <c r="I15" s="23" t="s">
        <v>3788</v>
      </c>
      <c r="J15" s="23" t="s">
        <v>3788</v>
      </c>
      <c r="K15" s="23">
        <v>4</v>
      </c>
      <c r="L15" s="23" t="s">
        <v>3773</v>
      </c>
      <c r="M15" s="23" t="s">
        <v>3686</v>
      </c>
      <c r="N15" s="25">
        <v>45202</v>
      </c>
      <c r="O15" s="23" t="s">
        <v>3728</v>
      </c>
      <c r="P15" s="23">
        <v>1</v>
      </c>
      <c r="Q15" s="23" t="s">
        <v>3789</v>
      </c>
    </row>
    <row r="16" spans="1:17" ht="12.75" customHeight="1" x14ac:dyDescent="0.45">
      <c r="A16" s="23" t="s">
        <v>82</v>
      </c>
      <c r="B16" s="23" t="s">
        <v>3790</v>
      </c>
      <c r="C16" s="23" t="s">
        <v>3791</v>
      </c>
      <c r="D16" s="23" t="s">
        <v>3792</v>
      </c>
      <c r="E16" s="23" t="s">
        <v>3793</v>
      </c>
      <c r="F16" s="24" t="s">
        <v>3794</v>
      </c>
      <c r="G16" s="25">
        <v>44916</v>
      </c>
      <c r="H16" s="25">
        <v>45321</v>
      </c>
      <c r="I16" s="23" t="s">
        <v>3795</v>
      </c>
      <c r="J16" s="23" t="s">
        <v>3766</v>
      </c>
      <c r="K16" s="23">
        <v>4</v>
      </c>
      <c r="L16" s="23" t="s">
        <v>3727</v>
      </c>
      <c r="M16" s="23" t="s">
        <v>3669</v>
      </c>
      <c r="N16" s="25">
        <v>45202</v>
      </c>
      <c r="O16" s="23" t="s">
        <v>3728</v>
      </c>
      <c r="P16" s="23">
        <v>1</v>
      </c>
      <c r="Q16" s="23" t="s">
        <v>3796</v>
      </c>
    </row>
    <row r="17" spans="1:17" ht="12.75" customHeight="1" x14ac:dyDescent="0.45">
      <c r="A17" s="23" t="s">
        <v>82</v>
      </c>
      <c r="B17" s="23" t="s">
        <v>3797</v>
      </c>
      <c r="C17" s="23" t="s">
        <v>3798</v>
      </c>
      <c r="D17" s="23" t="s">
        <v>3799</v>
      </c>
      <c r="E17" s="23" t="s">
        <v>3800</v>
      </c>
      <c r="F17" s="23" t="s">
        <v>3801</v>
      </c>
      <c r="G17" s="25">
        <v>44732</v>
      </c>
      <c r="H17" s="25">
        <v>45401</v>
      </c>
      <c r="I17" s="23" t="s">
        <v>3798</v>
      </c>
      <c r="J17" s="23" t="s">
        <v>3802</v>
      </c>
      <c r="K17" s="23">
        <v>1</v>
      </c>
      <c r="L17" s="23" t="s">
        <v>3762</v>
      </c>
      <c r="M17" s="23" t="s">
        <v>3668</v>
      </c>
      <c r="N17" s="25">
        <v>45202</v>
      </c>
      <c r="O17" s="23" t="s">
        <v>3728</v>
      </c>
      <c r="P17" s="23">
        <v>1</v>
      </c>
      <c r="Q17" s="23" t="s">
        <v>88</v>
      </c>
    </row>
    <row r="18" spans="1:17" ht="12.75" customHeight="1" x14ac:dyDescent="0.45">
      <c r="A18" s="23" t="s">
        <v>82</v>
      </c>
      <c r="B18" s="23" t="s">
        <v>3803</v>
      </c>
      <c r="C18" s="23" t="s">
        <v>3804</v>
      </c>
      <c r="D18" s="23" t="s">
        <v>3799</v>
      </c>
      <c r="E18" s="23" t="s">
        <v>3805</v>
      </c>
      <c r="F18" s="24" t="s">
        <v>3787</v>
      </c>
      <c r="G18" s="25">
        <v>44958</v>
      </c>
      <c r="H18" s="25">
        <v>45198</v>
      </c>
      <c r="I18" s="23" t="s">
        <v>3806</v>
      </c>
      <c r="J18" s="23" t="s">
        <v>3802</v>
      </c>
      <c r="K18" s="23">
        <v>1</v>
      </c>
      <c r="L18" s="23" t="s">
        <v>3755</v>
      </c>
      <c r="M18" s="23" t="s">
        <v>3671</v>
      </c>
      <c r="N18" s="25">
        <v>45202</v>
      </c>
      <c r="O18" s="23" t="s">
        <v>3728</v>
      </c>
      <c r="P18" s="23">
        <v>1</v>
      </c>
      <c r="Q18" s="23" t="s">
        <v>3807</v>
      </c>
    </row>
    <row r="19" spans="1:17" ht="12.75" customHeight="1" x14ac:dyDescent="0.45">
      <c r="A19" s="23" t="s">
        <v>82</v>
      </c>
      <c r="B19" s="23" t="s">
        <v>3808</v>
      </c>
      <c r="C19" s="23" t="s">
        <v>3806</v>
      </c>
      <c r="D19" s="23" t="s">
        <v>3799</v>
      </c>
      <c r="E19" s="23" t="s">
        <v>3809</v>
      </c>
      <c r="F19" s="24" t="s">
        <v>3810</v>
      </c>
      <c r="G19" s="25">
        <v>45124</v>
      </c>
      <c r="H19" s="25">
        <v>45174</v>
      </c>
      <c r="I19" s="23" t="s">
        <v>3802</v>
      </c>
      <c r="J19" s="23" t="s">
        <v>3802</v>
      </c>
      <c r="K19" s="23">
        <v>1</v>
      </c>
      <c r="L19" s="23" t="s">
        <v>3782</v>
      </c>
      <c r="M19" s="23" t="s">
        <v>3679</v>
      </c>
      <c r="N19" s="25">
        <v>45202</v>
      </c>
      <c r="O19" s="23" t="s">
        <v>3728</v>
      </c>
      <c r="P19" s="23">
        <v>1</v>
      </c>
      <c r="Q19" s="23" t="s">
        <v>3807</v>
      </c>
    </row>
    <row r="20" spans="1:17" ht="12.75" customHeight="1" x14ac:dyDescent="0.45">
      <c r="A20" s="23" t="s">
        <v>82</v>
      </c>
      <c r="B20" s="23" t="s">
        <v>3811</v>
      </c>
      <c r="C20" s="23" t="s">
        <v>3812</v>
      </c>
      <c r="D20" s="23" t="s">
        <v>3813</v>
      </c>
      <c r="E20" s="23" t="s">
        <v>3814</v>
      </c>
      <c r="F20" s="24" t="s">
        <v>3761</v>
      </c>
      <c r="G20" s="25">
        <v>45005</v>
      </c>
      <c r="H20" s="25">
        <v>45135</v>
      </c>
      <c r="I20" s="23" t="s">
        <v>3795</v>
      </c>
      <c r="J20" s="23" t="s">
        <v>3815</v>
      </c>
      <c r="K20" s="23">
        <v>2</v>
      </c>
      <c r="L20" s="23" t="s">
        <v>3755</v>
      </c>
      <c r="M20" s="23" t="s">
        <v>3696</v>
      </c>
      <c r="N20" s="25">
        <v>45202</v>
      </c>
      <c r="O20" s="23" t="s">
        <v>3728</v>
      </c>
      <c r="P20" s="23">
        <v>1.1000000000000001</v>
      </c>
      <c r="Q20" s="23" t="s">
        <v>3813</v>
      </c>
    </row>
    <row r="21" spans="1:17" ht="12.75" customHeight="1" x14ac:dyDescent="0.45">
      <c r="A21" s="23" t="s">
        <v>82</v>
      </c>
      <c r="B21" s="23" t="s">
        <v>3816</v>
      </c>
      <c r="C21" s="23" t="s">
        <v>3812</v>
      </c>
      <c r="D21" s="23" t="s">
        <v>3813</v>
      </c>
      <c r="E21" s="23" t="s">
        <v>3817</v>
      </c>
      <c r="F21" s="24" t="s">
        <v>3752</v>
      </c>
      <c r="G21" s="25">
        <v>45103</v>
      </c>
      <c r="H21" s="25">
        <v>45251</v>
      </c>
      <c r="I21" s="23" t="s">
        <v>3795</v>
      </c>
      <c r="J21" s="23" t="s">
        <v>3815</v>
      </c>
      <c r="K21" s="23">
        <v>2</v>
      </c>
      <c r="L21" s="23" t="s">
        <v>3739</v>
      </c>
      <c r="M21" s="23" t="s">
        <v>3696</v>
      </c>
      <c r="N21" s="25">
        <v>45202</v>
      </c>
      <c r="O21" s="23" t="s">
        <v>3728</v>
      </c>
      <c r="P21" s="23">
        <v>1.1000000000000001</v>
      </c>
      <c r="Q21" s="23" t="s">
        <v>88</v>
      </c>
    </row>
    <row r="22" spans="1:17" ht="12.75" customHeight="1" x14ac:dyDescent="0.45">
      <c r="A22" s="23" t="s">
        <v>82</v>
      </c>
      <c r="B22" s="23" t="s">
        <v>3818</v>
      </c>
      <c r="C22" s="23" t="s">
        <v>3819</v>
      </c>
      <c r="D22" s="23" t="s">
        <v>3820</v>
      </c>
      <c r="E22" s="23" t="s">
        <v>3821</v>
      </c>
      <c r="F22" s="23" t="s">
        <v>148</v>
      </c>
      <c r="G22" s="25">
        <v>45194</v>
      </c>
      <c r="H22" s="25">
        <v>45229</v>
      </c>
      <c r="I22" s="23" t="s">
        <v>3822</v>
      </c>
      <c r="J22" s="23" t="s">
        <v>3822</v>
      </c>
      <c r="K22" s="23">
        <v>4</v>
      </c>
      <c r="L22" s="23" t="s">
        <v>3773</v>
      </c>
      <c r="M22" s="23" t="s">
        <v>3660</v>
      </c>
      <c r="N22" s="25">
        <v>45202</v>
      </c>
      <c r="O22" s="23" t="s">
        <v>3728</v>
      </c>
      <c r="P22" s="23">
        <v>1</v>
      </c>
      <c r="Q22" s="23" t="s">
        <v>88</v>
      </c>
    </row>
    <row r="23" spans="1:17" ht="12.75" customHeight="1" x14ac:dyDescent="0.45">
      <c r="A23" s="23" t="s">
        <v>82</v>
      </c>
      <c r="B23" s="23" t="s">
        <v>3823</v>
      </c>
      <c r="C23" s="23" t="s">
        <v>3819</v>
      </c>
      <c r="D23" s="23" t="s">
        <v>3820</v>
      </c>
      <c r="E23" s="23" t="s">
        <v>3824</v>
      </c>
      <c r="F23" s="23" t="s">
        <v>148</v>
      </c>
      <c r="G23" s="25">
        <v>45110</v>
      </c>
      <c r="H23" s="25">
        <v>45169</v>
      </c>
      <c r="I23" s="23" t="s">
        <v>3788</v>
      </c>
      <c r="J23" s="23" t="s">
        <v>3822</v>
      </c>
      <c r="K23" s="23">
        <v>4</v>
      </c>
      <c r="L23" s="23" t="s">
        <v>3739</v>
      </c>
      <c r="M23" s="23" t="s">
        <v>3660</v>
      </c>
      <c r="N23" s="25">
        <v>45202</v>
      </c>
      <c r="O23" s="23" t="s">
        <v>3728</v>
      </c>
      <c r="P23" s="23">
        <v>1</v>
      </c>
      <c r="Q23" s="23" t="s">
        <v>88</v>
      </c>
    </row>
    <row r="24" spans="1:17" ht="12.75" customHeight="1" x14ac:dyDescent="0.45">
      <c r="A24" s="23" t="s">
        <v>82</v>
      </c>
      <c r="B24" s="23" t="s">
        <v>3825</v>
      </c>
      <c r="C24" s="23" t="s">
        <v>3749</v>
      </c>
      <c r="D24" s="23" t="s">
        <v>3826</v>
      </c>
      <c r="E24" s="23" t="s">
        <v>3827</v>
      </c>
      <c r="F24" s="24" t="s">
        <v>3828</v>
      </c>
      <c r="G24" s="25">
        <v>43864</v>
      </c>
      <c r="H24" s="25">
        <v>45197</v>
      </c>
      <c r="I24" s="23" t="s">
        <v>3806</v>
      </c>
      <c r="J24" s="23" t="s">
        <v>3829</v>
      </c>
      <c r="K24" s="23">
        <v>4</v>
      </c>
      <c r="L24" s="23" t="s">
        <v>3739</v>
      </c>
      <c r="M24" s="23" t="s">
        <v>3664</v>
      </c>
      <c r="N24" s="25">
        <v>45202</v>
      </c>
      <c r="O24" s="23" t="s">
        <v>3728</v>
      </c>
      <c r="P24" s="23">
        <v>1</v>
      </c>
      <c r="Q24" s="23" t="s">
        <v>3826</v>
      </c>
    </row>
    <row r="25" spans="1:17" ht="12.75" customHeight="1" x14ac:dyDescent="0.45">
      <c r="A25" s="23" t="s">
        <v>82</v>
      </c>
      <c r="B25" s="23" t="s">
        <v>3830</v>
      </c>
      <c r="C25" s="23" t="s">
        <v>3749</v>
      </c>
      <c r="D25" s="23" t="s">
        <v>3826</v>
      </c>
      <c r="E25" s="23" t="s">
        <v>3831</v>
      </c>
      <c r="F25" s="24" t="s">
        <v>3761</v>
      </c>
      <c r="G25" s="25">
        <v>43523</v>
      </c>
      <c r="H25" s="25">
        <v>45169</v>
      </c>
      <c r="I25" s="23" t="s">
        <v>3829</v>
      </c>
      <c r="J25" s="23" t="s">
        <v>3829</v>
      </c>
      <c r="K25" s="23">
        <v>4</v>
      </c>
      <c r="L25" s="23" t="s">
        <v>88</v>
      </c>
      <c r="M25" s="23" t="s">
        <v>3664</v>
      </c>
      <c r="N25" s="25">
        <v>45202</v>
      </c>
      <c r="O25" s="23" t="s">
        <v>3728</v>
      </c>
      <c r="P25" s="23">
        <v>1.1000000000000001</v>
      </c>
      <c r="Q25" s="23" t="s">
        <v>3826</v>
      </c>
    </row>
    <row r="26" spans="1:17" ht="12.75" customHeight="1" x14ac:dyDescent="0.45">
      <c r="A26" s="23" t="s">
        <v>82</v>
      </c>
      <c r="B26" s="23" t="s">
        <v>3832</v>
      </c>
      <c r="C26" s="23" t="s">
        <v>3749</v>
      </c>
      <c r="D26" s="23" t="s">
        <v>3826</v>
      </c>
      <c r="E26" s="23" t="s">
        <v>3833</v>
      </c>
      <c r="F26" s="24" t="s">
        <v>3834</v>
      </c>
      <c r="G26" s="25">
        <v>44470</v>
      </c>
      <c r="H26" s="25">
        <v>45197</v>
      </c>
      <c r="I26" s="23" t="s">
        <v>3829</v>
      </c>
      <c r="J26" s="23" t="s">
        <v>3829</v>
      </c>
      <c r="K26" s="23">
        <v>4</v>
      </c>
      <c r="L26" s="23" t="s">
        <v>3755</v>
      </c>
      <c r="M26" s="23" t="s">
        <v>3694</v>
      </c>
      <c r="N26" s="25">
        <v>45202</v>
      </c>
      <c r="O26" s="23" t="s">
        <v>3728</v>
      </c>
      <c r="P26" s="23">
        <v>1.1000000000000001</v>
      </c>
      <c r="Q26" s="23" t="s">
        <v>3826</v>
      </c>
    </row>
    <row r="27" spans="1:17" ht="12.75" customHeight="1" x14ac:dyDescent="0.45">
      <c r="A27" s="23" t="s">
        <v>82</v>
      </c>
      <c r="B27" s="23" t="s">
        <v>3835</v>
      </c>
      <c r="C27" s="23" t="s">
        <v>3764</v>
      </c>
      <c r="D27" s="23" t="s">
        <v>3836</v>
      </c>
      <c r="E27" s="23" t="s">
        <v>3837</v>
      </c>
      <c r="F27" s="23" t="s">
        <v>148</v>
      </c>
      <c r="G27" s="25">
        <v>45169</v>
      </c>
      <c r="H27" s="25">
        <v>45274</v>
      </c>
      <c r="I27" s="23" t="s">
        <v>3838</v>
      </c>
      <c r="J27" s="23" t="s">
        <v>3839</v>
      </c>
      <c r="K27" s="23">
        <v>4</v>
      </c>
      <c r="L27" s="23" t="s">
        <v>3773</v>
      </c>
      <c r="M27" s="23" t="s">
        <v>3699</v>
      </c>
      <c r="N27" s="25">
        <v>45202</v>
      </c>
      <c r="O27" s="23" t="s">
        <v>3728</v>
      </c>
      <c r="P27" s="23">
        <v>1.1000000000000001</v>
      </c>
      <c r="Q27" s="23" t="s">
        <v>88</v>
      </c>
    </row>
    <row r="28" spans="1:17" ht="12.75" customHeight="1" x14ac:dyDescent="0.45">
      <c r="A28" s="23" t="s">
        <v>82</v>
      </c>
      <c r="B28" s="23" t="s">
        <v>3840</v>
      </c>
      <c r="C28" s="23" t="s">
        <v>3768</v>
      </c>
      <c r="D28" s="23" t="s">
        <v>3836</v>
      </c>
      <c r="E28" s="23" t="s">
        <v>3841</v>
      </c>
      <c r="F28" s="24" t="s">
        <v>3842</v>
      </c>
      <c r="G28" s="25">
        <v>45110</v>
      </c>
      <c r="H28" s="25">
        <v>45230</v>
      </c>
      <c r="I28" s="23" t="s">
        <v>3838</v>
      </c>
      <c r="J28" s="23" t="s">
        <v>3839</v>
      </c>
      <c r="K28" s="23">
        <v>4</v>
      </c>
      <c r="L28" s="23" t="s">
        <v>88</v>
      </c>
      <c r="M28" s="23" t="s">
        <v>3699</v>
      </c>
      <c r="N28" s="25">
        <v>45202</v>
      </c>
      <c r="O28" s="23" t="s">
        <v>3728</v>
      </c>
      <c r="P28" s="23">
        <v>1.05</v>
      </c>
      <c r="Q28" s="23" t="s">
        <v>88</v>
      </c>
    </row>
    <row r="29" spans="1:17" ht="12.75" customHeight="1" x14ac:dyDescent="0.45">
      <c r="A29" s="23" t="s">
        <v>82</v>
      </c>
      <c r="B29" s="23" t="s">
        <v>3843</v>
      </c>
      <c r="C29" s="23" t="s">
        <v>3844</v>
      </c>
      <c r="D29" s="23" t="s">
        <v>3836</v>
      </c>
      <c r="E29" s="23" t="s">
        <v>3845</v>
      </c>
      <c r="F29" s="24" t="s">
        <v>3725</v>
      </c>
      <c r="G29" s="25">
        <v>45111</v>
      </c>
      <c r="H29" s="25">
        <v>45197</v>
      </c>
      <c r="I29" s="23" t="s">
        <v>3846</v>
      </c>
      <c r="J29" s="23" t="s">
        <v>3839</v>
      </c>
      <c r="K29" s="23">
        <v>4</v>
      </c>
      <c r="L29" s="23" t="s">
        <v>88</v>
      </c>
      <c r="M29" s="23" t="s">
        <v>3699</v>
      </c>
      <c r="N29" s="25">
        <v>45202</v>
      </c>
      <c r="O29" s="23" t="s">
        <v>3728</v>
      </c>
      <c r="P29" s="23">
        <v>1.1000000000000001</v>
      </c>
      <c r="Q29" s="23" t="s">
        <v>88</v>
      </c>
    </row>
    <row r="30" spans="1:17" ht="12.75" customHeight="1" x14ac:dyDescent="0.45">
      <c r="A30" s="23" t="s">
        <v>82</v>
      </c>
      <c r="B30" s="23" t="s">
        <v>3847</v>
      </c>
      <c r="C30" s="23" t="s">
        <v>3764</v>
      </c>
      <c r="D30" s="23" t="s">
        <v>3848</v>
      </c>
      <c r="E30" s="23" t="s">
        <v>3849</v>
      </c>
      <c r="F30" s="23" t="s">
        <v>148</v>
      </c>
      <c r="G30" s="25">
        <v>44951</v>
      </c>
      <c r="H30" s="25">
        <v>45047</v>
      </c>
      <c r="I30" s="23" t="s">
        <v>3838</v>
      </c>
      <c r="J30" s="23" t="s">
        <v>3838</v>
      </c>
      <c r="K30" s="23">
        <v>2</v>
      </c>
      <c r="L30" s="23" t="s">
        <v>3762</v>
      </c>
      <c r="M30" s="23" t="s">
        <v>3688</v>
      </c>
      <c r="N30" s="25">
        <v>45202</v>
      </c>
      <c r="O30" s="23" t="s">
        <v>3728</v>
      </c>
      <c r="P30" s="23">
        <v>1</v>
      </c>
      <c r="Q30" s="23" t="s">
        <v>88</v>
      </c>
    </row>
    <row r="31" spans="1:17" ht="12.75" customHeight="1" x14ac:dyDescent="0.45">
      <c r="A31" s="23" t="s">
        <v>82</v>
      </c>
      <c r="B31" s="23" t="s">
        <v>3850</v>
      </c>
      <c r="C31" s="23" t="s">
        <v>3838</v>
      </c>
      <c r="D31" s="23" t="s">
        <v>3851</v>
      </c>
      <c r="E31" s="23" t="s">
        <v>3852</v>
      </c>
      <c r="F31" s="23" t="s">
        <v>148</v>
      </c>
      <c r="G31" s="25">
        <v>45110</v>
      </c>
      <c r="H31" s="25">
        <v>45282</v>
      </c>
      <c r="I31" s="23" t="s">
        <v>3838</v>
      </c>
      <c r="J31" s="23" t="s">
        <v>3838</v>
      </c>
      <c r="K31" s="23">
        <v>2</v>
      </c>
      <c r="L31" s="23" t="s">
        <v>3727</v>
      </c>
      <c r="M31" s="23" t="s">
        <v>3691</v>
      </c>
      <c r="N31" s="25">
        <v>45202</v>
      </c>
      <c r="O31" s="23" t="s">
        <v>3728</v>
      </c>
      <c r="P31" s="23">
        <v>1</v>
      </c>
      <c r="Q31" s="23" t="s">
        <v>88</v>
      </c>
    </row>
    <row r="32" spans="1:17" ht="12.75" customHeight="1" x14ac:dyDescent="0.45">
      <c r="A32" s="23" t="s">
        <v>82</v>
      </c>
      <c r="B32" s="23" t="s">
        <v>3853</v>
      </c>
      <c r="C32" s="23" t="s">
        <v>3722</v>
      </c>
      <c r="D32" s="23" t="s">
        <v>3854</v>
      </c>
      <c r="E32" s="23" t="s">
        <v>3855</v>
      </c>
      <c r="F32" s="24" t="s">
        <v>3810</v>
      </c>
      <c r="G32" s="25">
        <v>44949</v>
      </c>
      <c r="H32" s="25">
        <v>45197</v>
      </c>
      <c r="I32" s="23" t="s">
        <v>3788</v>
      </c>
      <c r="J32" s="23" t="s">
        <v>3726</v>
      </c>
      <c r="K32" s="23">
        <v>1</v>
      </c>
      <c r="L32" s="23" t="s">
        <v>3727</v>
      </c>
      <c r="M32" s="23" t="s">
        <v>3662</v>
      </c>
      <c r="N32" s="25">
        <v>45202</v>
      </c>
      <c r="O32" s="23" t="s">
        <v>3728</v>
      </c>
      <c r="P32" s="23">
        <v>1</v>
      </c>
      <c r="Q32" s="23" t="s">
        <v>88</v>
      </c>
    </row>
    <row r="33" spans="1:17" ht="12.75" customHeight="1" x14ac:dyDescent="0.45">
      <c r="A33" s="23" t="s">
        <v>82</v>
      </c>
      <c r="B33" s="23" t="s">
        <v>3856</v>
      </c>
      <c r="C33" s="23" t="s">
        <v>3722</v>
      </c>
      <c r="D33" s="23" t="s">
        <v>3857</v>
      </c>
      <c r="E33" s="23" t="s">
        <v>3858</v>
      </c>
      <c r="F33" s="23" t="s">
        <v>3859</v>
      </c>
      <c r="G33" s="25">
        <v>45131</v>
      </c>
      <c r="H33" s="25">
        <v>45282</v>
      </c>
      <c r="I33" s="23" t="s">
        <v>3788</v>
      </c>
      <c r="J33" s="23" t="s">
        <v>3788</v>
      </c>
      <c r="K33" s="23">
        <v>1</v>
      </c>
      <c r="L33" s="23" t="s">
        <v>3727</v>
      </c>
      <c r="M33" s="23" t="s">
        <v>3692</v>
      </c>
      <c r="N33" s="25">
        <v>45202</v>
      </c>
      <c r="O33" s="23" t="s">
        <v>3728</v>
      </c>
      <c r="P33" s="23">
        <v>1</v>
      </c>
      <c r="Q33" s="23" t="s">
        <v>3854</v>
      </c>
    </row>
    <row r="34" spans="1:17" ht="12.75" customHeight="1" x14ac:dyDescent="0.45">
      <c r="A34" s="23" t="s">
        <v>82</v>
      </c>
      <c r="B34" s="23" t="s">
        <v>3860</v>
      </c>
      <c r="C34" s="23" t="s">
        <v>3861</v>
      </c>
      <c r="D34" s="23" t="s">
        <v>3862</v>
      </c>
      <c r="E34" s="23" t="s">
        <v>3863</v>
      </c>
      <c r="F34" s="23" t="s">
        <v>3864</v>
      </c>
      <c r="G34" s="25">
        <v>45068</v>
      </c>
      <c r="H34" s="25">
        <v>45230</v>
      </c>
      <c r="I34" s="23" t="s">
        <v>3865</v>
      </c>
      <c r="J34" s="23" t="s">
        <v>3754</v>
      </c>
      <c r="K34" s="23">
        <v>1</v>
      </c>
      <c r="L34" s="23" t="s">
        <v>3782</v>
      </c>
      <c r="M34" s="23" t="s">
        <v>3675</v>
      </c>
      <c r="N34" s="25">
        <v>45202</v>
      </c>
      <c r="O34" s="23" t="s">
        <v>3728</v>
      </c>
      <c r="P34" s="23">
        <v>1</v>
      </c>
      <c r="Q34" s="23" t="s">
        <v>88</v>
      </c>
    </row>
    <row r="35" spans="1:17" ht="12.75" customHeight="1" x14ac:dyDescent="0.45">
      <c r="A35" s="23" t="s">
        <v>82</v>
      </c>
      <c r="B35" s="23" t="s">
        <v>3866</v>
      </c>
      <c r="C35" s="23" t="s">
        <v>3865</v>
      </c>
      <c r="D35" s="23" t="s">
        <v>3867</v>
      </c>
      <c r="E35" s="23" t="s">
        <v>3681</v>
      </c>
      <c r="F35" s="24" t="s">
        <v>3868</v>
      </c>
      <c r="G35" s="25">
        <v>44837</v>
      </c>
      <c r="H35" s="25">
        <v>45471</v>
      </c>
      <c r="I35" s="23" t="s">
        <v>3865</v>
      </c>
      <c r="J35" s="23" t="s">
        <v>3865</v>
      </c>
      <c r="K35" s="23">
        <v>2</v>
      </c>
      <c r="L35" s="23" t="s">
        <v>3773</v>
      </c>
      <c r="M35" s="23" t="s">
        <v>3681</v>
      </c>
      <c r="N35" s="25">
        <v>45202</v>
      </c>
      <c r="O35" s="23" t="s">
        <v>3728</v>
      </c>
      <c r="P35" s="23">
        <v>1</v>
      </c>
      <c r="Q35" s="23" t="s">
        <v>3867</v>
      </c>
    </row>
    <row r="36" spans="1:17" ht="12.75" customHeight="1" x14ac:dyDescent="0.45">
      <c r="A36" s="23" t="s">
        <v>82</v>
      </c>
      <c r="B36" s="23" t="s">
        <v>3869</v>
      </c>
      <c r="C36" s="23" t="s">
        <v>3870</v>
      </c>
      <c r="D36" s="23" t="s">
        <v>974</v>
      </c>
      <c r="E36" s="23" t="s">
        <v>3871</v>
      </c>
      <c r="F36" s="24" t="s">
        <v>3725</v>
      </c>
      <c r="G36" s="25">
        <v>45078</v>
      </c>
      <c r="H36" s="25">
        <v>45233</v>
      </c>
      <c r="I36" s="23" t="s">
        <v>3870</v>
      </c>
      <c r="J36" s="23" t="s">
        <v>3865</v>
      </c>
      <c r="K36" s="23">
        <v>2</v>
      </c>
      <c r="L36" s="23" t="s">
        <v>3782</v>
      </c>
      <c r="M36" s="23" t="s">
        <v>3680</v>
      </c>
      <c r="N36" s="25">
        <v>45202</v>
      </c>
      <c r="O36" s="23" t="s">
        <v>3728</v>
      </c>
      <c r="P36" s="23">
        <v>1</v>
      </c>
      <c r="Q36" s="23" t="s">
        <v>3867</v>
      </c>
    </row>
    <row r="37" spans="1:17" ht="12.75" customHeight="1" x14ac:dyDescent="0.45">
      <c r="A37" s="23" t="s">
        <v>82</v>
      </c>
      <c r="B37" s="23" t="s">
        <v>3872</v>
      </c>
      <c r="C37" s="23" t="s">
        <v>3870</v>
      </c>
      <c r="D37" s="23" t="s">
        <v>974</v>
      </c>
      <c r="E37" s="23" t="s">
        <v>3873</v>
      </c>
      <c r="F37" s="23" t="s">
        <v>3874</v>
      </c>
      <c r="G37" s="25">
        <v>45061</v>
      </c>
      <c r="H37" s="25">
        <v>45212</v>
      </c>
      <c r="I37" s="23" t="s">
        <v>3865</v>
      </c>
      <c r="J37" s="23" t="s">
        <v>3865</v>
      </c>
      <c r="K37" s="23">
        <v>2</v>
      </c>
      <c r="L37" s="23" t="s">
        <v>3773</v>
      </c>
      <c r="M37" s="23" t="s">
        <v>3682</v>
      </c>
      <c r="N37" s="25">
        <v>45202</v>
      </c>
      <c r="O37" s="23" t="s">
        <v>3728</v>
      </c>
      <c r="P37" s="23">
        <v>1.02</v>
      </c>
      <c r="Q37" s="23" t="s">
        <v>88</v>
      </c>
    </row>
    <row r="38" spans="1:17" ht="12.75" customHeight="1" x14ac:dyDescent="0.45">
      <c r="A38" s="23" t="s">
        <v>82</v>
      </c>
      <c r="B38" s="23" t="s">
        <v>3875</v>
      </c>
      <c r="C38" s="23" t="s">
        <v>3876</v>
      </c>
      <c r="D38" s="23" t="s">
        <v>3877</v>
      </c>
      <c r="E38" s="23" t="s">
        <v>3878</v>
      </c>
      <c r="F38" s="23" t="s">
        <v>3737</v>
      </c>
      <c r="G38" s="25">
        <v>45078</v>
      </c>
      <c r="H38" s="25">
        <v>45169</v>
      </c>
      <c r="I38" s="23" t="s">
        <v>3795</v>
      </c>
      <c r="J38" s="23" t="s">
        <v>3879</v>
      </c>
      <c r="K38" s="23">
        <v>4</v>
      </c>
      <c r="L38" s="23" t="s">
        <v>3755</v>
      </c>
      <c r="M38" s="23" t="s">
        <v>3697</v>
      </c>
      <c r="N38" s="25">
        <v>45202</v>
      </c>
      <c r="O38" s="23" t="s">
        <v>3728</v>
      </c>
      <c r="P38" s="23">
        <v>1.05</v>
      </c>
      <c r="Q38" s="23" t="s">
        <v>3880</v>
      </c>
    </row>
    <row r="39" spans="1:17" ht="12.75" customHeight="1" x14ac:dyDescent="0.45">
      <c r="A39" s="23" t="s">
        <v>82</v>
      </c>
      <c r="B39" s="23" t="s">
        <v>3881</v>
      </c>
      <c r="C39" s="23" t="s">
        <v>3882</v>
      </c>
      <c r="D39" s="23" t="s">
        <v>3883</v>
      </c>
      <c r="E39" s="23" t="s">
        <v>3884</v>
      </c>
      <c r="F39" s="24" t="s">
        <v>3885</v>
      </c>
      <c r="G39" s="25">
        <v>44683</v>
      </c>
      <c r="H39" s="25">
        <v>45198</v>
      </c>
      <c r="I39" s="23" t="s">
        <v>3838</v>
      </c>
      <c r="J39" s="23" t="s">
        <v>3838</v>
      </c>
      <c r="K39" s="23">
        <v>2</v>
      </c>
      <c r="L39" s="23" t="s">
        <v>3755</v>
      </c>
      <c r="M39" s="23" t="s">
        <v>3677</v>
      </c>
      <c r="N39" s="25">
        <v>45202</v>
      </c>
      <c r="O39" s="23" t="s">
        <v>3728</v>
      </c>
      <c r="P39" s="23">
        <v>1</v>
      </c>
      <c r="Q39" s="23" t="s">
        <v>3886</v>
      </c>
    </row>
    <row r="40" spans="1:17" ht="12.75" customHeight="1" x14ac:dyDescent="0.45">
      <c r="A40" s="23" t="s">
        <v>82</v>
      </c>
      <c r="B40" s="23" t="s">
        <v>3887</v>
      </c>
      <c r="C40" s="23" t="s">
        <v>3838</v>
      </c>
      <c r="D40" s="23" t="s">
        <v>3888</v>
      </c>
      <c r="E40" s="23" t="s">
        <v>3889</v>
      </c>
      <c r="F40" s="23" t="s">
        <v>3890</v>
      </c>
      <c r="G40" s="25">
        <v>45110</v>
      </c>
      <c r="H40" s="25">
        <v>45471</v>
      </c>
      <c r="I40" s="23" t="s">
        <v>3838</v>
      </c>
      <c r="J40" s="23" t="s">
        <v>3838</v>
      </c>
      <c r="K40" s="23">
        <v>2</v>
      </c>
      <c r="L40" s="23" t="s">
        <v>88</v>
      </c>
      <c r="M40" s="23" t="s">
        <v>3684</v>
      </c>
      <c r="N40" s="25">
        <v>45202</v>
      </c>
      <c r="O40" s="23" t="s">
        <v>3728</v>
      </c>
      <c r="P40" s="23">
        <v>1</v>
      </c>
      <c r="Q40" s="23" t="s">
        <v>88</v>
      </c>
    </row>
    <row r="41" spans="1:17" ht="12.75" customHeight="1" x14ac:dyDescent="0.45">
      <c r="A41" s="23" t="s">
        <v>82</v>
      </c>
      <c r="B41" s="23" t="s">
        <v>3891</v>
      </c>
      <c r="C41" s="23" t="s">
        <v>3882</v>
      </c>
      <c r="D41" s="23" t="s">
        <v>3892</v>
      </c>
      <c r="E41" s="23" t="s">
        <v>3893</v>
      </c>
      <c r="F41" s="24" t="s">
        <v>3894</v>
      </c>
      <c r="G41" s="25">
        <v>45033</v>
      </c>
      <c r="H41" s="25">
        <v>45197</v>
      </c>
      <c r="I41" s="23" t="s">
        <v>3838</v>
      </c>
      <c r="J41" s="23" t="s">
        <v>3838</v>
      </c>
      <c r="K41" s="23">
        <v>2</v>
      </c>
      <c r="L41" s="23" t="s">
        <v>3782</v>
      </c>
      <c r="M41" s="23" t="s">
        <v>3693</v>
      </c>
      <c r="N41" s="25">
        <v>45202</v>
      </c>
      <c r="O41" s="23" t="s">
        <v>3728</v>
      </c>
      <c r="P41" s="23">
        <v>1.1000000000000001</v>
      </c>
      <c r="Q41" s="23" t="s">
        <v>88</v>
      </c>
    </row>
    <row r="42" spans="1:17" ht="12.75" customHeight="1" x14ac:dyDescent="0.45">
      <c r="A42" s="23" t="s">
        <v>82</v>
      </c>
      <c r="B42" s="23" t="s">
        <v>3895</v>
      </c>
      <c r="C42" s="23" t="s">
        <v>3896</v>
      </c>
      <c r="D42" s="23" t="s">
        <v>3897</v>
      </c>
      <c r="E42" s="23" t="s">
        <v>3898</v>
      </c>
      <c r="F42" s="24" t="s">
        <v>3758</v>
      </c>
      <c r="G42" s="25">
        <v>45012</v>
      </c>
      <c r="H42" s="25">
        <v>45176</v>
      </c>
      <c r="I42" s="23" t="s">
        <v>3788</v>
      </c>
      <c r="J42" s="23" t="s">
        <v>3788</v>
      </c>
      <c r="K42" s="23">
        <v>4</v>
      </c>
      <c r="L42" s="23" t="s">
        <v>3727</v>
      </c>
      <c r="M42" s="23" t="s">
        <v>3663</v>
      </c>
      <c r="N42" s="25">
        <v>45202</v>
      </c>
      <c r="O42" s="23" t="s">
        <v>3728</v>
      </c>
      <c r="P42" s="23">
        <v>1</v>
      </c>
      <c r="Q42" s="23" t="s">
        <v>88</v>
      </c>
    </row>
    <row r="43" spans="1:17" ht="12.75" customHeight="1" x14ac:dyDescent="0.45">
      <c r="A43" s="23" t="s">
        <v>82</v>
      </c>
      <c r="B43" s="23" t="s">
        <v>3899</v>
      </c>
      <c r="C43" s="23" t="s">
        <v>3896</v>
      </c>
      <c r="D43" s="23" t="s">
        <v>3897</v>
      </c>
      <c r="E43" s="23" t="s">
        <v>3900</v>
      </c>
      <c r="F43" s="24" t="s">
        <v>3810</v>
      </c>
      <c r="G43" s="25">
        <v>45096</v>
      </c>
      <c r="H43" s="25">
        <v>45184</v>
      </c>
      <c r="I43" s="23" t="s">
        <v>3788</v>
      </c>
      <c r="J43" s="23" t="s">
        <v>3788</v>
      </c>
      <c r="K43" s="23">
        <v>4</v>
      </c>
      <c r="L43" s="23" t="s">
        <v>3727</v>
      </c>
      <c r="M43" s="23" t="s">
        <v>3663</v>
      </c>
      <c r="N43" s="25">
        <v>45202</v>
      </c>
      <c r="O43" s="23" t="s">
        <v>3728</v>
      </c>
      <c r="P43" s="23">
        <v>1</v>
      </c>
      <c r="Q43" s="23" t="s">
        <v>3901</v>
      </c>
    </row>
    <row r="44" spans="1:17" ht="12.75" customHeight="1" x14ac:dyDescent="0.45">
      <c r="A44" s="23" t="s">
        <v>82</v>
      </c>
      <c r="B44" s="23" t="s">
        <v>3902</v>
      </c>
      <c r="C44" s="23" t="s">
        <v>3896</v>
      </c>
      <c r="D44" s="23" t="s">
        <v>3897</v>
      </c>
      <c r="E44" s="23" t="s">
        <v>3903</v>
      </c>
      <c r="F44" s="23" t="s">
        <v>3904</v>
      </c>
      <c r="G44" s="25">
        <v>45187</v>
      </c>
      <c r="H44" s="25">
        <v>45282</v>
      </c>
      <c r="I44" s="23" t="s">
        <v>3788</v>
      </c>
      <c r="J44" s="23" t="s">
        <v>3788</v>
      </c>
      <c r="K44" s="23">
        <v>4</v>
      </c>
      <c r="L44" s="23" t="s">
        <v>3727</v>
      </c>
      <c r="M44" s="23" t="s">
        <v>3663</v>
      </c>
      <c r="N44" s="25">
        <v>45202</v>
      </c>
      <c r="O44" s="23" t="s">
        <v>3728</v>
      </c>
      <c r="P44" s="23">
        <v>1</v>
      </c>
      <c r="Q44" s="23" t="s">
        <v>88</v>
      </c>
    </row>
    <row r="45" spans="1:17" ht="12.75" customHeight="1" x14ac:dyDescent="0.45">
      <c r="A45" s="23" t="s">
        <v>82</v>
      </c>
      <c r="B45" s="23" t="s">
        <v>3905</v>
      </c>
      <c r="C45" s="23" t="s">
        <v>3906</v>
      </c>
      <c r="D45" s="23" t="s">
        <v>3907</v>
      </c>
      <c r="E45" s="23" t="s">
        <v>3908</v>
      </c>
      <c r="F45" s="23" t="s">
        <v>3909</v>
      </c>
      <c r="G45" s="25">
        <v>45145</v>
      </c>
      <c r="H45" s="25">
        <v>45230</v>
      </c>
      <c r="I45" s="23" t="s">
        <v>3795</v>
      </c>
      <c r="J45" s="23" t="s">
        <v>3839</v>
      </c>
      <c r="K45" s="23">
        <v>4</v>
      </c>
      <c r="L45" s="23" t="s">
        <v>3739</v>
      </c>
      <c r="M45" s="23" t="s">
        <v>3670</v>
      </c>
      <c r="N45" s="25">
        <v>45202</v>
      </c>
      <c r="O45" s="23" t="s">
        <v>3728</v>
      </c>
      <c r="P45" s="23">
        <v>1.1000000000000001</v>
      </c>
      <c r="Q45" s="23" t="s">
        <v>88</v>
      </c>
    </row>
    <row r="46" spans="1:17" ht="12.75" customHeight="1" x14ac:dyDescent="0.45">
      <c r="A46" s="23" t="s">
        <v>82</v>
      </c>
      <c r="B46" s="23" t="s">
        <v>3910</v>
      </c>
      <c r="C46" s="23" t="s">
        <v>3911</v>
      </c>
      <c r="D46" s="23" t="s">
        <v>3912</v>
      </c>
      <c r="E46" s="23" t="s">
        <v>3666</v>
      </c>
      <c r="F46" s="24" t="s">
        <v>3761</v>
      </c>
      <c r="G46" s="25">
        <v>42005</v>
      </c>
      <c r="H46" s="25">
        <v>44918</v>
      </c>
      <c r="I46" s="23" t="s">
        <v>3913</v>
      </c>
      <c r="J46" s="23" t="s">
        <v>3913</v>
      </c>
      <c r="K46" s="23">
        <v>3</v>
      </c>
      <c r="L46" s="23" t="s">
        <v>3914</v>
      </c>
      <c r="M46" s="23" t="s">
        <v>3666</v>
      </c>
      <c r="N46" s="25">
        <v>45182</v>
      </c>
      <c r="O46" s="23" t="s">
        <v>3728</v>
      </c>
      <c r="P46" s="23">
        <v>1.1000000000000001</v>
      </c>
      <c r="Q46" s="23" t="s">
        <v>88</v>
      </c>
    </row>
    <row r="47" spans="1:17" ht="12.75" customHeight="1" x14ac:dyDescent="0.45">
      <c r="A47" s="23" t="s">
        <v>82</v>
      </c>
      <c r="B47" s="23" t="s">
        <v>3915</v>
      </c>
      <c r="C47" s="23" t="s">
        <v>3819</v>
      </c>
      <c r="D47" s="23" t="s">
        <v>3916</v>
      </c>
      <c r="E47" s="23" t="s">
        <v>3917</v>
      </c>
      <c r="F47" s="23" t="s">
        <v>148</v>
      </c>
      <c r="G47" s="25">
        <v>45196</v>
      </c>
      <c r="H47" s="25">
        <v>45321</v>
      </c>
      <c r="I47" s="23" t="s">
        <v>3870</v>
      </c>
      <c r="J47" s="23" t="s">
        <v>3918</v>
      </c>
      <c r="K47" s="23">
        <v>2</v>
      </c>
      <c r="L47" s="23" t="s">
        <v>3755</v>
      </c>
      <c r="M47" s="23" t="s">
        <v>3678</v>
      </c>
      <c r="N47" s="25">
        <v>45202</v>
      </c>
      <c r="O47" s="23" t="s">
        <v>3728</v>
      </c>
      <c r="P47" s="23">
        <v>1</v>
      </c>
      <c r="Q47" s="23" t="s">
        <v>88</v>
      </c>
    </row>
    <row r="48" spans="1:17" ht="12.75" customHeight="1" x14ac:dyDescent="0.45">
      <c r="A48" s="23" t="s">
        <v>82</v>
      </c>
      <c r="B48" s="23" t="s">
        <v>3919</v>
      </c>
      <c r="C48" s="23" t="s">
        <v>3819</v>
      </c>
      <c r="D48" s="23" t="s">
        <v>3920</v>
      </c>
      <c r="E48" s="23" t="s">
        <v>3921</v>
      </c>
      <c r="F48" s="24" t="s">
        <v>3922</v>
      </c>
      <c r="G48" s="25">
        <v>45149</v>
      </c>
      <c r="H48" s="25">
        <v>45203</v>
      </c>
      <c r="I48" s="23" t="s">
        <v>3870</v>
      </c>
      <c r="J48" s="23" t="s">
        <v>3918</v>
      </c>
      <c r="K48" s="23">
        <v>2</v>
      </c>
      <c r="L48" s="23" t="s">
        <v>3782</v>
      </c>
      <c r="M48" s="23" t="s">
        <v>3678</v>
      </c>
      <c r="N48" s="25">
        <v>45202</v>
      </c>
      <c r="O48" s="23" t="s">
        <v>3728</v>
      </c>
      <c r="P48" s="23">
        <v>1</v>
      </c>
      <c r="Q48" s="23" t="s">
        <v>88</v>
      </c>
    </row>
    <row r="49" spans="1:17" ht="12.75" customHeight="1" x14ac:dyDescent="0.45">
      <c r="A49" s="23" t="s">
        <v>82</v>
      </c>
      <c r="B49" s="23" t="s">
        <v>3923</v>
      </c>
      <c r="C49" s="23" t="s">
        <v>3870</v>
      </c>
      <c r="D49" s="23" t="s">
        <v>3920</v>
      </c>
      <c r="E49" s="23" t="s">
        <v>3924</v>
      </c>
      <c r="F49" s="24" t="s">
        <v>3725</v>
      </c>
      <c r="G49" s="25">
        <v>44454</v>
      </c>
      <c r="H49" s="25">
        <v>45282</v>
      </c>
      <c r="I49" s="23" t="s">
        <v>3870</v>
      </c>
      <c r="J49" s="23" t="s">
        <v>3839</v>
      </c>
      <c r="K49" s="23">
        <v>2</v>
      </c>
      <c r="L49" s="23" t="s">
        <v>3782</v>
      </c>
      <c r="M49" s="23" t="s">
        <v>3701</v>
      </c>
      <c r="N49" s="25">
        <v>45202</v>
      </c>
      <c r="O49" s="23" t="s">
        <v>3728</v>
      </c>
      <c r="P49" s="23">
        <v>1.1000000000000001</v>
      </c>
      <c r="Q49" s="23" t="s">
        <v>3925</v>
      </c>
    </row>
    <row r="50" spans="1:17" ht="12.75" customHeight="1" x14ac:dyDescent="0.45">
      <c r="A50" s="23" t="s">
        <v>82</v>
      </c>
      <c r="B50" s="23" t="s">
        <v>3926</v>
      </c>
      <c r="C50" s="23" t="s">
        <v>3791</v>
      </c>
      <c r="D50" s="23" t="s">
        <v>3927</v>
      </c>
      <c r="E50" s="23" t="s">
        <v>3928</v>
      </c>
      <c r="F50" s="24" t="s">
        <v>3929</v>
      </c>
      <c r="G50" s="25">
        <v>45152</v>
      </c>
      <c r="H50" s="25">
        <v>45282</v>
      </c>
      <c r="I50" s="23" t="s">
        <v>3930</v>
      </c>
      <c r="J50" s="23" t="s">
        <v>3931</v>
      </c>
      <c r="K50" s="23">
        <v>2</v>
      </c>
      <c r="L50" s="23" t="s">
        <v>3782</v>
      </c>
      <c r="M50" s="23" t="s">
        <v>3690</v>
      </c>
      <c r="N50" s="25">
        <v>45202</v>
      </c>
      <c r="O50" s="23" t="s">
        <v>3728</v>
      </c>
      <c r="P50" s="23">
        <v>1</v>
      </c>
      <c r="Q50" s="23" t="s">
        <v>88</v>
      </c>
    </row>
    <row r="51" spans="1:17" ht="12.75" customHeight="1" x14ac:dyDescent="0.45">
      <c r="A51" s="23" t="s">
        <v>82</v>
      </c>
      <c r="B51" s="23" t="s">
        <v>3932</v>
      </c>
      <c r="C51" s="23" t="s">
        <v>3775</v>
      </c>
      <c r="D51" s="23" t="s">
        <v>3933</v>
      </c>
      <c r="E51" s="23" t="s">
        <v>3934</v>
      </c>
      <c r="F51" s="24" t="s">
        <v>3935</v>
      </c>
      <c r="G51" s="25">
        <v>45019</v>
      </c>
      <c r="H51" s="25">
        <v>45222</v>
      </c>
      <c r="I51" s="23" t="s">
        <v>3936</v>
      </c>
      <c r="J51" s="23" t="s">
        <v>3937</v>
      </c>
      <c r="K51" s="23">
        <v>4</v>
      </c>
      <c r="L51" s="23" t="s">
        <v>3727</v>
      </c>
      <c r="M51" s="23" t="s">
        <v>3672</v>
      </c>
      <c r="N51" s="25">
        <v>45202</v>
      </c>
      <c r="O51" s="23" t="s">
        <v>3728</v>
      </c>
      <c r="P51" s="23">
        <v>1</v>
      </c>
      <c r="Q51" s="23" t="s">
        <v>88</v>
      </c>
    </row>
    <row r="52" spans="1:17" ht="12.75" customHeight="1" x14ac:dyDescent="0.45">
      <c r="A52" s="23" t="s">
        <v>82</v>
      </c>
      <c r="B52" s="23" t="s">
        <v>3938</v>
      </c>
      <c r="C52" s="23" t="s">
        <v>3882</v>
      </c>
      <c r="D52" s="23" t="s">
        <v>3933</v>
      </c>
      <c r="E52" s="23" t="s">
        <v>3939</v>
      </c>
      <c r="F52" s="24" t="s">
        <v>3940</v>
      </c>
      <c r="G52" s="25">
        <v>44935</v>
      </c>
      <c r="H52" s="25">
        <v>45142</v>
      </c>
      <c r="I52" s="23" t="s">
        <v>3936</v>
      </c>
      <c r="J52" s="23" t="s">
        <v>3937</v>
      </c>
      <c r="K52" s="23">
        <v>4</v>
      </c>
      <c r="L52" s="23" t="s">
        <v>3739</v>
      </c>
      <c r="M52" s="23" t="s">
        <v>3672</v>
      </c>
      <c r="N52" s="25">
        <v>45202</v>
      </c>
      <c r="O52" s="23" t="s">
        <v>3728</v>
      </c>
      <c r="P52" s="23">
        <v>1</v>
      </c>
      <c r="Q52" s="23" t="s">
        <v>88</v>
      </c>
    </row>
    <row r="53" spans="1:17" ht="12.75" customHeight="1" x14ac:dyDescent="0.45">
      <c r="A53" s="23" t="s">
        <v>82</v>
      </c>
      <c r="B53" s="23" t="s">
        <v>3941</v>
      </c>
      <c r="C53" s="23" t="s">
        <v>3775</v>
      </c>
      <c r="D53" s="23" t="s">
        <v>3942</v>
      </c>
      <c r="E53" s="23" t="s">
        <v>3943</v>
      </c>
      <c r="F53" s="23" t="s">
        <v>148</v>
      </c>
      <c r="G53" s="25">
        <v>45173</v>
      </c>
      <c r="H53" s="25">
        <v>45205</v>
      </c>
      <c r="I53" s="23" t="s">
        <v>3775</v>
      </c>
      <c r="J53" s="23" t="s">
        <v>3937</v>
      </c>
      <c r="K53" s="23">
        <v>4</v>
      </c>
      <c r="L53" s="23" t="s">
        <v>3773</v>
      </c>
      <c r="M53" s="23" t="s">
        <v>3672</v>
      </c>
      <c r="N53" s="25">
        <v>45202</v>
      </c>
      <c r="O53" s="23" t="s">
        <v>3728</v>
      </c>
      <c r="P53" s="23">
        <v>1</v>
      </c>
      <c r="Q53" s="23" t="s">
        <v>88</v>
      </c>
    </row>
    <row r="54" spans="1:17" ht="12.75" customHeight="1" x14ac:dyDescent="0.45">
      <c r="A54" s="23" t="s">
        <v>82</v>
      </c>
      <c r="B54" s="23" t="s">
        <v>3944</v>
      </c>
      <c r="C54" s="23" t="s">
        <v>3846</v>
      </c>
      <c r="D54" s="23" t="s">
        <v>3945</v>
      </c>
      <c r="E54" s="23" t="s">
        <v>3946</v>
      </c>
      <c r="F54" s="24" t="s">
        <v>3922</v>
      </c>
      <c r="G54" s="25">
        <v>45131</v>
      </c>
      <c r="H54" s="25">
        <v>45205</v>
      </c>
      <c r="I54" s="23" t="s">
        <v>3865</v>
      </c>
      <c r="J54" s="23" t="s">
        <v>3839</v>
      </c>
      <c r="K54" s="23">
        <v>4</v>
      </c>
      <c r="L54" s="23" t="s">
        <v>3762</v>
      </c>
      <c r="M54" s="23" t="s">
        <v>3687</v>
      </c>
      <c r="N54" s="25">
        <v>45202</v>
      </c>
      <c r="O54" s="23" t="s">
        <v>3728</v>
      </c>
      <c r="P54" s="23">
        <v>1</v>
      </c>
      <c r="Q54" s="23" t="s">
        <v>88</v>
      </c>
    </row>
    <row r="55" spans="1:17" ht="12.75" customHeight="1" x14ac:dyDescent="0.45">
      <c r="A55" s="23" t="s">
        <v>82</v>
      </c>
      <c r="B55" s="23" t="s">
        <v>3947</v>
      </c>
      <c r="C55" s="23" t="s">
        <v>3846</v>
      </c>
      <c r="D55" s="23" t="s">
        <v>3945</v>
      </c>
      <c r="E55" s="23" t="s">
        <v>3948</v>
      </c>
      <c r="F55" s="23" t="s">
        <v>3949</v>
      </c>
      <c r="G55" s="25">
        <v>45180</v>
      </c>
      <c r="H55" s="25">
        <v>45282</v>
      </c>
      <c r="I55" s="23" t="s">
        <v>3865</v>
      </c>
      <c r="J55" s="23" t="s">
        <v>3839</v>
      </c>
      <c r="K55" s="23">
        <v>4</v>
      </c>
      <c r="L55" s="23" t="s">
        <v>3782</v>
      </c>
      <c r="M55" s="23" t="s">
        <v>3687</v>
      </c>
      <c r="N55" s="25">
        <v>45202</v>
      </c>
      <c r="O55" s="23" t="s">
        <v>3728</v>
      </c>
      <c r="P55" s="23">
        <v>1</v>
      </c>
      <c r="Q55" s="23" t="s">
        <v>88</v>
      </c>
    </row>
    <row r="56" spans="1:17" ht="12.75" customHeight="1" x14ac:dyDescent="0.45">
      <c r="A56" s="23" t="s">
        <v>82</v>
      </c>
      <c r="B56" s="23" t="s">
        <v>3950</v>
      </c>
      <c r="C56" s="23" t="s">
        <v>3936</v>
      </c>
      <c r="D56" s="23" t="s">
        <v>3951</v>
      </c>
      <c r="E56" s="23" t="s">
        <v>3952</v>
      </c>
      <c r="F56" s="24" t="s">
        <v>3922</v>
      </c>
      <c r="G56" s="25">
        <v>44333</v>
      </c>
      <c r="H56" s="25">
        <v>45230</v>
      </c>
      <c r="I56" s="23" t="s">
        <v>3936</v>
      </c>
      <c r="J56" s="23" t="s">
        <v>3766</v>
      </c>
      <c r="K56" s="23">
        <v>4</v>
      </c>
      <c r="L56" s="23" t="s">
        <v>3739</v>
      </c>
      <c r="M56" s="23" t="s">
        <v>3683</v>
      </c>
      <c r="N56" s="25">
        <v>45202</v>
      </c>
      <c r="O56" s="23" t="s">
        <v>3728</v>
      </c>
      <c r="P56" s="23">
        <v>1.1000000000000001</v>
      </c>
      <c r="Q56" s="23" t="s">
        <v>3953</v>
      </c>
    </row>
    <row r="57" spans="1:17" ht="12.75" customHeight="1" x14ac:dyDescent="0.45">
      <c r="A57" s="23" t="s">
        <v>82</v>
      </c>
      <c r="B57" s="23" t="s">
        <v>3954</v>
      </c>
      <c r="C57" s="23" t="s">
        <v>3738</v>
      </c>
      <c r="D57" s="23" t="s">
        <v>3955</v>
      </c>
      <c r="E57" s="23" t="s">
        <v>3956</v>
      </c>
      <c r="F57" s="23" t="s">
        <v>3904</v>
      </c>
      <c r="G57" s="25">
        <v>45019</v>
      </c>
      <c r="H57" s="25">
        <v>45107</v>
      </c>
      <c r="I57" s="23" t="s">
        <v>3738</v>
      </c>
      <c r="J57" s="23" t="s">
        <v>3738</v>
      </c>
      <c r="K57" s="23">
        <v>1</v>
      </c>
      <c r="L57" s="23" t="s">
        <v>3739</v>
      </c>
      <c r="M57" s="23" t="s">
        <v>3674</v>
      </c>
      <c r="N57" s="25">
        <v>45202</v>
      </c>
      <c r="O57" s="23" t="s">
        <v>3728</v>
      </c>
      <c r="P57" s="23">
        <v>1</v>
      </c>
      <c r="Q57" s="23" t="s">
        <v>3957</v>
      </c>
    </row>
    <row r="58" spans="1:17" ht="12.75" customHeight="1" x14ac:dyDescent="0.45">
      <c r="A58" s="23" t="s">
        <v>82</v>
      </c>
      <c r="B58" s="23" t="s">
        <v>3958</v>
      </c>
      <c r="C58" s="23" t="s">
        <v>3738</v>
      </c>
      <c r="D58" s="23" t="s">
        <v>3955</v>
      </c>
      <c r="E58" s="23" t="s">
        <v>3959</v>
      </c>
      <c r="F58" s="23" t="s">
        <v>148</v>
      </c>
      <c r="G58" s="25">
        <v>44671</v>
      </c>
      <c r="H58" s="25">
        <v>44957</v>
      </c>
      <c r="I58" s="23" t="s">
        <v>3738</v>
      </c>
      <c r="J58" s="23" t="s">
        <v>3738</v>
      </c>
      <c r="K58" s="23">
        <v>1</v>
      </c>
      <c r="L58" s="23" t="s">
        <v>3755</v>
      </c>
      <c r="M58" s="23" t="s">
        <v>3674</v>
      </c>
      <c r="N58" s="25">
        <v>45202</v>
      </c>
      <c r="O58" s="23" t="s">
        <v>3728</v>
      </c>
      <c r="P58" s="23">
        <v>1</v>
      </c>
      <c r="Q58" s="23" t="s">
        <v>3957</v>
      </c>
    </row>
    <row r="59" spans="1:17" ht="12.75" customHeight="1" x14ac:dyDescent="0.45">
      <c r="A59" s="23" t="s">
        <v>82</v>
      </c>
      <c r="B59" s="23" t="s">
        <v>3960</v>
      </c>
      <c r="C59" s="23" t="s">
        <v>3738</v>
      </c>
      <c r="D59" s="23" t="s">
        <v>3961</v>
      </c>
      <c r="E59" s="23" t="s">
        <v>3962</v>
      </c>
      <c r="F59" s="24" t="s">
        <v>3963</v>
      </c>
      <c r="G59" s="25">
        <v>45019</v>
      </c>
      <c r="H59" s="25">
        <v>45169</v>
      </c>
      <c r="I59" s="23" t="s">
        <v>3738</v>
      </c>
      <c r="J59" s="23" t="s">
        <v>3738</v>
      </c>
      <c r="K59" s="23">
        <v>1</v>
      </c>
      <c r="L59" s="23" t="s">
        <v>3739</v>
      </c>
      <c r="M59" s="23" t="s">
        <v>3674</v>
      </c>
      <c r="N59" s="25">
        <v>45202</v>
      </c>
      <c r="O59" s="23" t="s">
        <v>3728</v>
      </c>
      <c r="P59" s="23">
        <v>1</v>
      </c>
      <c r="Q59" s="23" t="s">
        <v>3957</v>
      </c>
    </row>
    <row r="60" spans="1:17" ht="12.75" customHeight="1" x14ac:dyDescent="0.45">
      <c r="A60" s="23" t="s">
        <v>82</v>
      </c>
      <c r="B60" s="23" t="s">
        <v>3964</v>
      </c>
      <c r="C60" s="23" t="s">
        <v>3738</v>
      </c>
      <c r="D60" s="23" t="s">
        <v>3961</v>
      </c>
      <c r="E60" s="23" t="s">
        <v>3965</v>
      </c>
      <c r="F60" s="23" t="s">
        <v>148</v>
      </c>
      <c r="G60" s="25">
        <v>45170</v>
      </c>
      <c r="H60" s="25">
        <v>45282</v>
      </c>
      <c r="I60" s="23" t="s">
        <v>3738</v>
      </c>
      <c r="J60" s="23" t="s">
        <v>3738</v>
      </c>
      <c r="K60" s="23">
        <v>1</v>
      </c>
      <c r="L60" s="23" t="s">
        <v>3739</v>
      </c>
      <c r="M60" s="23" t="s">
        <v>3674</v>
      </c>
      <c r="N60" s="25">
        <v>45202</v>
      </c>
      <c r="O60" s="23" t="s">
        <v>3728</v>
      </c>
      <c r="P60" s="23">
        <v>1</v>
      </c>
      <c r="Q60" s="23" t="s">
        <v>88</v>
      </c>
    </row>
    <row r="61" spans="1:17" ht="12.75" customHeight="1" x14ac:dyDescent="0.45">
      <c r="A61" s="23" t="s">
        <v>82</v>
      </c>
      <c r="B61" s="23" t="s">
        <v>3966</v>
      </c>
      <c r="C61" s="23" t="s">
        <v>3967</v>
      </c>
      <c r="D61" s="23" t="s">
        <v>3968</v>
      </c>
      <c r="E61" s="23" t="s">
        <v>3969</v>
      </c>
      <c r="F61" s="24" t="s">
        <v>3761</v>
      </c>
      <c r="G61" s="25">
        <v>42005</v>
      </c>
      <c r="H61" s="25">
        <v>45657</v>
      </c>
      <c r="I61" s="23" t="s">
        <v>3967</v>
      </c>
      <c r="J61" s="23" t="s">
        <v>3744</v>
      </c>
      <c r="K61" s="23">
        <v>2</v>
      </c>
      <c r="L61" s="23" t="s">
        <v>3755</v>
      </c>
      <c r="M61" s="23" t="s">
        <v>3700</v>
      </c>
      <c r="N61" s="25">
        <v>45202</v>
      </c>
      <c r="O61" s="23" t="s">
        <v>3728</v>
      </c>
      <c r="P61" s="23">
        <v>1.1000000000000001</v>
      </c>
      <c r="Q61" s="23" t="s">
        <v>3700</v>
      </c>
    </row>
    <row r="62" spans="1:17" ht="12.75" customHeight="1" x14ac:dyDescent="0.45">
      <c r="A62" s="23" t="s">
        <v>82</v>
      </c>
      <c r="B62" s="23" t="s">
        <v>3970</v>
      </c>
      <c r="C62" s="23" t="s">
        <v>3971</v>
      </c>
      <c r="D62" s="23" t="s">
        <v>3972</v>
      </c>
      <c r="E62" s="23" t="s">
        <v>3973</v>
      </c>
      <c r="F62" s="24" t="s">
        <v>3747</v>
      </c>
      <c r="G62" s="25">
        <v>45019</v>
      </c>
      <c r="H62" s="25">
        <v>45230</v>
      </c>
      <c r="I62" s="23" t="s">
        <v>3738</v>
      </c>
      <c r="J62" s="23" t="s">
        <v>3937</v>
      </c>
      <c r="K62" s="23">
        <v>1</v>
      </c>
      <c r="L62" s="23" t="s">
        <v>3755</v>
      </c>
      <c r="M62" s="23" t="s">
        <v>3667</v>
      </c>
      <c r="N62" s="25">
        <v>45202</v>
      </c>
      <c r="O62" s="23" t="s">
        <v>3728</v>
      </c>
      <c r="P62" s="23">
        <v>1.1000000000000001</v>
      </c>
      <c r="Q62" s="23" t="s">
        <v>88</v>
      </c>
    </row>
    <row r="63" spans="1:17" ht="12.75" customHeight="1" x14ac:dyDescent="0.45">
      <c r="A63" s="23" t="s">
        <v>82</v>
      </c>
      <c r="B63" s="23" t="s">
        <v>3974</v>
      </c>
      <c r="C63" s="23" t="s">
        <v>3971</v>
      </c>
      <c r="D63" s="23" t="s">
        <v>3972</v>
      </c>
      <c r="E63" s="23" t="s">
        <v>3975</v>
      </c>
      <c r="F63" s="23" t="s">
        <v>3976</v>
      </c>
      <c r="G63" s="25">
        <v>45139</v>
      </c>
      <c r="H63" s="25">
        <v>45322</v>
      </c>
      <c r="I63" s="23" t="s">
        <v>3738</v>
      </c>
      <c r="J63" s="23" t="s">
        <v>3937</v>
      </c>
      <c r="K63" s="23">
        <v>1</v>
      </c>
      <c r="L63" s="23" t="s">
        <v>88</v>
      </c>
      <c r="M63" s="23" t="s">
        <v>3667</v>
      </c>
      <c r="N63" s="25">
        <v>45202</v>
      </c>
      <c r="O63" s="23" t="s">
        <v>3728</v>
      </c>
      <c r="P63" s="23">
        <v>1</v>
      </c>
      <c r="Q63" s="23" t="s">
        <v>88</v>
      </c>
    </row>
    <row r="64" spans="1:17" ht="12.75" customHeight="1" x14ac:dyDescent="0.45">
      <c r="A64" s="23" t="s">
        <v>82</v>
      </c>
      <c r="B64" s="23" t="s">
        <v>3977</v>
      </c>
      <c r="C64" s="23" t="s">
        <v>3971</v>
      </c>
      <c r="D64" s="23" t="s">
        <v>3972</v>
      </c>
      <c r="E64" s="23" t="s">
        <v>3978</v>
      </c>
      <c r="F64" s="23" t="s">
        <v>3979</v>
      </c>
      <c r="G64" s="25">
        <v>45139</v>
      </c>
      <c r="H64" s="25">
        <v>45351</v>
      </c>
      <c r="I64" s="23" t="s">
        <v>3738</v>
      </c>
      <c r="J64" s="23" t="s">
        <v>3937</v>
      </c>
      <c r="K64" s="23">
        <v>1</v>
      </c>
      <c r="L64" s="23" t="s">
        <v>3755</v>
      </c>
      <c r="M64" s="23" t="s">
        <v>3667</v>
      </c>
      <c r="N64" s="25">
        <v>45202</v>
      </c>
      <c r="O64" s="23" t="s">
        <v>3728</v>
      </c>
      <c r="P64" s="23">
        <v>1</v>
      </c>
      <c r="Q64" s="23" t="s">
        <v>88</v>
      </c>
    </row>
    <row r="65" spans="1:17" ht="12.75" customHeight="1" x14ac:dyDescent="0.45">
      <c r="A65" s="23" t="s">
        <v>82</v>
      </c>
      <c r="B65" s="23" t="s">
        <v>3980</v>
      </c>
      <c r="C65" s="23" t="s">
        <v>3870</v>
      </c>
      <c r="D65" s="23" t="s">
        <v>3981</v>
      </c>
      <c r="E65" s="23" t="s">
        <v>3982</v>
      </c>
      <c r="F65" s="24" t="s">
        <v>3983</v>
      </c>
      <c r="G65" s="25">
        <v>44378</v>
      </c>
      <c r="H65" s="25">
        <v>45282</v>
      </c>
      <c r="I65" s="23" t="s">
        <v>3870</v>
      </c>
      <c r="J65" s="23" t="s">
        <v>3766</v>
      </c>
      <c r="K65" s="23">
        <v>2</v>
      </c>
      <c r="L65" s="23" t="s">
        <v>3727</v>
      </c>
      <c r="M65" s="23" t="s">
        <v>3673</v>
      </c>
      <c r="N65" s="25">
        <v>45202</v>
      </c>
      <c r="O65" s="23" t="s">
        <v>3728</v>
      </c>
      <c r="P65" s="23">
        <v>1</v>
      </c>
      <c r="Q65" s="23" t="s">
        <v>3981</v>
      </c>
    </row>
    <row r="66" spans="1:17" ht="12.75" customHeight="1" x14ac:dyDescent="0.45">
      <c r="A66" s="23" t="s">
        <v>82</v>
      </c>
      <c r="B66" s="23" t="s">
        <v>3984</v>
      </c>
      <c r="C66" s="23" t="s">
        <v>3936</v>
      </c>
      <c r="D66" s="23" t="s">
        <v>3981</v>
      </c>
      <c r="E66" s="23" t="s">
        <v>3985</v>
      </c>
      <c r="F66" s="23" t="s">
        <v>3986</v>
      </c>
      <c r="G66" s="25">
        <v>45061</v>
      </c>
      <c r="H66" s="25">
        <v>45169</v>
      </c>
      <c r="I66" s="23" t="s">
        <v>3936</v>
      </c>
      <c r="J66" s="23" t="s">
        <v>3726</v>
      </c>
      <c r="K66" s="23">
        <v>2</v>
      </c>
      <c r="L66" s="23" t="s">
        <v>3739</v>
      </c>
      <c r="M66" s="23" t="s">
        <v>3695</v>
      </c>
      <c r="N66" s="25">
        <v>45202</v>
      </c>
      <c r="O66" s="23" t="s">
        <v>3728</v>
      </c>
      <c r="P66" s="23">
        <v>1</v>
      </c>
      <c r="Q66" s="23" t="s">
        <v>88</v>
      </c>
    </row>
  </sheetData>
  <dataValidations count="3">
    <dataValidation type="list" allowBlank="1" showInputMessage="1" showErrorMessage="1" errorTitle="Error" error="Please select a value from the drop down" sqref="O2:O216" xr:uid="{3C5BFCBD-6DCF-468F-BB86-110F1813B1FC}">
      <formula1>Range_2</formula1>
    </dataValidation>
    <dataValidation type="list" allowBlank="1" showInputMessage="1" showErrorMessage="1" errorTitle="Error" error="Please select a value from the drop down" sqref="L2:L216" xr:uid="{52EA99E2-7787-47A3-8C1F-7C3B3529A972}">
      <formula1>Range_1</formula1>
    </dataValidation>
    <dataValidation type="list" allowBlank="1" showInputMessage="1" showErrorMessage="1" errorTitle="Error" error="Please select a value from the drop down" sqref="A2:A216" xr:uid="{ED17E530-482A-44B1-A720-BDEF41F9D628}">
      <formula1>Range_0</formula1>
    </dataValidation>
  </dataValidations>
  <pageMargins left="0.75" right="0.75" top="1" bottom="1" header="0.5" footer="0.5"/>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2DDC0-E213-4777-85AE-657D7942BAE5}">
  <sheetPr codeName="Sheet4"/>
  <dimension ref="A1:R566"/>
  <sheetViews>
    <sheetView workbookViewId="0">
      <selection activeCell="U17" sqref="U17"/>
    </sheetView>
  </sheetViews>
  <sheetFormatPr defaultRowHeight="14.25" x14ac:dyDescent="0.45"/>
  <cols>
    <col min="1" max="1" width="37.796875" customWidth="1"/>
    <col min="2" max="2" width="11.73046875" customWidth="1"/>
    <col min="3" max="3" width="24.46484375" style="20" customWidth="1"/>
    <col min="4" max="4" width="5" bestFit="1" customWidth="1"/>
    <col min="5" max="5" width="22.73046875" bestFit="1" customWidth="1"/>
    <col min="6" max="6" width="18.6640625" customWidth="1"/>
    <col min="7" max="7" width="20.46484375" customWidth="1"/>
    <col min="8" max="8" width="7" bestFit="1" customWidth="1"/>
    <col min="9" max="9" width="21.1328125" customWidth="1"/>
    <col min="10" max="10" width="7.53125" customWidth="1"/>
    <col min="11" max="11" width="11" customWidth="1"/>
    <col min="12" max="15" width="5" bestFit="1" customWidth="1"/>
    <col min="16" max="16" width="4" bestFit="1" customWidth="1"/>
    <col min="17" max="20" width="5" bestFit="1" customWidth="1"/>
    <col min="21" max="21" width="4" bestFit="1" customWidth="1"/>
    <col min="22" max="24" width="5" bestFit="1" customWidth="1"/>
    <col min="25" max="25" width="4" bestFit="1" customWidth="1"/>
    <col min="26" max="29" width="5" bestFit="1" customWidth="1"/>
    <col min="30" max="30" width="4" bestFit="1" customWidth="1"/>
    <col min="31" max="34" width="5" bestFit="1" customWidth="1"/>
    <col min="35" max="35" width="4" bestFit="1" customWidth="1"/>
    <col min="36" max="36" width="7" bestFit="1" customWidth="1"/>
    <col min="37" max="39" width="5" bestFit="1" customWidth="1"/>
    <col min="40" max="40" width="7" bestFit="1" customWidth="1"/>
    <col min="41" max="41" width="4" bestFit="1" customWidth="1"/>
    <col min="42" max="42" width="7" bestFit="1" customWidth="1"/>
    <col min="43" max="46" width="5" bestFit="1" customWidth="1"/>
    <col min="47" max="47" width="2" bestFit="1" customWidth="1"/>
    <col min="48" max="48" width="7" bestFit="1" customWidth="1"/>
    <col min="49" max="49" width="5" bestFit="1" customWidth="1"/>
    <col min="50" max="50" width="4" bestFit="1" customWidth="1"/>
    <col min="51" max="52" width="7" bestFit="1" customWidth="1"/>
    <col min="53" max="56" width="5" bestFit="1" customWidth="1"/>
    <col min="57" max="57" width="7" bestFit="1" customWidth="1"/>
    <col min="58" max="58" width="4" bestFit="1" customWidth="1"/>
    <col min="59" max="60" width="5" bestFit="1" customWidth="1"/>
    <col min="61" max="61" width="4" bestFit="1" customWidth="1"/>
    <col min="62" max="62" width="7" bestFit="1" customWidth="1"/>
    <col min="63" max="65" width="5" bestFit="1" customWidth="1"/>
    <col min="66" max="66" width="4" bestFit="1" customWidth="1"/>
    <col min="67" max="70" width="5" bestFit="1" customWidth="1"/>
    <col min="71" max="71" width="4" bestFit="1" customWidth="1"/>
    <col min="72" max="73" width="7" bestFit="1" customWidth="1"/>
    <col min="74" max="76" width="5" bestFit="1" customWidth="1"/>
    <col min="77" max="77" width="4" bestFit="1" customWidth="1"/>
    <col min="78" max="79" width="5" bestFit="1" customWidth="1"/>
    <col min="80" max="80" width="7" bestFit="1" customWidth="1"/>
    <col min="81" max="81" width="4" bestFit="1" customWidth="1"/>
    <col min="82" max="84" width="5" bestFit="1" customWidth="1"/>
    <col min="85" max="85" width="7" bestFit="1" customWidth="1"/>
    <col min="86" max="86" width="4" bestFit="1" customWidth="1"/>
    <col min="87" max="91" width="5" bestFit="1" customWidth="1"/>
    <col min="92" max="92" width="7" bestFit="1" customWidth="1"/>
    <col min="93" max="94" width="5" bestFit="1" customWidth="1"/>
    <col min="95" max="95" width="2" bestFit="1" customWidth="1"/>
    <col min="96" max="96" width="7" bestFit="1" customWidth="1"/>
    <col min="97" max="101" width="5" bestFit="1" customWidth="1"/>
    <col min="102" max="102" width="4" bestFit="1" customWidth="1"/>
    <col min="103" max="105" width="5" bestFit="1" customWidth="1"/>
    <col min="106" max="106" width="4" bestFit="1" customWidth="1"/>
    <col min="107" max="107" width="7" bestFit="1" customWidth="1"/>
    <col min="108" max="108" width="5" bestFit="1" customWidth="1"/>
    <col min="109" max="109" width="6.06640625" bestFit="1" customWidth="1"/>
    <col min="110" max="110" width="4" bestFit="1" customWidth="1"/>
    <col min="111" max="112" width="5" bestFit="1" customWidth="1"/>
    <col min="113" max="114" width="4" bestFit="1" customWidth="1"/>
    <col min="115" max="115" width="7" bestFit="1" customWidth="1"/>
    <col min="116" max="118" width="5" bestFit="1" customWidth="1"/>
    <col min="119" max="119" width="4" bestFit="1" customWidth="1"/>
    <col min="120" max="120" width="7" bestFit="1" customWidth="1"/>
    <col min="121" max="121" width="5" bestFit="1" customWidth="1"/>
    <col min="122" max="122" width="7" bestFit="1" customWidth="1"/>
    <col min="123" max="124" width="5" bestFit="1" customWidth="1"/>
    <col min="125" max="125" width="4" bestFit="1" customWidth="1"/>
    <col min="126" max="126" width="5" bestFit="1" customWidth="1"/>
    <col min="127" max="127" width="7" bestFit="1" customWidth="1"/>
    <col min="128" max="128" width="6.06640625" bestFit="1" customWidth="1"/>
    <col min="129" max="131" width="5" bestFit="1" customWidth="1"/>
    <col min="132" max="132" width="4" bestFit="1" customWidth="1"/>
    <col min="133" max="133" width="5" bestFit="1" customWidth="1"/>
    <col min="134" max="136" width="7" bestFit="1" customWidth="1"/>
    <col min="137" max="137" width="5" bestFit="1" customWidth="1"/>
    <col min="138" max="138" width="7" bestFit="1" customWidth="1"/>
    <col min="139" max="139" width="4" bestFit="1" customWidth="1"/>
    <col min="140" max="142" width="5" bestFit="1" customWidth="1"/>
    <col min="143" max="143" width="7" bestFit="1" customWidth="1"/>
    <col min="144" max="144" width="6.06640625" bestFit="1" customWidth="1"/>
    <col min="145" max="145" width="2" bestFit="1" customWidth="1"/>
    <col min="146" max="147" width="5" bestFit="1" customWidth="1"/>
    <col min="148" max="149" width="7" bestFit="1" customWidth="1"/>
    <col min="150" max="150" width="5" bestFit="1" customWidth="1"/>
    <col min="151" max="151" width="4" bestFit="1" customWidth="1"/>
    <col min="152" max="156" width="5" bestFit="1" customWidth="1"/>
    <col min="157" max="157" width="4" bestFit="1" customWidth="1"/>
    <col min="158" max="158" width="5" bestFit="1" customWidth="1"/>
    <col min="159" max="159" width="7" bestFit="1" customWidth="1"/>
    <col min="160" max="160" width="4" bestFit="1" customWidth="1"/>
    <col min="161" max="161" width="7" bestFit="1" customWidth="1"/>
    <col min="162" max="163" width="5" bestFit="1" customWidth="1"/>
    <col min="164" max="164" width="4" bestFit="1" customWidth="1"/>
    <col min="165" max="166" width="5" bestFit="1" customWidth="1"/>
    <col min="167" max="167" width="4" bestFit="1" customWidth="1"/>
    <col min="168" max="171" width="5" bestFit="1" customWidth="1"/>
    <col min="172" max="172" width="7" bestFit="1" customWidth="1"/>
    <col min="173" max="173" width="5" bestFit="1" customWidth="1"/>
    <col min="174" max="174" width="4" bestFit="1" customWidth="1"/>
    <col min="175" max="176" width="6.06640625" bestFit="1" customWidth="1"/>
    <col min="177" max="177" width="5" bestFit="1" customWidth="1"/>
    <col min="178" max="178" width="7" bestFit="1" customWidth="1"/>
    <col min="179" max="179" width="5" bestFit="1" customWidth="1"/>
    <col min="180" max="180" width="7" bestFit="1" customWidth="1"/>
    <col min="181" max="181" width="4" bestFit="1" customWidth="1"/>
    <col min="182" max="183" width="5" bestFit="1" customWidth="1"/>
    <col min="184" max="184" width="4" bestFit="1" customWidth="1"/>
    <col min="185" max="185" width="5" bestFit="1" customWidth="1"/>
    <col min="186" max="186" width="7" bestFit="1" customWidth="1"/>
    <col min="187" max="189" width="5" bestFit="1" customWidth="1"/>
    <col min="190" max="190" width="4" bestFit="1" customWidth="1"/>
    <col min="191" max="191" width="5" bestFit="1" customWidth="1"/>
    <col min="192" max="192" width="2" bestFit="1" customWidth="1"/>
    <col min="193" max="194" width="5" bestFit="1" customWidth="1"/>
    <col min="195" max="196" width="7" bestFit="1" customWidth="1"/>
    <col min="197" max="197" width="5" bestFit="1" customWidth="1"/>
    <col min="198" max="198" width="4" bestFit="1" customWidth="1"/>
    <col min="199" max="199" width="5" bestFit="1" customWidth="1"/>
    <col min="200" max="200" width="7" bestFit="1" customWidth="1"/>
    <col min="201" max="203" width="5" bestFit="1" customWidth="1"/>
    <col min="204" max="204" width="4" bestFit="1" customWidth="1"/>
    <col min="205" max="207" width="5" bestFit="1" customWidth="1"/>
    <col min="208" max="208" width="4" bestFit="1" customWidth="1"/>
    <col min="209" max="210" width="5" bestFit="1" customWidth="1"/>
    <col min="211" max="211" width="7" bestFit="1" customWidth="1"/>
    <col min="212" max="213" width="5" bestFit="1" customWidth="1"/>
    <col min="214" max="214" width="7" bestFit="1" customWidth="1"/>
    <col min="215" max="215" width="4" bestFit="1" customWidth="1"/>
    <col min="216" max="216" width="5" bestFit="1" customWidth="1"/>
    <col min="217" max="217" width="7" bestFit="1" customWidth="1"/>
    <col min="218" max="218" width="5" bestFit="1" customWidth="1"/>
    <col min="219" max="219" width="7" bestFit="1" customWidth="1"/>
    <col min="220" max="220" width="5" bestFit="1" customWidth="1"/>
    <col min="221" max="221" width="7" bestFit="1" customWidth="1"/>
    <col min="222" max="222" width="5" bestFit="1" customWidth="1"/>
    <col min="223" max="223" width="7" bestFit="1" customWidth="1"/>
    <col min="224" max="224" width="4" bestFit="1" customWidth="1"/>
    <col min="225" max="225" width="5" bestFit="1" customWidth="1"/>
    <col min="226" max="226" width="7" bestFit="1" customWidth="1"/>
    <col min="227" max="229" width="5" bestFit="1" customWidth="1"/>
    <col min="230" max="230" width="4" bestFit="1" customWidth="1"/>
    <col min="231" max="231" width="7" bestFit="1" customWidth="1"/>
    <col min="232" max="234" width="5" bestFit="1" customWidth="1"/>
    <col min="235" max="235" width="7" bestFit="1" customWidth="1"/>
    <col min="236" max="236" width="4" bestFit="1" customWidth="1"/>
    <col min="237" max="238" width="5" bestFit="1" customWidth="1"/>
    <col min="239" max="239" width="4" bestFit="1" customWidth="1"/>
    <col min="240" max="243" width="5" bestFit="1" customWidth="1"/>
    <col min="244" max="244" width="4" bestFit="1" customWidth="1"/>
    <col min="245" max="245" width="5" bestFit="1" customWidth="1"/>
    <col min="246" max="247" width="7" bestFit="1" customWidth="1"/>
    <col min="248" max="248" width="2" bestFit="1" customWidth="1"/>
    <col min="249" max="249" width="5" bestFit="1" customWidth="1"/>
    <col min="250" max="250" width="4" bestFit="1" customWidth="1"/>
    <col min="251" max="253" width="5" bestFit="1" customWidth="1"/>
    <col min="254" max="254" width="4" bestFit="1" customWidth="1"/>
    <col min="255" max="259" width="5" bestFit="1" customWidth="1"/>
    <col min="260" max="260" width="7" bestFit="1" customWidth="1"/>
    <col min="261" max="261" width="4" bestFit="1" customWidth="1"/>
    <col min="262" max="262" width="7" bestFit="1" customWidth="1"/>
    <col min="263" max="263" width="5" bestFit="1" customWidth="1"/>
    <col min="264" max="264" width="7" bestFit="1" customWidth="1"/>
    <col min="265" max="265" width="5" bestFit="1" customWidth="1"/>
    <col min="266" max="266" width="4" bestFit="1" customWidth="1"/>
    <col min="267" max="267" width="7" bestFit="1" customWidth="1"/>
    <col min="268" max="271" width="5" bestFit="1" customWidth="1"/>
    <col min="272" max="272" width="4" bestFit="1" customWidth="1"/>
    <col min="273" max="274" width="5" bestFit="1" customWidth="1"/>
    <col min="275" max="275" width="7" bestFit="1" customWidth="1"/>
    <col min="276" max="276" width="4" bestFit="1" customWidth="1"/>
    <col min="277" max="277" width="7" bestFit="1" customWidth="1"/>
    <col min="278" max="278" width="5" bestFit="1" customWidth="1"/>
    <col min="279" max="279" width="7" bestFit="1" customWidth="1"/>
    <col min="280" max="280" width="5" bestFit="1" customWidth="1"/>
    <col min="281" max="281" width="6.06640625" bestFit="1" customWidth="1"/>
    <col min="282" max="283" width="5" bestFit="1" customWidth="1"/>
    <col min="284" max="284" width="4" bestFit="1" customWidth="1"/>
    <col min="285" max="285" width="7" bestFit="1" customWidth="1"/>
    <col min="286" max="286" width="5" bestFit="1" customWidth="1"/>
    <col min="287" max="287" width="7" bestFit="1" customWidth="1"/>
    <col min="288" max="288" width="5" bestFit="1" customWidth="1"/>
    <col min="289" max="289" width="4" bestFit="1" customWidth="1"/>
    <col min="290" max="290" width="5" bestFit="1" customWidth="1"/>
    <col min="291" max="291" width="7" bestFit="1" customWidth="1"/>
    <col min="292" max="292" width="5" bestFit="1" customWidth="1"/>
    <col min="293" max="293" width="7" bestFit="1" customWidth="1"/>
    <col min="294" max="294" width="5" bestFit="1" customWidth="1"/>
    <col min="295" max="295" width="7" bestFit="1" customWidth="1"/>
    <col min="296" max="296" width="4" bestFit="1" customWidth="1"/>
    <col min="297" max="299" width="7" bestFit="1" customWidth="1"/>
    <col min="300" max="303" width="5" bestFit="1" customWidth="1"/>
    <col min="304" max="304" width="2" bestFit="1" customWidth="1"/>
    <col min="305" max="307" width="5" bestFit="1" customWidth="1"/>
    <col min="308" max="308" width="7" bestFit="1" customWidth="1"/>
    <col min="309" max="309" width="4" bestFit="1" customWidth="1"/>
    <col min="310" max="310" width="6.06640625" bestFit="1" customWidth="1"/>
    <col min="311" max="311" width="5" bestFit="1" customWidth="1"/>
    <col min="312" max="312" width="7" bestFit="1" customWidth="1"/>
    <col min="313" max="314" width="5" bestFit="1" customWidth="1"/>
    <col min="315" max="315" width="7" bestFit="1" customWidth="1"/>
    <col min="316" max="316" width="4" bestFit="1" customWidth="1"/>
    <col min="317" max="318" width="5" bestFit="1" customWidth="1"/>
    <col min="319" max="319" width="4" bestFit="1" customWidth="1"/>
    <col min="320" max="321" width="7" bestFit="1" customWidth="1"/>
    <col min="322" max="323" width="5" bestFit="1" customWidth="1"/>
    <col min="324" max="324" width="7" bestFit="1" customWidth="1"/>
    <col min="325" max="325" width="4" bestFit="1" customWidth="1"/>
    <col min="326" max="328" width="5" bestFit="1" customWidth="1"/>
    <col min="329" max="329" width="4" bestFit="1" customWidth="1"/>
    <col min="330" max="330" width="5" bestFit="1" customWidth="1"/>
    <col min="331" max="331" width="7" bestFit="1" customWidth="1"/>
    <col min="332" max="332" width="5" bestFit="1" customWidth="1"/>
    <col min="333" max="333" width="4" bestFit="1" customWidth="1"/>
    <col min="334" max="334" width="6.06640625" bestFit="1" customWidth="1"/>
    <col min="335" max="335" width="5" bestFit="1" customWidth="1"/>
    <col min="336" max="336" width="7" bestFit="1" customWidth="1"/>
    <col min="337" max="337" width="4" bestFit="1" customWidth="1"/>
    <col min="338" max="338" width="7" bestFit="1" customWidth="1"/>
    <col min="339" max="343" width="5" bestFit="1" customWidth="1"/>
    <col min="344" max="344" width="4" bestFit="1" customWidth="1"/>
    <col min="345" max="345" width="7" bestFit="1" customWidth="1"/>
    <col min="346" max="347" width="5" bestFit="1" customWidth="1"/>
    <col min="348" max="348" width="4" bestFit="1" customWidth="1"/>
    <col min="349" max="351" width="5" bestFit="1" customWidth="1"/>
    <col min="352" max="352" width="7" bestFit="1" customWidth="1"/>
    <col min="353" max="353" width="2" bestFit="1" customWidth="1"/>
    <col min="354" max="354" width="7" bestFit="1" customWidth="1"/>
    <col min="355" max="359" width="5" bestFit="1" customWidth="1"/>
    <col min="360" max="360" width="7" bestFit="1" customWidth="1"/>
    <col min="361" max="361" width="6.06640625" bestFit="1" customWidth="1"/>
    <col min="362" max="362" width="5" bestFit="1" customWidth="1"/>
    <col min="363" max="364" width="7" bestFit="1" customWidth="1"/>
    <col min="365" max="365" width="4" bestFit="1" customWidth="1"/>
    <col min="366" max="368" width="5" bestFit="1" customWidth="1"/>
    <col min="369" max="370" width="7" bestFit="1" customWidth="1"/>
    <col min="371" max="371" width="5" bestFit="1" customWidth="1"/>
    <col min="372" max="373" width="7" bestFit="1" customWidth="1"/>
    <col min="374" max="374" width="4" bestFit="1" customWidth="1"/>
    <col min="375" max="377" width="7" bestFit="1" customWidth="1"/>
    <col min="378" max="378" width="4" bestFit="1" customWidth="1"/>
    <col min="379" max="379" width="5" bestFit="1" customWidth="1"/>
    <col min="380" max="380" width="7" bestFit="1" customWidth="1"/>
    <col min="381" max="381" width="5" bestFit="1" customWidth="1"/>
    <col min="382" max="382" width="7" bestFit="1" customWidth="1"/>
    <col min="383" max="383" width="4" bestFit="1" customWidth="1"/>
    <col min="384" max="384" width="5" bestFit="1" customWidth="1"/>
    <col min="385" max="385" width="7" bestFit="1" customWidth="1"/>
    <col min="386" max="386" width="4" bestFit="1" customWidth="1"/>
    <col min="387" max="388" width="5" bestFit="1" customWidth="1"/>
    <col min="389" max="389" width="7" bestFit="1" customWidth="1"/>
    <col min="390" max="391" width="5" bestFit="1" customWidth="1"/>
    <col min="392" max="392" width="7" bestFit="1" customWidth="1"/>
    <col min="393" max="393" width="4" bestFit="1" customWidth="1"/>
    <col min="394" max="394" width="6.06640625" bestFit="1" customWidth="1"/>
    <col min="395" max="400" width="5" bestFit="1" customWidth="1"/>
    <col min="401" max="401" width="4" bestFit="1" customWidth="1"/>
    <col min="402" max="402" width="5" bestFit="1" customWidth="1"/>
    <col min="403" max="403" width="6.06640625" bestFit="1" customWidth="1"/>
    <col min="404" max="406" width="5" bestFit="1" customWidth="1"/>
    <col min="407" max="408" width="7" bestFit="1" customWidth="1"/>
    <col min="409" max="409" width="5" bestFit="1" customWidth="1"/>
    <col min="410" max="410" width="4" bestFit="1" customWidth="1"/>
    <col min="411" max="411" width="5" bestFit="1" customWidth="1"/>
    <col min="412" max="413" width="7" bestFit="1" customWidth="1"/>
    <col min="414" max="414" width="5" bestFit="1" customWidth="1"/>
    <col min="415" max="415" width="4" bestFit="1" customWidth="1"/>
    <col min="416" max="418" width="5" bestFit="1" customWidth="1"/>
    <col min="419" max="419" width="2" bestFit="1" customWidth="1"/>
    <col min="420" max="423" width="5" bestFit="1" customWidth="1"/>
    <col min="424" max="424" width="7" bestFit="1" customWidth="1"/>
    <col min="425" max="425" width="5" bestFit="1" customWidth="1"/>
    <col min="426" max="426" width="4" bestFit="1" customWidth="1"/>
    <col min="427" max="427" width="5" bestFit="1" customWidth="1"/>
    <col min="428" max="428" width="7" bestFit="1" customWidth="1"/>
    <col min="429" max="432" width="5" bestFit="1" customWidth="1"/>
    <col min="433" max="434" width="7" bestFit="1" customWidth="1"/>
    <col min="435" max="435" width="5" bestFit="1" customWidth="1"/>
    <col min="436" max="436" width="7" bestFit="1" customWidth="1"/>
    <col min="437" max="437" width="5" bestFit="1" customWidth="1"/>
    <col min="438" max="438" width="4" bestFit="1" customWidth="1"/>
    <col min="439" max="440" width="7" bestFit="1" customWidth="1"/>
    <col min="441" max="442" width="5" bestFit="1" customWidth="1"/>
    <col min="443" max="443" width="4" bestFit="1" customWidth="1"/>
    <col min="444" max="445" width="5" bestFit="1" customWidth="1"/>
    <col min="446" max="450" width="7" bestFit="1" customWidth="1"/>
    <col min="451" max="451" width="4" bestFit="1" customWidth="1"/>
    <col min="452" max="452" width="5" bestFit="1" customWidth="1"/>
    <col min="453" max="453" width="4" bestFit="1" customWidth="1"/>
    <col min="454" max="457" width="5" bestFit="1" customWidth="1"/>
    <col min="458" max="458" width="4" bestFit="1" customWidth="1"/>
    <col min="459" max="459" width="7" bestFit="1" customWidth="1"/>
    <col min="460" max="464" width="5" bestFit="1" customWidth="1"/>
    <col min="465" max="465" width="4" bestFit="1" customWidth="1"/>
    <col min="466" max="467" width="7" bestFit="1" customWidth="1"/>
    <col min="468" max="470" width="5" bestFit="1" customWidth="1"/>
    <col min="471" max="471" width="7" bestFit="1" customWidth="1"/>
    <col min="472" max="472" width="5" bestFit="1" customWidth="1"/>
    <col min="473" max="473" width="4" bestFit="1" customWidth="1"/>
    <col min="474" max="474" width="5" bestFit="1" customWidth="1"/>
    <col min="475" max="475" width="7" bestFit="1" customWidth="1"/>
    <col min="476" max="476" width="5" bestFit="1" customWidth="1"/>
    <col min="477" max="477" width="7" bestFit="1" customWidth="1"/>
    <col min="478" max="481" width="5" bestFit="1" customWidth="1"/>
    <col min="482" max="483" width="7" bestFit="1" customWidth="1"/>
    <col min="484" max="484" width="2" bestFit="1" customWidth="1"/>
    <col min="485" max="488" width="5" bestFit="1" customWidth="1"/>
    <col min="489" max="489" width="4" bestFit="1" customWidth="1"/>
    <col min="490" max="490" width="7" bestFit="1" customWidth="1"/>
    <col min="491" max="492" width="5" bestFit="1" customWidth="1"/>
    <col min="493" max="493" width="4" bestFit="1" customWidth="1"/>
    <col min="494" max="494" width="7" bestFit="1" customWidth="1"/>
    <col min="495" max="496" width="5" bestFit="1" customWidth="1"/>
    <col min="497" max="498" width="7" bestFit="1" customWidth="1"/>
    <col min="499" max="499" width="4" bestFit="1" customWidth="1"/>
    <col min="500" max="502" width="5" bestFit="1" customWidth="1"/>
    <col min="503" max="503" width="7" bestFit="1" customWidth="1"/>
    <col min="504" max="504" width="5" bestFit="1" customWidth="1"/>
    <col min="505" max="506" width="7" bestFit="1" customWidth="1"/>
    <col min="507" max="507" width="4" bestFit="1" customWidth="1"/>
    <col min="508" max="508" width="5" bestFit="1" customWidth="1"/>
    <col min="509" max="510" width="7" bestFit="1" customWidth="1"/>
    <col min="511" max="511" width="5" bestFit="1" customWidth="1"/>
    <col min="512" max="513" width="7" bestFit="1" customWidth="1"/>
    <col min="514" max="514" width="4" bestFit="1" customWidth="1"/>
    <col min="515" max="515" width="7" bestFit="1" customWidth="1"/>
    <col min="516" max="517" width="5" bestFit="1" customWidth="1"/>
    <col min="518" max="520" width="7" bestFit="1" customWidth="1"/>
    <col min="521" max="521" width="5" bestFit="1" customWidth="1"/>
    <col min="522" max="522" width="4" bestFit="1" customWidth="1"/>
    <col min="523" max="525" width="7" bestFit="1" customWidth="1"/>
    <col min="526" max="527" width="5" bestFit="1" customWidth="1"/>
    <col min="528" max="528" width="4" bestFit="1" customWidth="1"/>
    <col min="529" max="531" width="5" bestFit="1" customWidth="1"/>
    <col min="532" max="532" width="7" bestFit="1" customWidth="1"/>
    <col min="533" max="533" width="5" bestFit="1" customWidth="1"/>
    <col min="534" max="534" width="4" bestFit="1" customWidth="1"/>
    <col min="535" max="538" width="5" bestFit="1" customWidth="1"/>
    <col min="539" max="539" width="7" bestFit="1" customWidth="1"/>
    <col min="540" max="540" width="4" bestFit="1" customWidth="1"/>
    <col min="541" max="541" width="5" bestFit="1" customWidth="1"/>
    <col min="542" max="542" width="6.06640625" bestFit="1" customWidth="1"/>
    <col min="543" max="544" width="5" bestFit="1" customWidth="1"/>
    <col min="545" max="545" width="7" bestFit="1" customWidth="1"/>
    <col min="546" max="546" width="2.9296875" bestFit="1" customWidth="1"/>
    <col min="547" max="547" width="6.06640625" bestFit="1" customWidth="1"/>
    <col min="548" max="548" width="7.9296875" bestFit="1" customWidth="1"/>
    <col min="549" max="549" width="6.06640625" bestFit="1" customWidth="1"/>
    <col min="550" max="550" width="7.9296875" bestFit="1" customWidth="1"/>
    <col min="551" max="552" width="6.06640625" bestFit="1" customWidth="1"/>
    <col min="553" max="553" width="5" bestFit="1" customWidth="1"/>
    <col min="554" max="556" width="6.06640625" bestFit="1" customWidth="1"/>
    <col min="557" max="557" width="7.9296875" bestFit="1" customWidth="1"/>
    <col min="558" max="558" width="5" bestFit="1" customWidth="1"/>
    <col min="559" max="561" width="6.06640625" bestFit="1" customWidth="1"/>
    <col min="562" max="562" width="7.9296875" bestFit="1" customWidth="1"/>
    <col min="563" max="563" width="6.06640625" bestFit="1" customWidth="1"/>
    <col min="564" max="564" width="7.9296875" bestFit="1" customWidth="1"/>
    <col min="565" max="565" width="5" bestFit="1" customWidth="1"/>
    <col min="566" max="566" width="6.06640625" bestFit="1" customWidth="1"/>
    <col min="567" max="567" width="7.9296875" bestFit="1" customWidth="1"/>
    <col min="568" max="569" width="6.06640625" bestFit="1" customWidth="1"/>
    <col min="570" max="570" width="7.9296875" bestFit="1" customWidth="1"/>
    <col min="571" max="571" width="6.06640625" bestFit="1" customWidth="1"/>
    <col min="572" max="572" width="5" bestFit="1" customWidth="1"/>
    <col min="573" max="575" width="7.9296875" bestFit="1" customWidth="1"/>
    <col min="576" max="577" width="6.06640625" bestFit="1" customWidth="1"/>
    <col min="578" max="578" width="5" bestFit="1" customWidth="1"/>
    <col min="579" max="579" width="7.9296875" bestFit="1" customWidth="1"/>
    <col min="580" max="580" width="6.06640625" bestFit="1" customWidth="1"/>
    <col min="581" max="581" width="7" bestFit="1" customWidth="1"/>
    <col min="582" max="582" width="6.06640625" bestFit="1" customWidth="1"/>
    <col min="583" max="583" width="7.9296875" bestFit="1" customWidth="1"/>
    <col min="584" max="584" width="6.06640625" bestFit="1" customWidth="1"/>
    <col min="585" max="585" width="5" bestFit="1" customWidth="1"/>
    <col min="586" max="586" width="7.9296875" bestFit="1" customWidth="1"/>
    <col min="587" max="587" width="7" bestFit="1" customWidth="1"/>
    <col min="588" max="588" width="5" bestFit="1" customWidth="1"/>
    <col min="589" max="591" width="6.06640625" bestFit="1" customWidth="1"/>
    <col min="592" max="592" width="7.9296875" bestFit="1" customWidth="1"/>
    <col min="593" max="593" width="6.06640625" bestFit="1" customWidth="1"/>
    <col min="594" max="594" width="5" bestFit="1" customWidth="1"/>
    <col min="595" max="595" width="7.9296875" bestFit="1" customWidth="1"/>
    <col min="596" max="599" width="6.06640625" bestFit="1" customWidth="1"/>
    <col min="600" max="600" width="7.9296875" bestFit="1" customWidth="1"/>
    <col min="601" max="601" width="6.06640625" bestFit="1" customWidth="1"/>
    <col min="602" max="602" width="7.9296875" bestFit="1" customWidth="1"/>
    <col min="603" max="603" width="5" bestFit="1" customWidth="1"/>
    <col min="604" max="604" width="7.9296875" bestFit="1" customWidth="1"/>
    <col min="605" max="605" width="6.06640625" bestFit="1" customWidth="1"/>
    <col min="606" max="607" width="7.9296875" bestFit="1" customWidth="1"/>
    <col min="608" max="610" width="6.06640625" bestFit="1" customWidth="1"/>
    <col min="611" max="611" width="7.9296875" bestFit="1" customWidth="1"/>
    <col min="612" max="612" width="2.9296875" bestFit="1" customWidth="1"/>
    <col min="613" max="613" width="6.06640625" bestFit="1" customWidth="1"/>
    <col min="614" max="615" width="7.9296875" bestFit="1" customWidth="1"/>
    <col min="616" max="616" width="7" bestFit="1" customWidth="1"/>
    <col min="617" max="617" width="7.9296875" bestFit="1" customWidth="1"/>
    <col min="618" max="618" width="5" bestFit="1" customWidth="1"/>
    <col min="619" max="619" width="7.9296875" bestFit="1" customWidth="1"/>
    <col min="620" max="622" width="6.06640625" bestFit="1" customWidth="1"/>
    <col min="623" max="623" width="5" bestFit="1" customWidth="1"/>
    <col min="624" max="624" width="6.06640625" bestFit="1" customWidth="1"/>
    <col min="625" max="625" width="5" bestFit="1" customWidth="1"/>
    <col min="626" max="626" width="7.9296875" bestFit="1" customWidth="1"/>
    <col min="627" max="628" width="6.06640625" bestFit="1" customWidth="1"/>
    <col min="629" max="629" width="7.9296875" bestFit="1" customWidth="1"/>
    <col min="630" max="630" width="5" bestFit="1" customWidth="1"/>
    <col min="631" max="634" width="6.06640625" bestFit="1" customWidth="1"/>
    <col min="635" max="635" width="5" bestFit="1" customWidth="1"/>
    <col min="636" max="639" width="6.06640625" bestFit="1" customWidth="1"/>
    <col min="640" max="640" width="5" bestFit="1" customWidth="1"/>
    <col min="641" max="641" width="7.9296875" bestFit="1" customWidth="1"/>
    <col min="642" max="642" width="6.06640625" bestFit="1" customWidth="1"/>
    <col min="643" max="643" width="7.9296875" bestFit="1" customWidth="1"/>
    <col min="644" max="644" width="6.06640625" bestFit="1" customWidth="1"/>
    <col min="645" max="645" width="5" bestFit="1" customWidth="1"/>
    <col min="646" max="646" width="6.06640625" bestFit="1" customWidth="1"/>
    <col min="647" max="647" width="7.9296875" bestFit="1" customWidth="1"/>
    <col min="648" max="652" width="6.06640625" bestFit="1" customWidth="1"/>
    <col min="653" max="653" width="5" bestFit="1" customWidth="1"/>
    <col min="654" max="654" width="7.9296875" bestFit="1" customWidth="1"/>
    <col min="655" max="655" width="6.06640625" bestFit="1" customWidth="1"/>
    <col min="656" max="656" width="7.9296875" bestFit="1" customWidth="1"/>
    <col min="657" max="658" width="6.06640625" bestFit="1" customWidth="1"/>
    <col min="659" max="659" width="7.9296875" bestFit="1" customWidth="1"/>
    <col min="660" max="660" width="6.06640625" bestFit="1" customWidth="1"/>
    <col min="661" max="661" width="7.9296875" bestFit="1" customWidth="1"/>
    <col min="662" max="662" width="5" bestFit="1" customWidth="1"/>
    <col min="663" max="663" width="7.9296875" bestFit="1" customWidth="1"/>
    <col min="664" max="664" width="6.06640625" bestFit="1" customWidth="1"/>
    <col min="665" max="666" width="7.9296875" bestFit="1" customWidth="1"/>
    <col min="667" max="667" width="6.06640625" bestFit="1" customWidth="1"/>
    <col min="668" max="668" width="7" bestFit="1" customWidth="1"/>
    <col min="669" max="669" width="6.06640625" bestFit="1" customWidth="1"/>
    <col min="670" max="670" width="2.9296875" bestFit="1" customWidth="1"/>
    <col min="671" max="671" width="6.06640625" bestFit="1" customWidth="1"/>
    <col min="672" max="674" width="7.9296875" bestFit="1" customWidth="1"/>
    <col min="675" max="675" width="7" bestFit="1" customWidth="1"/>
    <col min="676" max="676" width="6.06640625" bestFit="1" customWidth="1"/>
    <col min="677" max="677" width="5" bestFit="1" customWidth="1"/>
    <col min="678" max="678" width="7.9296875" bestFit="1" customWidth="1"/>
    <col min="679" max="681" width="6.06640625" bestFit="1" customWidth="1"/>
    <col min="682" max="682" width="7" bestFit="1" customWidth="1"/>
    <col min="683" max="684" width="6.06640625" bestFit="1" customWidth="1"/>
    <col min="685" max="685" width="7.9296875" bestFit="1" customWidth="1"/>
    <col min="686" max="686" width="6.06640625" bestFit="1" customWidth="1"/>
    <col min="687" max="687" width="7.9296875" bestFit="1" customWidth="1"/>
    <col min="688" max="688" width="5" bestFit="1" customWidth="1"/>
    <col min="689" max="690" width="7.9296875" bestFit="1" customWidth="1"/>
    <col min="691" max="693" width="6.06640625" bestFit="1" customWidth="1"/>
    <col min="694" max="695" width="7.9296875" bestFit="1" customWidth="1"/>
    <col min="696" max="696" width="6.06640625" bestFit="1" customWidth="1"/>
    <col min="697" max="697" width="5" bestFit="1" customWidth="1"/>
    <col min="698" max="701" width="6.06640625" bestFit="1" customWidth="1"/>
    <col min="702" max="702" width="5" bestFit="1" customWidth="1"/>
    <col min="703" max="703" width="6.06640625" bestFit="1" customWidth="1"/>
    <col min="704" max="705" width="7.9296875" bestFit="1" customWidth="1"/>
    <col min="706" max="709" width="6.06640625" bestFit="1" customWidth="1"/>
    <col min="710" max="710" width="5" bestFit="1" customWidth="1"/>
    <col min="711" max="712" width="6.06640625" bestFit="1" customWidth="1"/>
    <col min="713" max="713" width="5" bestFit="1" customWidth="1"/>
    <col min="714" max="716" width="6.06640625" bestFit="1" customWidth="1"/>
    <col min="717" max="717" width="7.9296875" bestFit="1" customWidth="1"/>
    <col min="718" max="718" width="5" bestFit="1" customWidth="1"/>
    <col min="719" max="719" width="6.06640625" bestFit="1" customWidth="1"/>
    <col min="720" max="721" width="7.9296875" bestFit="1" customWidth="1"/>
    <col min="722" max="722" width="6.06640625" bestFit="1" customWidth="1"/>
    <col min="723" max="723" width="7" bestFit="1" customWidth="1"/>
    <col min="724" max="724" width="7.9296875" bestFit="1" customWidth="1"/>
    <col min="725" max="725" width="5" bestFit="1" customWidth="1"/>
    <col min="726" max="729" width="6.06640625" bestFit="1" customWidth="1"/>
    <col min="730" max="730" width="7.9296875" bestFit="1" customWidth="1"/>
    <col min="731" max="731" width="5" bestFit="1" customWidth="1"/>
    <col min="732" max="732" width="6.06640625" bestFit="1" customWidth="1"/>
    <col min="733" max="733" width="7.9296875" bestFit="1" customWidth="1"/>
    <col min="734" max="734" width="6.06640625" bestFit="1" customWidth="1"/>
    <col min="735" max="735" width="7.9296875" bestFit="1" customWidth="1"/>
    <col min="736" max="736" width="6.06640625" bestFit="1" customWidth="1"/>
    <col min="737" max="737" width="7.9296875" bestFit="1" customWidth="1"/>
    <col min="738" max="738" width="2.9296875" bestFit="1" customWidth="1"/>
    <col min="739" max="740" width="7.9296875" bestFit="1" customWidth="1"/>
    <col min="741" max="741" width="6.06640625" bestFit="1" customWidth="1"/>
    <col min="742" max="742" width="5" bestFit="1" customWidth="1"/>
    <col min="743" max="745" width="7.9296875" bestFit="1" customWidth="1"/>
    <col min="746" max="746" width="5" bestFit="1" customWidth="1"/>
    <col min="747" max="749" width="7.9296875" bestFit="1" customWidth="1"/>
    <col min="750" max="751" width="6.06640625" bestFit="1" customWidth="1"/>
    <col min="752" max="752" width="7" bestFit="1" customWidth="1"/>
    <col min="753" max="754" width="6.06640625" bestFit="1" customWidth="1"/>
    <col min="755" max="755" width="7.9296875" bestFit="1" customWidth="1"/>
    <col min="756" max="756" width="6.06640625" bestFit="1" customWidth="1"/>
    <col min="757" max="757" width="5" bestFit="1" customWidth="1"/>
    <col min="758" max="760" width="6.06640625" bestFit="1" customWidth="1"/>
    <col min="761" max="762" width="7.9296875" bestFit="1" customWidth="1"/>
    <col min="763" max="763" width="5" bestFit="1" customWidth="1"/>
    <col min="764" max="764" width="6.06640625" bestFit="1" customWidth="1"/>
    <col min="765" max="767" width="7.9296875" bestFit="1" customWidth="1"/>
    <col min="768" max="768" width="5" bestFit="1" customWidth="1"/>
    <col min="769" max="770" width="7.9296875" bestFit="1" customWidth="1"/>
    <col min="771" max="774" width="6.06640625" bestFit="1" customWidth="1"/>
    <col min="775" max="775" width="5" bestFit="1" customWidth="1"/>
    <col min="776" max="776" width="7" bestFit="1" customWidth="1"/>
    <col min="777" max="778" width="6.06640625" bestFit="1" customWidth="1"/>
    <col min="779" max="779" width="7.9296875" bestFit="1" customWidth="1"/>
    <col min="780" max="781" width="6.06640625" bestFit="1" customWidth="1"/>
    <col min="782" max="782" width="5" bestFit="1" customWidth="1"/>
    <col min="783" max="785" width="6.06640625" bestFit="1" customWidth="1"/>
    <col min="786" max="786" width="5" bestFit="1" customWidth="1"/>
    <col min="787" max="788" width="6.06640625" bestFit="1" customWidth="1"/>
    <col min="789" max="790" width="7.9296875" bestFit="1" customWidth="1"/>
    <col min="791" max="794" width="6.06640625" bestFit="1" customWidth="1"/>
    <col min="795" max="795" width="5" bestFit="1" customWidth="1"/>
    <col min="796" max="797" width="6.06640625" bestFit="1" customWidth="1"/>
    <col min="798" max="798" width="7.9296875" bestFit="1" customWidth="1"/>
    <col min="799" max="799" width="2.9296875" bestFit="1" customWidth="1"/>
    <col min="800" max="800" width="7.9296875" bestFit="1" customWidth="1"/>
    <col min="801" max="802" width="6.06640625" bestFit="1" customWidth="1"/>
    <col min="803" max="803" width="7" bestFit="1" customWidth="1"/>
    <col min="804" max="804" width="5" bestFit="1" customWidth="1"/>
    <col min="805" max="805" width="6.06640625" bestFit="1" customWidth="1"/>
    <col min="806" max="806" width="7.9296875" bestFit="1" customWidth="1"/>
    <col min="807" max="807" width="7" bestFit="1" customWidth="1"/>
    <col min="808" max="808" width="5" bestFit="1" customWidth="1"/>
    <col min="809" max="811" width="7.9296875" bestFit="1" customWidth="1"/>
    <col min="812" max="814" width="6.06640625" bestFit="1" customWidth="1"/>
    <col min="815" max="815" width="7.9296875" bestFit="1" customWidth="1"/>
    <col min="816" max="816" width="5" bestFit="1" customWidth="1"/>
    <col min="817" max="817" width="6.06640625" bestFit="1" customWidth="1"/>
    <col min="818" max="818" width="7.9296875" bestFit="1" customWidth="1"/>
    <col min="819" max="819" width="6.06640625" bestFit="1" customWidth="1"/>
    <col min="820" max="820" width="7.9296875" bestFit="1" customWidth="1"/>
    <col min="821" max="823" width="6.06640625" bestFit="1" customWidth="1"/>
    <col min="824" max="824" width="5" bestFit="1" customWidth="1"/>
    <col min="825" max="825" width="6.06640625" bestFit="1" customWidth="1"/>
    <col min="826" max="826" width="7" bestFit="1" customWidth="1"/>
    <col min="827" max="827" width="6.06640625" bestFit="1" customWidth="1"/>
    <col min="828" max="828" width="7.9296875" bestFit="1" customWidth="1"/>
    <col min="829" max="832" width="6.06640625" bestFit="1" customWidth="1"/>
    <col min="833" max="833" width="5" bestFit="1" customWidth="1"/>
    <col min="834" max="834" width="7.9296875" bestFit="1" customWidth="1"/>
    <col min="835" max="836" width="6.06640625" bestFit="1" customWidth="1"/>
    <col min="837" max="838" width="7.9296875" bestFit="1" customWidth="1"/>
    <col min="839" max="841" width="6.06640625" bestFit="1" customWidth="1"/>
    <col min="842" max="842" width="7.9296875" bestFit="1" customWidth="1"/>
    <col min="843" max="845" width="6.06640625" bestFit="1" customWidth="1"/>
    <col min="846" max="846" width="5" bestFit="1" customWidth="1"/>
    <col min="847" max="847" width="7.9296875" bestFit="1" customWidth="1"/>
    <col min="848" max="849" width="6.06640625" bestFit="1" customWidth="1"/>
    <col min="850" max="850" width="7" bestFit="1" customWidth="1"/>
    <col min="851" max="851" width="7.9296875" bestFit="1" customWidth="1"/>
    <col min="852" max="852" width="5" bestFit="1" customWidth="1"/>
    <col min="853" max="853" width="7.9296875" bestFit="1" customWidth="1"/>
    <col min="854" max="854" width="6.06640625" bestFit="1" customWidth="1"/>
    <col min="855" max="855" width="7.9296875" bestFit="1" customWidth="1"/>
    <col min="856" max="856" width="5" bestFit="1" customWidth="1"/>
    <col min="857" max="859" width="6.06640625" bestFit="1" customWidth="1"/>
    <col min="860" max="860" width="7.9296875" bestFit="1" customWidth="1"/>
    <col min="861" max="861" width="6.06640625" bestFit="1" customWidth="1"/>
    <col min="862" max="862" width="7.9296875" bestFit="1" customWidth="1"/>
    <col min="863" max="864" width="6.06640625" bestFit="1" customWidth="1"/>
    <col min="865" max="865" width="2.9296875" bestFit="1" customWidth="1"/>
    <col min="866" max="867" width="7.9296875" bestFit="1" customWidth="1"/>
    <col min="868" max="868" width="6.06640625" bestFit="1" customWidth="1"/>
    <col min="869" max="869" width="5" bestFit="1" customWidth="1"/>
    <col min="870" max="872" width="6.06640625" bestFit="1" customWidth="1"/>
    <col min="873" max="873" width="7.9296875" bestFit="1" customWidth="1"/>
    <col min="874" max="874" width="6.06640625" bestFit="1" customWidth="1"/>
    <col min="875" max="875" width="5" bestFit="1" customWidth="1"/>
    <col min="876" max="878" width="6.06640625" bestFit="1" customWidth="1"/>
    <col min="879" max="879" width="7.9296875" bestFit="1" customWidth="1"/>
    <col min="880" max="880" width="5" bestFit="1" customWidth="1"/>
    <col min="881" max="881" width="7.9296875" bestFit="1" customWidth="1"/>
    <col min="882" max="883" width="6.06640625" bestFit="1" customWidth="1"/>
    <col min="884" max="884" width="5" bestFit="1" customWidth="1"/>
    <col min="885" max="887" width="6.06640625" bestFit="1" customWidth="1"/>
    <col min="888" max="888" width="7.9296875" bestFit="1" customWidth="1"/>
    <col min="889" max="890" width="6.06640625" bestFit="1" customWidth="1"/>
    <col min="891" max="891" width="7.9296875" bestFit="1" customWidth="1"/>
    <col min="892" max="892" width="6.06640625" bestFit="1" customWidth="1"/>
    <col min="893" max="893" width="5" bestFit="1" customWidth="1"/>
    <col min="894" max="894" width="7.9296875" bestFit="1" customWidth="1"/>
    <col min="895" max="895" width="6.06640625" bestFit="1" customWidth="1"/>
    <col min="896" max="896" width="7.9296875" bestFit="1" customWidth="1"/>
    <col min="897" max="897" width="6.06640625" bestFit="1" customWidth="1"/>
    <col min="898" max="899" width="7.9296875" bestFit="1" customWidth="1"/>
    <col min="900" max="900" width="6.06640625" bestFit="1" customWidth="1"/>
    <col min="901" max="901" width="5" bestFit="1" customWidth="1"/>
    <col min="902" max="902" width="7.9296875" bestFit="1" customWidth="1"/>
    <col min="903" max="905" width="6.06640625" bestFit="1" customWidth="1"/>
    <col min="906" max="908" width="7.9296875" bestFit="1" customWidth="1"/>
    <col min="909" max="909" width="5" bestFit="1" customWidth="1"/>
    <col min="910" max="910" width="7.9296875" bestFit="1" customWidth="1"/>
    <col min="911" max="912" width="6.06640625" bestFit="1" customWidth="1"/>
    <col min="913" max="914" width="7.9296875" bestFit="1" customWidth="1"/>
    <col min="915" max="915" width="5" bestFit="1" customWidth="1"/>
    <col min="916" max="916" width="7.9296875" bestFit="1" customWidth="1"/>
    <col min="917" max="917" width="6.06640625" bestFit="1" customWidth="1"/>
    <col min="918" max="918" width="7.9296875" bestFit="1" customWidth="1"/>
    <col min="919" max="921" width="6.06640625" bestFit="1" customWidth="1"/>
    <col min="922" max="922" width="7.9296875" bestFit="1" customWidth="1"/>
    <col min="923" max="923" width="5" bestFit="1" customWidth="1"/>
    <col min="924" max="924" width="7.9296875" bestFit="1" customWidth="1"/>
    <col min="925" max="925" width="6.06640625" bestFit="1" customWidth="1"/>
    <col min="926" max="928" width="7.9296875" bestFit="1" customWidth="1"/>
    <col min="929" max="929" width="6.06640625" bestFit="1" customWidth="1"/>
    <col min="930" max="930" width="7.9296875" bestFit="1" customWidth="1"/>
    <col min="931" max="931" width="2.9296875" bestFit="1" customWidth="1"/>
    <col min="932" max="932" width="6.06640625" bestFit="1" customWidth="1"/>
    <col min="933" max="933" width="7.9296875" bestFit="1" customWidth="1"/>
    <col min="934" max="934" width="6.06640625" bestFit="1" customWidth="1"/>
    <col min="935" max="935" width="5" bestFit="1" customWidth="1"/>
    <col min="936" max="936" width="6.06640625" bestFit="1" customWidth="1"/>
    <col min="937" max="938" width="7.9296875" bestFit="1" customWidth="1"/>
    <col min="939" max="940" width="6.06640625" bestFit="1" customWidth="1"/>
    <col min="941" max="941" width="7" bestFit="1" customWidth="1"/>
    <col min="942" max="942" width="5" bestFit="1" customWidth="1"/>
    <col min="943" max="946" width="6.06640625" bestFit="1" customWidth="1"/>
    <col min="947" max="947" width="5" bestFit="1" customWidth="1"/>
    <col min="948" max="948" width="7.9296875" bestFit="1" customWidth="1"/>
    <col min="949" max="952" width="6.06640625" bestFit="1" customWidth="1"/>
    <col min="953" max="953" width="7.9296875" bestFit="1" customWidth="1"/>
    <col min="954" max="954" width="5" bestFit="1" customWidth="1"/>
    <col min="955" max="955" width="6.06640625" bestFit="1" customWidth="1"/>
    <col min="956" max="956" width="7.9296875" bestFit="1" customWidth="1"/>
    <col min="957" max="957" width="5" bestFit="1" customWidth="1"/>
    <col min="958" max="961" width="6.06640625" bestFit="1" customWidth="1"/>
    <col min="962" max="962" width="7.9296875" bestFit="1" customWidth="1"/>
    <col min="963" max="963" width="5" bestFit="1" customWidth="1"/>
    <col min="964" max="964" width="7.9296875" bestFit="1" customWidth="1"/>
    <col min="965" max="965" width="6.06640625" bestFit="1" customWidth="1"/>
    <col min="966" max="966" width="7.9296875" bestFit="1" customWidth="1"/>
    <col min="967" max="967" width="6.06640625" bestFit="1" customWidth="1"/>
    <col min="968" max="968" width="7.9296875" bestFit="1" customWidth="1"/>
    <col min="969" max="969" width="6.06640625" bestFit="1" customWidth="1"/>
    <col min="970" max="970" width="5" bestFit="1" customWidth="1"/>
    <col min="971" max="973" width="6.06640625" bestFit="1" customWidth="1"/>
    <col min="974" max="975" width="7.9296875" bestFit="1" customWidth="1"/>
    <col min="976" max="976" width="6.06640625" bestFit="1" customWidth="1"/>
    <col min="977" max="977" width="5" bestFit="1" customWidth="1"/>
    <col min="978" max="978" width="6.06640625" bestFit="1" customWidth="1"/>
    <col min="979" max="979" width="7.9296875" bestFit="1" customWidth="1"/>
    <col min="980" max="980" width="6.06640625" bestFit="1" customWidth="1"/>
    <col min="981" max="981" width="5" bestFit="1" customWidth="1"/>
    <col min="982" max="982" width="7.9296875" bestFit="1" customWidth="1"/>
    <col min="983" max="985" width="6.06640625" bestFit="1" customWidth="1"/>
    <col min="986" max="986" width="7.9296875" bestFit="1" customWidth="1"/>
    <col min="987" max="987" width="2.9296875" bestFit="1" customWidth="1"/>
    <col min="988" max="988" width="6.06640625" bestFit="1" customWidth="1"/>
    <col min="989" max="989" width="7.9296875" bestFit="1" customWidth="1"/>
    <col min="990" max="990" width="6.06640625" bestFit="1" customWidth="1"/>
    <col min="991" max="991" width="5" bestFit="1" customWidth="1"/>
    <col min="992" max="992" width="7.9296875" bestFit="1" customWidth="1"/>
    <col min="993" max="994" width="6.06640625" bestFit="1" customWidth="1"/>
    <col min="995" max="995" width="7.9296875" bestFit="1" customWidth="1"/>
    <col min="996" max="996" width="6.06640625" bestFit="1" customWidth="1"/>
    <col min="997" max="997" width="5" bestFit="1" customWidth="1"/>
    <col min="998" max="999" width="7.9296875" bestFit="1" customWidth="1"/>
    <col min="1000" max="1000" width="6.06640625" bestFit="1" customWidth="1"/>
    <col min="1001" max="1001" width="7.9296875" bestFit="1" customWidth="1"/>
    <col min="1002" max="1004" width="6.06640625" bestFit="1" customWidth="1"/>
    <col min="1005" max="1005" width="7.9296875" bestFit="1" customWidth="1"/>
    <col min="1006" max="1006" width="5" bestFit="1" customWidth="1"/>
    <col min="1007" max="1007" width="7.9296875" bestFit="1" customWidth="1"/>
    <col min="1008" max="1008" width="6.06640625" bestFit="1" customWidth="1"/>
    <col min="1009" max="1010" width="7.9296875" bestFit="1" customWidth="1"/>
    <col min="1011" max="1011" width="7" bestFit="1" customWidth="1"/>
    <col min="1012" max="1013" width="6.06640625" bestFit="1" customWidth="1"/>
    <col min="1014" max="1014" width="7" bestFit="1" customWidth="1"/>
    <col min="1015" max="1015" width="5" bestFit="1" customWidth="1"/>
    <col min="1016" max="1017" width="7.9296875" bestFit="1" customWidth="1"/>
    <col min="1018" max="1019" width="6.06640625" bestFit="1" customWidth="1"/>
    <col min="1020" max="1020" width="7.9296875" bestFit="1" customWidth="1"/>
    <col min="1021" max="1021" width="6.06640625" bestFit="1" customWidth="1"/>
    <col min="1022" max="1023" width="7.9296875" bestFit="1" customWidth="1"/>
    <col min="1024" max="1024" width="5" bestFit="1" customWidth="1"/>
    <col min="1025" max="1025" width="7.9296875" bestFit="1" customWidth="1"/>
    <col min="1026" max="1026" width="6.06640625" bestFit="1" customWidth="1"/>
    <col min="1027" max="1029" width="7.9296875" bestFit="1" customWidth="1"/>
    <col min="1030" max="1030" width="6.06640625" bestFit="1" customWidth="1"/>
    <col min="1031" max="1032" width="7.9296875" bestFit="1" customWidth="1"/>
    <col min="1033" max="1033" width="5" bestFit="1" customWidth="1"/>
    <col min="1034" max="1035" width="6.06640625" bestFit="1" customWidth="1"/>
    <col min="1036" max="1036" width="7" bestFit="1" customWidth="1"/>
    <col min="1037" max="1037" width="6.06640625" bestFit="1" customWidth="1"/>
    <col min="1038" max="1038" width="7" bestFit="1" customWidth="1"/>
    <col min="1039" max="1039" width="6.06640625" bestFit="1" customWidth="1"/>
    <col min="1040" max="1040" width="7.9296875" bestFit="1" customWidth="1"/>
    <col min="1041" max="1042" width="6.06640625" bestFit="1" customWidth="1"/>
    <col min="1043" max="1043" width="5" bestFit="1" customWidth="1"/>
    <col min="1044" max="1045" width="7.9296875" bestFit="1" customWidth="1"/>
    <col min="1046" max="1047" width="6.06640625" bestFit="1" customWidth="1"/>
    <col min="1048" max="1048" width="5" bestFit="1" customWidth="1"/>
    <col min="1049" max="1049" width="7" bestFit="1" customWidth="1"/>
    <col min="1050" max="1050" width="7.9296875" bestFit="1" customWidth="1"/>
    <col min="1051" max="1052" width="6.06640625" bestFit="1" customWidth="1"/>
    <col min="1053" max="1053" width="7.9296875" bestFit="1" customWidth="1"/>
    <col min="1054" max="1054" width="6.06640625" bestFit="1" customWidth="1"/>
    <col min="1055" max="1055" width="5" bestFit="1" customWidth="1"/>
    <col min="1056" max="1056" width="6.06640625" bestFit="1" customWidth="1"/>
    <col min="1057" max="1057" width="7.9296875" bestFit="1" customWidth="1"/>
    <col min="1058" max="1060" width="6.06640625" bestFit="1" customWidth="1"/>
    <col min="1061" max="1061" width="7.9296875" bestFit="1" customWidth="1"/>
    <col min="1062" max="1062" width="2.9296875" bestFit="1" customWidth="1"/>
    <col min="1063" max="1063" width="7" bestFit="1" customWidth="1"/>
    <col min="1064" max="1064" width="7.9296875" bestFit="1" customWidth="1"/>
    <col min="1065" max="1066" width="6.06640625" bestFit="1" customWidth="1"/>
    <col min="1067" max="1067" width="7.9296875" bestFit="1" customWidth="1"/>
    <col min="1068" max="1068" width="5" bestFit="1" customWidth="1"/>
    <col min="1069" max="1069" width="7.9296875" bestFit="1" customWidth="1"/>
    <col min="1070" max="1071" width="6.06640625" bestFit="1" customWidth="1"/>
    <col min="1072" max="1072" width="5" bestFit="1" customWidth="1"/>
    <col min="1073" max="1075" width="6.06640625" bestFit="1" customWidth="1"/>
    <col min="1076" max="1076" width="7.9296875" bestFit="1" customWidth="1"/>
    <col min="1077" max="1077" width="6.06640625" bestFit="1" customWidth="1"/>
    <col min="1078" max="1078" width="5" bestFit="1" customWidth="1"/>
    <col min="1079" max="1080" width="6.06640625" bestFit="1" customWidth="1"/>
    <col min="1081" max="1081" width="7.9296875" bestFit="1" customWidth="1"/>
    <col min="1082" max="1082" width="6.06640625" bestFit="1" customWidth="1"/>
    <col min="1083" max="1083" width="7.9296875" bestFit="1" customWidth="1"/>
    <col min="1084" max="1084" width="5" bestFit="1" customWidth="1"/>
    <col min="1085" max="1085" width="6.06640625" bestFit="1" customWidth="1"/>
    <col min="1086" max="1086" width="7.9296875" bestFit="1" customWidth="1"/>
    <col min="1087" max="1087" width="6.06640625" bestFit="1" customWidth="1"/>
    <col min="1088" max="1088" width="7.9296875" bestFit="1" customWidth="1"/>
    <col min="1089" max="1089" width="6.06640625" bestFit="1" customWidth="1"/>
    <col min="1090" max="1090" width="7.9296875" bestFit="1" customWidth="1"/>
    <col min="1091" max="1091" width="6.06640625" bestFit="1" customWidth="1"/>
    <col min="1092" max="1092" width="5" bestFit="1" customWidth="1"/>
    <col min="1093" max="1093" width="7.9296875" bestFit="1" customWidth="1"/>
    <col min="1094" max="1096" width="6.06640625" bestFit="1" customWidth="1"/>
    <col min="1097" max="1097" width="7.9296875" bestFit="1" customWidth="1"/>
    <col min="1098" max="1098" width="6.06640625" bestFit="1" customWidth="1"/>
    <col min="1099" max="1099" width="5" bestFit="1" customWidth="1"/>
    <col min="1100" max="1100" width="6.06640625" bestFit="1" customWidth="1"/>
    <col min="1101" max="1102" width="7.9296875" bestFit="1" customWidth="1"/>
    <col min="1103" max="1103" width="6.06640625" bestFit="1" customWidth="1"/>
    <col min="1104" max="1104" width="7" bestFit="1" customWidth="1"/>
    <col min="1105" max="1105" width="6.06640625" bestFit="1" customWidth="1"/>
    <col min="1106" max="1106" width="7.9296875" bestFit="1" customWidth="1"/>
    <col min="1107" max="1110" width="6.06640625" bestFit="1" customWidth="1"/>
    <col min="1111" max="1111" width="7.9296875" bestFit="1" customWidth="1"/>
    <col min="1112" max="1112" width="5" bestFit="1" customWidth="1"/>
    <col min="1113" max="1113" width="7.9296875" bestFit="1" customWidth="1"/>
    <col min="1114" max="1114" width="6.06640625" bestFit="1" customWidth="1"/>
    <col min="1115" max="1115" width="2.9296875" bestFit="1" customWidth="1"/>
    <col min="1116" max="1116" width="7.9296875" bestFit="1" customWidth="1"/>
    <col min="1117" max="1117" width="6.06640625" bestFit="1" customWidth="1"/>
    <col min="1118" max="1119" width="7.9296875" bestFit="1" customWidth="1"/>
    <col min="1120" max="1121" width="6.06640625" bestFit="1" customWidth="1"/>
    <col min="1122" max="1122" width="7.9296875" bestFit="1" customWidth="1"/>
    <col min="1123" max="1123" width="5" bestFit="1" customWidth="1"/>
    <col min="1124" max="1124" width="7.9296875" bestFit="1" customWidth="1"/>
    <col min="1125" max="1125" width="6.06640625" bestFit="1" customWidth="1"/>
    <col min="1126" max="1126" width="5" bestFit="1" customWidth="1"/>
    <col min="1127" max="1127" width="6.06640625" bestFit="1" customWidth="1"/>
    <col min="1128" max="1128" width="7.9296875" bestFit="1" customWidth="1"/>
    <col min="1129" max="1129" width="5" bestFit="1" customWidth="1"/>
    <col min="1130" max="1130" width="7" bestFit="1" customWidth="1"/>
    <col min="1131" max="1131" width="7.9296875" bestFit="1" customWidth="1"/>
    <col min="1132" max="1132" width="6.06640625" bestFit="1" customWidth="1"/>
    <col min="1133" max="1133" width="7.9296875" bestFit="1" customWidth="1"/>
    <col min="1134" max="1134" width="6.06640625" bestFit="1" customWidth="1"/>
    <col min="1135" max="1135" width="5" bestFit="1" customWidth="1"/>
    <col min="1136" max="1136" width="7.9296875" bestFit="1" customWidth="1"/>
    <col min="1137" max="1138" width="6.06640625" bestFit="1" customWidth="1"/>
    <col min="1139" max="1141" width="7.9296875" bestFit="1" customWidth="1"/>
    <col min="1142" max="1142" width="5" bestFit="1" customWidth="1"/>
    <col min="1143" max="1145" width="6.06640625" bestFit="1" customWidth="1"/>
    <col min="1146" max="1146" width="7" bestFit="1" customWidth="1"/>
    <col min="1147" max="1147" width="7.9296875" bestFit="1" customWidth="1"/>
    <col min="1148" max="1148" width="6.06640625" bestFit="1" customWidth="1"/>
    <col min="1149" max="1149" width="7.9296875" bestFit="1" customWidth="1"/>
    <col min="1150" max="1150" width="6.06640625" bestFit="1" customWidth="1"/>
    <col min="1151" max="1151" width="7.9296875" bestFit="1" customWidth="1"/>
    <col min="1152" max="1152" width="5" bestFit="1" customWidth="1"/>
    <col min="1153" max="1153" width="6.06640625" bestFit="1" customWidth="1"/>
    <col min="1154" max="1154" width="5" bestFit="1" customWidth="1"/>
    <col min="1155" max="1155" width="6.06640625" bestFit="1" customWidth="1"/>
    <col min="1156" max="1156" width="7.9296875" bestFit="1" customWidth="1"/>
    <col min="1157" max="1157" width="6.06640625" bestFit="1" customWidth="1"/>
    <col min="1158" max="1159" width="7.9296875" bestFit="1" customWidth="1"/>
    <col min="1160" max="1160" width="5" bestFit="1" customWidth="1"/>
    <col min="1161" max="1162" width="6.06640625" bestFit="1" customWidth="1"/>
    <col min="1163" max="1163" width="7.9296875" bestFit="1" customWidth="1"/>
    <col min="1164" max="1164" width="2.9296875" bestFit="1" customWidth="1"/>
    <col min="1165" max="1165" width="6.06640625" bestFit="1" customWidth="1"/>
    <col min="1166" max="1166" width="7.9296875" bestFit="1" customWidth="1"/>
    <col min="1167" max="1167" width="5" bestFit="1" customWidth="1"/>
    <col min="1168" max="1168" width="6.06640625" bestFit="1" customWidth="1"/>
    <col min="1169" max="1169" width="7.9296875" bestFit="1" customWidth="1"/>
    <col min="1170" max="1170" width="6.06640625" bestFit="1" customWidth="1"/>
    <col min="1171" max="1171" width="5" bestFit="1" customWidth="1"/>
    <col min="1172" max="1172" width="6.06640625" bestFit="1" customWidth="1"/>
    <col min="1173" max="1174" width="7.9296875" bestFit="1" customWidth="1"/>
    <col min="1175" max="1175" width="5" bestFit="1" customWidth="1"/>
    <col min="1176" max="1177" width="7" bestFit="1" customWidth="1"/>
    <col min="1178" max="1178" width="7.9296875" bestFit="1" customWidth="1"/>
    <col min="1179" max="1179" width="6.06640625" bestFit="1" customWidth="1"/>
    <col min="1180" max="1180" width="5" bestFit="1" customWidth="1"/>
    <col min="1181" max="1182" width="6.06640625" bestFit="1" customWidth="1"/>
    <col min="1183" max="1183" width="5" bestFit="1" customWidth="1"/>
    <col min="1184" max="1184" width="6.06640625" bestFit="1" customWidth="1"/>
    <col min="1185" max="1185" width="7" bestFit="1" customWidth="1"/>
    <col min="1186" max="1186" width="7.9296875" bestFit="1" customWidth="1"/>
    <col min="1187" max="1187" width="6.06640625" bestFit="1" customWidth="1"/>
    <col min="1188" max="1188" width="7" bestFit="1" customWidth="1"/>
    <col min="1189" max="1189" width="6.06640625" bestFit="1" customWidth="1"/>
    <col min="1190" max="1190" width="5" bestFit="1" customWidth="1"/>
    <col min="1191" max="1191" width="7" bestFit="1" customWidth="1"/>
    <col min="1192" max="1192" width="7.9296875" bestFit="1" customWidth="1"/>
    <col min="1193" max="1195" width="6.06640625" bestFit="1" customWidth="1"/>
    <col min="1196" max="1196" width="5" bestFit="1" customWidth="1"/>
    <col min="1197" max="1197" width="7.9296875" bestFit="1" customWidth="1"/>
    <col min="1198" max="1198" width="6.06640625" bestFit="1" customWidth="1"/>
    <col min="1199" max="1199" width="7.9296875" bestFit="1" customWidth="1"/>
    <col min="1200" max="1201" width="6.06640625" bestFit="1" customWidth="1"/>
    <col min="1202" max="1202" width="5" bestFit="1" customWidth="1"/>
    <col min="1203" max="1203" width="6.06640625" bestFit="1" customWidth="1"/>
    <col min="1204" max="1204" width="5" bestFit="1" customWidth="1"/>
    <col min="1205" max="1205" width="6.06640625" bestFit="1" customWidth="1"/>
    <col min="1206" max="1207" width="7.9296875" bestFit="1" customWidth="1"/>
    <col min="1208" max="1208" width="6.06640625" bestFit="1" customWidth="1"/>
    <col min="1209" max="1209" width="2.9296875" bestFit="1" customWidth="1"/>
    <col min="1210" max="1211" width="6.06640625" bestFit="1" customWidth="1"/>
    <col min="1212" max="1212" width="5" bestFit="1" customWidth="1"/>
    <col min="1213" max="1213" width="6.06640625" bestFit="1" customWidth="1"/>
    <col min="1214" max="1214" width="7.9296875" bestFit="1" customWidth="1"/>
    <col min="1215" max="1215" width="6.06640625" bestFit="1" customWidth="1"/>
    <col min="1216" max="1216" width="7.9296875" bestFit="1" customWidth="1"/>
    <col min="1217" max="1217" width="5" bestFit="1" customWidth="1"/>
    <col min="1218" max="1218" width="6.06640625" bestFit="1" customWidth="1"/>
    <col min="1219" max="1219" width="7.9296875" bestFit="1" customWidth="1"/>
    <col min="1220" max="1220" width="7" bestFit="1" customWidth="1"/>
    <col min="1221" max="1221" width="5" bestFit="1" customWidth="1"/>
    <col min="1222" max="1223" width="6.06640625" bestFit="1" customWidth="1"/>
    <col min="1224" max="1224" width="7.9296875" bestFit="1" customWidth="1"/>
    <col min="1225" max="1225" width="6.06640625" bestFit="1" customWidth="1"/>
    <col min="1226" max="1226" width="5" bestFit="1" customWidth="1"/>
    <col min="1227" max="1230" width="6.06640625" bestFit="1" customWidth="1"/>
    <col min="1231" max="1231" width="5" bestFit="1" customWidth="1"/>
    <col min="1232" max="1232" width="7.9296875" bestFit="1" customWidth="1"/>
    <col min="1233" max="1235" width="6.06640625" bestFit="1" customWidth="1"/>
    <col min="1236" max="1236" width="5" bestFit="1" customWidth="1"/>
    <col min="1237" max="1239" width="7.9296875" bestFit="1" customWidth="1"/>
    <col min="1240" max="1240" width="6.06640625" bestFit="1" customWidth="1"/>
    <col min="1241" max="1241" width="7.9296875" bestFit="1" customWidth="1"/>
    <col min="1242" max="1242" width="6.06640625" bestFit="1" customWidth="1"/>
    <col min="1243" max="1243" width="7" bestFit="1" customWidth="1"/>
    <col min="1244" max="1244" width="5" bestFit="1" customWidth="1"/>
    <col min="1245" max="1247" width="6.06640625" bestFit="1" customWidth="1"/>
    <col min="1248" max="1248" width="5" bestFit="1" customWidth="1"/>
    <col min="1249" max="1249" width="7.9296875" bestFit="1" customWidth="1"/>
    <col min="1250" max="1250" width="5" bestFit="1" customWidth="1"/>
    <col min="1251" max="1251" width="7.9296875" bestFit="1" customWidth="1"/>
    <col min="1252" max="1254" width="6.06640625" bestFit="1" customWidth="1"/>
    <col min="1255" max="1255" width="7.9296875" bestFit="1" customWidth="1"/>
    <col min="1256" max="1256" width="6.06640625" bestFit="1" customWidth="1"/>
    <col min="1257" max="1257" width="7.9296875" bestFit="1" customWidth="1"/>
    <col min="1258" max="1258" width="2.9296875" bestFit="1" customWidth="1"/>
    <col min="1259" max="1261" width="6.06640625" bestFit="1" customWidth="1"/>
    <col min="1262" max="1262" width="7.9296875" bestFit="1" customWidth="1"/>
    <col min="1263" max="1263" width="5" bestFit="1" customWidth="1"/>
    <col min="1264" max="1264" width="7.9296875" bestFit="1" customWidth="1"/>
    <col min="1265" max="1265" width="6.06640625" bestFit="1" customWidth="1"/>
    <col min="1266" max="1266" width="7.9296875" bestFit="1" customWidth="1"/>
    <col min="1267" max="1267" width="6.06640625" bestFit="1" customWidth="1"/>
    <col min="1268" max="1269" width="7.9296875" bestFit="1" customWidth="1"/>
    <col min="1270" max="1270" width="5" bestFit="1" customWidth="1"/>
    <col min="1271" max="1272" width="7.9296875" bestFit="1" customWidth="1"/>
    <col min="1273" max="1273" width="6.06640625" bestFit="1" customWidth="1"/>
    <col min="1274" max="1274" width="7" bestFit="1" customWidth="1"/>
    <col min="1275" max="1276" width="7.9296875" bestFit="1" customWidth="1"/>
    <col min="1277" max="1277" width="6.06640625" bestFit="1" customWidth="1"/>
    <col min="1278" max="1278" width="5" bestFit="1" customWidth="1"/>
    <col min="1279" max="1279" width="7.9296875" bestFit="1" customWidth="1"/>
    <col min="1280" max="1280" width="5" bestFit="1" customWidth="1"/>
    <col min="1281" max="1281" width="6.06640625" bestFit="1" customWidth="1"/>
    <col min="1282" max="1282" width="7.9296875" bestFit="1" customWidth="1"/>
    <col min="1283" max="1285" width="6.06640625" bestFit="1" customWidth="1"/>
    <col min="1286" max="1286" width="7.9296875" bestFit="1" customWidth="1"/>
    <col min="1287" max="1287" width="5" bestFit="1" customWidth="1"/>
    <col min="1288" max="1288" width="7.9296875" bestFit="1" customWidth="1"/>
    <col min="1289" max="1289" width="6.06640625" bestFit="1" customWidth="1"/>
    <col min="1290" max="1290" width="7.9296875" bestFit="1" customWidth="1"/>
    <col min="1291" max="1291" width="5" bestFit="1" customWidth="1"/>
    <col min="1292" max="1293" width="7.9296875" bestFit="1" customWidth="1"/>
    <col min="1294" max="1294" width="5" bestFit="1" customWidth="1"/>
    <col min="1295" max="1296" width="6.06640625" bestFit="1" customWidth="1"/>
    <col min="1297" max="1297" width="5" bestFit="1" customWidth="1"/>
    <col min="1298" max="1300" width="7.9296875" bestFit="1" customWidth="1"/>
    <col min="1301" max="1301" width="6.06640625" bestFit="1" customWidth="1"/>
    <col min="1302" max="1302" width="5" bestFit="1" customWidth="1"/>
    <col min="1303" max="1303" width="6.06640625" bestFit="1" customWidth="1"/>
    <col min="1304" max="1304" width="7.9296875" bestFit="1" customWidth="1"/>
    <col min="1305" max="1305" width="6.06640625" bestFit="1" customWidth="1"/>
    <col min="1306" max="1306" width="2.9296875" bestFit="1" customWidth="1"/>
    <col min="1307" max="1309" width="6.06640625" bestFit="1" customWidth="1"/>
    <col min="1310" max="1310" width="7" bestFit="1" customWidth="1"/>
    <col min="1311" max="1312" width="6.06640625" bestFit="1" customWidth="1"/>
    <col min="1313" max="1313" width="7.9296875" bestFit="1" customWidth="1"/>
    <col min="1314" max="1314" width="5" bestFit="1" customWidth="1"/>
    <col min="1315" max="1315" width="6.06640625" bestFit="1" customWidth="1"/>
    <col min="1316" max="1316" width="5" bestFit="1" customWidth="1"/>
    <col min="1317" max="1318" width="6.06640625" bestFit="1" customWidth="1"/>
    <col min="1319" max="1320" width="7.9296875" bestFit="1" customWidth="1"/>
    <col min="1321" max="1321" width="5" bestFit="1" customWidth="1"/>
    <col min="1322" max="1322" width="6.06640625" bestFit="1" customWidth="1"/>
    <col min="1323" max="1323" width="7.9296875" bestFit="1" customWidth="1"/>
    <col min="1324" max="1324" width="5" bestFit="1" customWidth="1"/>
    <col min="1325" max="1325" width="7.9296875" bestFit="1" customWidth="1"/>
    <col min="1326" max="1327" width="6.06640625" bestFit="1" customWidth="1"/>
    <col min="1328" max="1328" width="5" bestFit="1" customWidth="1"/>
    <col min="1329" max="1330" width="6.06640625" bestFit="1" customWidth="1"/>
    <col min="1331" max="1331" width="7.9296875" bestFit="1" customWidth="1"/>
    <col min="1332" max="1332" width="6.06640625" bestFit="1" customWidth="1"/>
    <col min="1333" max="1333" width="5" bestFit="1" customWidth="1"/>
    <col min="1334" max="1334" width="7.9296875" bestFit="1" customWidth="1"/>
    <col min="1335" max="1337" width="6.06640625" bestFit="1" customWidth="1"/>
    <col min="1338" max="1338" width="5" bestFit="1" customWidth="1"/>
    <col min="1339" max="1339" width="6.06640625" bestFit="1" customWidth="1"/>
    <col min="1340" max="1340" width="7.9296875" bestFit="1" customWidth="1"/>
    <col min="1341" max="1344" width="6.06640625" bestFit="1" customWidth="1"/>
    <col min="1345" max="1345" width="7.9296875" bestFit="1" customWidth="1"/>
    <col min="1346" max="1346" width="5" bestFit="1" customWidth="1"/>
    <col min="1347" max="1347" width="6.06640625" bestFit="1" customWidth="1"/>
    <col min="1348" max="1348" width="7.9296875" bestFit="1" customWidth="1"/>
    <col min="1349" max="1350" width="6.06640625" bestFit="1" customWidth="1"/>
    <col min="1351" max="1351" width="7.9296875" bestFit="1" customWidth="1"/>
    <col min="1352" max="1352" width="5" bestFit="1" customWidth="1"/>
    <col min="1353" max="1353" width="7.9296875" bestFit="1" customWidth="1"/>
    <col min="1354" max="1356" width="6.06640625" bestFit="1" customWidth="1"/>
    <col min="1357" max="1357" width="2.9296875" bestFit="1" customWidth="1"/>
    <col min="1358" max="1359" width="6.06640625" bestFit="1" customWidth="1"/>
    <col min="1360" max="1360" width="7.9296875" bestFit="1" customWidth="1"/>
    <col min="1361" max="1361" width="6.06640625" bestFit="1" customWidth="1"/>
    <col min="1362" max="1362" width="7.9296875" bestFit="1" customWidth="1"/>
    <col min="1363" max="1363" width="5" bestFit="1" customWidth="1"/>
    <col min="1364" max="1364" width="7.9296875" bestFit="1" customWidth="1"/>
    <col min="1365" max="1368" width="6.06640625" bestFit="1" customWidth="1"/>
    <col min="1369" max="1369" width="7.9296875" bestFit="1" customWidth="1"/>
    <col min="1370" max="1370" width="5" bestFit="1" customWidth="1"/>
    <col min="1371" max="1371" width="7" bestFit="1" customWidth="1"/>
    <col min="1372" max="1373" width="7.9296875" bestFit="1" customWidth="1"/>
    <col min="1374" max="1374" width="5" bestFit="1" customWidth="1"/>
    <col min="1375" max="1375" width="7.9296875" bestFit="1" customWidth="1"/>
    <col min="1376" max="1376" width="6.06640625" bestFit="1" customWidth="1"/>
    <col min="1377" max="1378" width="7.9296875" bestFit="1" customWidth="1"/>
    <col min="1379" max="1379" width="7" bestFit="1" customWidth="1"/>
    <col min="1380" max="1380" width="7.9296875" bestFit="1" customWidth="1"/>
    <col min="1381" max="1381" width="6.06640625" bestFit="1" customWidth="1"/>
    <col min="1382" max="1382" width="5" bestFit="1" customWidth="1"/>
    <col min="1383" max="1384" width="6.06640625" bestFit="1" customWidth="1"/>
    <col min="1385" max="1386" width="7.9296875" bestFit="1" customWidth="1"/>
    <col min="1387" max="1387" width="5" bestFit="1" customWidth="1"/>
    <col min="1388" max="1388" width="7.9296875" bestFit="1" customWidth="1"/>
    <col min="1389" max="1390" width="6.06640625" bestFit="1" customWidth="1"/>
    <col min="1391" max="1391" width="7.9296875" bestFit="1" customWidth="1"/>
    <col min="1392" max="1392" width="5" bestFit="1" customWidth="1"/>
    <col min="1393" max="1394" width="7.9296875" bestFit="1" customWidth="1"/>
    <col min="1395" max="1396" width="6.06640625" bestFit="1" customWidth="1"/>
    <col min="1397" max="1397" width="7.9296875" bestFit="1" customWidth="1"/>
    <col min="1398" max="1398" width="6.06640625" bestFit="1" customWidth="1"/>
    <col min="1399" max="1399" width="5" bestFit="1" customWidth="1"/>
    <col min="1400" max="1401" width="6.06640625" bestFit="1" customWidth="1"/>
    <col min="1402" max="1405" width="7.9296875" bestFit="1" customWidth="1"/>
    <col min="1406" max="1406" width="5" bestFit="1" customWidth="1"/>
    <col min="1407" max="1408" width="6.06640625" bestFit="1" customWidth="1"/>
    <col min="1409" max="1411" width="7.9296875" bestFit="1" customWidth="1"/>
    <col min="1412" max="1412" width="2.9296875" bestFit="1" customWidth="1"/>
    <col min="1413" max="1413" width="7" bestFit="1" customWidth="1"/>
    <col min="1414" max="1415" width="7.9296875" bestFit="1" customWidth="1"/>
    <col min="1416" max="1416" width="5" bestFit="1" customWidth="1"/>
    <col min="1417" max="1418" width="6.06640625" bestFit="1" customWidth="1"/>
    <col min="1419" max="1419" width="5" bestFit="1" customWidth="1"/>
    <col min="1420" max="1420" width="7.9296875" bestFit="1" customWidth="1"/>
    <col min="1421" max="1422" width="6.06640625" bestFit="1" customWidth="1"/>
    <col min="1423" max="1423" width="5" bestFit="1" customWidth="1"/>
    <col min="1424" max="1426" width="6.06640625" bestFit="1" customWidth="1"/>
    <col min="1427" max="1427" width="7.9296875" bestFit="1" customWidth="1"/>
    <col min="1428" max="1428" width="5" bestFit="1" customWidth="1"/>
    <col min="1429" max="1429" width="7.9296875" bestFit="1" customWidth="1"/>
    <col min="1430" max="1433" width="6.06640625" bestFit="1" customWidth="1"/>
    <col min="1434" max="1434" width="5" bestFit="1" customWidth="1"/>
    <col min="1435" max="1436" width="6.06640625" bestFit="1" customWidth="1"/>
    <col min="1437" max="1438" width="7.9296875" bestFit="1" customWidth="1"/>
    <col min="1439" max="1439" width="6.06640625" bestFit="1" customWidth="1"/>
    <col min="1440" max="1440" width="7.9296875" bestFit="1" customWidth="1"/>
    <col min="1441" max="1441" width="7" bestFit="1" customWidth="1"/>
    <col min="1442" max="1442" width="7.9296875" bestFit="1" customWidth="1"/>
    <col min="1443" max="1444" width="6.06640625" bestFit="1" customWidth="1"/>
    <col min="1445" max="1445" width="5" bestFit="1" customWidth="1"/>
    <col min="1446" max="1449" width="6.06640625" bestFit="1" customWidth="1"/>
    <col min="1450" max="1450" width="5" bestFit="1" customWidth="1"/>
    <col min="1451" max="1452" width="6.06640625" bestFit="1" customWidth="1"/>
    <col min="1453" max="1456" width="7.9296875" bestFit="1" customWidth="1"/>
    <col min="1457" max="1457" width="2.9296875" bestFit="1" customWidth="1"/>
    <col min="1458" max="1459" width="7.9296875" bestFit="1" customWidth="1"/>
    <col min="1460" max="1460" width="5" bestFit="1" customWidth="1"/>
    <col min="1461" max="1461" width="7.9296875" bestFit="1" customWidth="1"/>
    <col min="1462" max="1462" width="7" bestFit="1" customWidth="1"/>
    <col min="1463" max="1463" width="6.06640625" bestFit="1" customWidth="1"/>
    <col min="1464" max="1465" width="7.9296875" bestFit="1" customWidth="1"/>
    <col min="1466" max="1468" width="6.06640625" bestFit="1" customWidth="1"/>
    <col min="1469" max="1470" width="7.9296875" bestFit="1" customWidth="1"/>
    <col min="1471" max="1471" width="6.06640625" bestFit="1" customWidth="1"/>
    <col min="1472" max="1472" width="7.9296875" bestFit="1" customWidth="1"/>
    <col min="1473" max="1473" width="5" bestFit="1" customWidth="1"/>
    <col min="1474" max="1475" width="7.9296875" bestFit="1" customWidth="1"/>
    <col min="1476" max="1476" width="7" bestFit="1" customWidth="1"/>
    <col min="1477" max="1477" width="5" bestFit="1" customWidth="1"/>
    <col min="1478" max="1481" width="7.9296875" bestFit="1" customWidth="1"/>
    <col min="1482" max="1482" width="7" bestFit="1" customWidth="1"/>
    <col min="1483" max="1483" width="7.9296875" bestFit="1" customWidth="1"/>
    <col min="1484" max="1484" width="5" bestFit="1" customWidth="1"/>
    <col min="1485" max="1485" width="7.9296875" bestFit="1" customWidth="1"/>
    <col min="1486" max="1486" width="6.06640625" bestFit="1" customWidth="1"/>
    <col min="1487" max="1487" width="7.9296875" bestFit="1" customWidth="1"/>
    <col min="1488" max="1488" width="6.06640625" bestFit="1" customWidth="1"/>
    <col min="1489" max="1491" width="7.9296875" bestFit="1" customWidth="1"/>
    <col min="1492" max="1492" width="7" bestFit="1" customWidth="1"/>
    <col min="1493" max="1494" width="6.06640625" bestFit="1" customWidth="1"/>
    <col min="1495" max="1495" width="7" bestFit="1" customWidth="1"/>
    <col min="1496" max="1496" width="7.9296875" bestFit="1" customWidth="1"/>
    <col min="1497" max="1497" width="5" bestFit="1" customWidth="1"/>
    <col min="1498" max="1498" width="6.06640625" bestFit="1" customWidth="1"/>
    <col min="1499" max="1499" width="7.9296875" bestFit="1" customWidth="1"/>
    <col min="1500" max="1500" width="5" bestFit="1" customWidth="1"/>
    <col min="1501" max="1502" width="7.9296875" bestFit="1" customWidth="1"/>
    <col min="1503" max="1503" width="6.06640625" bestFit="1" customWidth="1"/>
    <col min="1504" max="1504" width="2.9296875" bestFit="1" customWidth="1"/>
    <col min="1505" max="1505" width="7" bestFit="1" customWidth="1"/>
    <col min="1506" max="1506" width="6.06640625" bestFit="1" customWidth="1"/>
    <col min="1507" max="1507" width="7.9296875" bestFit="1" customWidth="1"/>
    <col min="1508" max="1509" width="6.06640625" bestFit="1" customWidth="1"/>
    <col min="1510" max="1510" width="7.9296875" bestFit="1" customWidth="1"/>
    <col min="1511" max="1511" width="6.06640625" bestFit="1" customWidth="1"/>
    <col min="1512" max="1512" width="5" bestFit="1" customWidth="1"/>
    <col min="1513" max="1513" width="7.9296875" bestFit="1" customWidth="1"/>
    <col min="1514" max="1515" width="6.06640625" bestFit="1" customWidth="1"/>
    <col min="1516" max="1516" width="7.9296875" bestFit="1" customWidth="1"/>
    <col min="1517" max="1517" width="5" bestFit="1" customWidth="1"/>
    <col min="1518" max="1519" width="6.06640625" bestFit="1" customWidth="1"/>
    <col min="1520" max="1520" width="7.9296875" bestFit="1" customWidth="1"/>
    <col min="1521" max="1521" width="5" bestFit="1" customWidth="1"/>
    <col min="1522" max="1523" width="6.06640625" bestFit="1" customWidth="1"/>
    <col min="1524" max="1524" width="7.9296875" bestFit="1" customWidth="1"/>
    <col min="1525" max="1525" width="6.06640625" bestFit="1" customWidth="1"/>
    <col min="1526" max="1526" width="7.9296875" bestFit="1" customWidth="1"/>
    <col min="1527" max="1527" width="5" bestFit="1" customWidth="1"/>
    <col min="1528" max="1529" width="6.06640625" bestFit="1" customWidth="1"/>
    <col min="1530" max="1530" width="7.9296875" bestFit="1" customWidth="1"/>
    <col min="1531" max="1531" width="6.06640625" bestFit="1" customWidth="1"/>
    <col min="1532" max="1532" width="5" bestFit="1" customWidth="1"/>
    <col min="1533" max="1533" width="7.9296875" bestFit="1" customWidth="1"/>
    <col min="1534" max="1535" width="6.06640625" bestFit="1" customWidth="1"/>
    <col min="1536" max="1536" width="7" bestFit="1" customWidth="1"/>
    <col min="1537" max="1538" width="7.9296875" bestFit="1" customWidth="1"/>
    <col min="1539" max="1540" width="6.06640625" bestFit="1" customWidth="1"/>
    <col min="1541" max="1541" width="7.9296875" bestFit="1" customWidth="1"/>
    <col min="1542" max="1542" width="5" bestFit="1" customWidth="1"/>
    <col min="1543" max="1544" width="6.06640625" bestFit="1" customWidth="1"/>
    <col min="1545" max="1545" width="7.9296875" bestFit="1" customWidth="1"/>
    <col min="1546" max="1546" width="7" bestFit="1" customWidth="1"/>
    <col min="1547" max="1548" width="7.9296875" bestFit="1" customWidth="1"/>
    <col min="1549" max="1549" width="5" bestFit="1" customWidth="1"/>
    <col min="1550" max="1551" width="6.06640625" bestFit="1" customWidth="1"/>
    <col min="1552" max="1553" width="7.9296875" bestFit="1" customWidth="1"/>
    <col min="1554" max="1555" width="6.06640625" bestFit="1" customWidth="1"/>
    <col min="1556" max="1556" width="7.9296875" bestFit="1" customWidth="1"/>
    <col min="1557" max="1557" width="2.9296875" bestFit="1" customWidth="1"/>
    <col min="1558" max="1559" width="6.06640625" bestFit="1" customWidth="1"/>
    <col min="1560" max="1560" width="7.9296875" bestFit="1" customWidth="1"/>
    <col min="1561" max="1561" width="5" bestFit="1" customWidth="1"/>
    <col min="1562" max="1563" width="6.06640625" bestFit="1" customWidth="1"/>
    <col min="1564" max="1564" width="7" bestFit="1" customWidth="1"/>
    <col min="1565" max="1565" width="5" bestFit="1" customWidth="1"/>
    <col min="1566" max="1568" width="7.9296875" bestFit="1" customWidth="1"/>
    <col min="1569" max="1569" width="6.06640625" bestFit="1" customWidth="1"/>
    <col min="1570" max="1573" width="7.9296875" bestFit="1" customWidth="1"/>
    <col min="1574" max="1574" width="6.06640625" bestFit="1" customWidth="1"/>
    <col min="1575" max="1575" width="7" bestFit="1" customWidth="1"/>
    <col min="1576" max="1576" width="5" bestFit="1" customWidth="1"/>
    <col min="1577" max="1577" width="6.06640625" bestFit="1" customWidth="1"/>
    <col min="1578" max="1579" width="7.9296875" bestFit="1" customWidth="1"/>
    <col min="1580" max="1580" width="5" bestFit="1" customWidth="1"/>
    <col min="1581" max="1581" width="7.9296875" bestFit="1" customWidth="1"/>
    <col min="1582" max="1582" width="7" bestFit="1" customWidth="1"/>
    <col min="1583" max="1583" width="6.06640625" bestFit="1" customWidth="1"/>
    <col min="1584" max="1584" width="7.9296875" bestFit="1" customWidth="1"/>
    <col min="1585" max="1585" width="6.06640625" bestFit="1" customWidth="1"/>
    <col min="1586" max="1586" width="5" bestFit="1" customWidth="1"/>
    <col min="1587" max="1587" width="6.06640625" bestFit="1" customWidth="1"/>
    <col min="1588" max="1588" width="7.9296875" bestFit="1" customWidth="1"/>
    <col min="1589" max="1590" width="6.06640625" bestFit="1" customWidth="1"/>
    <col min="1591" max="1591" width="7.9296875" bestFit="1" customWidth="1"/>
    <col min="1592" max="1592" width="5" bestFit="1" customWidth="1"/>
    <col min="1593" max="1594" width="7.9296875" bestFit="1" customWidth="1"/>
    <col min="1595" max="1595" width="6.06640625" bestFit="1" customWidth="1"/>
    <col min="1596" max="1596" width="7.9296875" bestFit="1" customWidth="1"/>
    <col min="1597" max="1598" width="6.06640625" bestFit="1" customWidth="1"/>
    <col min="1599" max="1599" width="7.9296875" bestFit="1" customWidth="1"/>
    <col min="1600" max="1600" width="5" bestFit="1" customWidth="1"/>
    <col min="1601" max="1602" width="6.06640625" bestFit="1" customWidth="1"/>
    <col min="1603" max="1603" width="5" bestFit="1" customWidth="1"/>
    <col min="1604" max="1605" width="6.06640625" bestFit="1" customWidth="1"/>
    <col min="1606" max="1606" width="7.9296875" bestFit="1" customWidth="1"/>
    <col min="1607" max="1607" width="6.06640625" bestFit="1" customWidth="1"/>
    <col min="1608" max="1608" width="2.9296875" bestFit="1" customWidth="1"/>
    <col min="1609" max="1610" width="6.06640625" bestFit="1" customWidth="1"/>
    <col min="1611" max="1611" width="5" bestFit="1" customWidth="1"/>
    <col min="1612" max="1613" width="7.9296875" bestFit="1" customWidth="1"/>
    <col min="1614" max="1614" width="6.06640625" bestFit="1" customWidth="1"/>
    <col min="1615" max="1616" width="7.9296875" bestFit="1" customWidth="1"/>
    <col min="1617" max="1617" width="6.06640625" bestFit="1" customWidth="1"/>
    <col min="1618" max="1619" width="7.9296875" bestFit="1" customWidth="1"/>
    <col min="1620" max="1620" width="5" bestFit="1" customWidth="1"/>
    <col min="1621" max="1622" width="6.06640625" bestFit="1" customWidth="1"/>
    <col min="1623" max="1623" width="7" bestFit="1" customWidth="1"/>
    <col min="1624" max="1624" width="6.06640625" bestFit="1" customWidth="1"/>
    <col min="1625" max="1625" width="7.9296875" bestFit="1" customWidth="1"/>
    <col min="1626" max="1626" width="5" bestFit="1" customWidth="1"/>
    <col min="1627" max="1628" width="7.9296875" bestFit="1" customWidth="1"/>
    <col min="1629" max="1629" width="6.06640625" bestFit="1" customWidth="1"/>
    <col min="1630" max="1630" width="5" bestFit="1" customWidth="1"/>
    <col min="1631" max="1631" width="6.06640625" bestFit="1" customWidth="1"/>
    <col min="1632" max="1632" width="5" bestFit="1" customWidth="1"/>
    <col min="1633" max="1634" width="6.06640625" bestFit="1" customWidth="1"/>
    <col min="1635" max="1635" width="7.9296875" bestFit="1" customWidth="1"/>
    <col min="1636" max="1636" width="6.06640625" bestFit="1" customWidth="1"/>
    <col min="1637" max="1637" width="5" bestFit="1" customWidth="1"/>
    <col min="1638" max="1638" width="7.9296875" bestFit="1" customWidth="1"/>
    <col min="1639" max="1640" width="6.06640625" bestFit="1" customWidth="1"/>
    <col min="1641" max="1641" width="7.9296875" bestFit="1" customWidth="1"/>
    <col min="1642" max="1642" width="6.06640625" bestFit="1" customWidth="1"/>
    <col min="1643" max="1643" width="7" bestFit="1" customWidth="1"/>
    <col min="1644" max="1644" width="7.9296875" bestFit="1" customWidth="1"/>
    <col min="1645" max="1645" width="6.06640625" bestFit="1" customWidth="1"/>
    <col min="1646" max="1646" width="5" bestFit="1" customWidth="1"/>
    <col min="1647" max="1647" width="7.9296875" bestFit="1" customWidth="1"/>
    <col min="1648" max="1648" width="6.06640625" bestFit="1" customWidth="1"/>
    <col min="1649" max="1649" width="7.9296875" bestFit="1" customWidth="1"/>
    <col min="1650" max="1650" width="7" bestFit="1" customWidth="1"/>
    <col min="1651" max="1651" width="2.9296875" bestFit="1" customWidth="1"/>
    <col min="1652" max="1653" width="6.06640625" bestFit="1" customWidth="1"/>
    <col min="1654" max="1654" width="7.9296875" bestFit="1" customWidth="1"/>
    <col min="1655" max="1655" width="5" bestFit="1" customWidth="1"/>
    <col min="1656" max="1656" width="6.06640625" bestFit="1" customWidth="1"/>
    <col min="1657" max="1657" width="7.9296875" bestFit="1" customWidth="1"/>
    <col min="1658" max="1658" width="6.06640625" bestFit="1" customWidth="1"/>
    <col min="1659" max="1659" width="7.9296875" bestFit="1" customWidth="1"/>
    <col min="1660" max="1660" width="5" bestFit="1" customWidth="1"/>
    <col min="1661" max="1664" width="7.9296875" bestFit="1" customWidth="1"/>
    <col min="1665" max="1666" width="6.06640625" bestFit="1" customWidth="1"/>
    <col min="1667" max="1667" width="7.9296875" bestFit="1" customWidth="1"/>
    <col min="1668" max="1668" width="6.06640625" bestFit="1" customWidth="1"/>
    <col min="1669" max="1669" width="5" bestFit="1" customWidth="1"/>
    <col min="1670" max="1672" width="7.9296875" bestFit="1" customWidth="1"/>
    <col min="1673" max="1674" width="5" bestFit="1" customWidth="1"/>
    <col min="1675" max="1677" width="7.9296875" bestFit="1" customWidth="1"/>
    <col min="1678" max="1679" width="6.06640625" bestFit="1" customWidth="1"/>
    <col min="1680" max="1680" width="7.9296875" bestFit="1" customWidth="1"/>
    <col min="1681" max="1681" width="5" bestFit="1" customWidth="1"/>
    <col min="1682" max="1684" width="7.9296875" bestFit="1" customWidth="1"/>
    <col min="1685" max="1685" width="5" bestFit="1" customWidth="1"/>
    <col min="1686" max="1688" width="6.06640625" bestFit="1" customWidth="1"/>
    <col min="1689" max="1689" width="5" bestFit="1" customWidth="1"/>
    <col min="1690" max="1690" width="7" bestFit="1" customWidth="1"/>
    <col min="1691" max="1691" width="2.9296875" bestFit="1" customWidth="1"/>
    <col min="1692" max="1693" width="6.06640625" bestFit="1" customWidth="1"/>
    <col min="1694" max="1694" width="7.9296875" bestFit="1" customWidth="1"/>
    <col min="1695" max="1696" width="6.06640625" bestFit="1" customWidth="1"/>
    <col min="1697" max="1697" width="7.9296875" bestFit="1" customWidth="1"/>
    <col min="1698" max="1698" width="7" bestFit="1" customWidth="1"/>
    <col min="1699" max="1700" width="7.9296875" bestFit="1" customWidth="1"/>
    <col min="1701" max="1701" width="6.06640625" bestFit="1" customWidth="1"/>
    <col min="1702" max="1702" width="7.9296875" bestFit="1" customWidth="1"/>
    <col min="1703" max="1703" width="5" bestFit="1" customWidth="1"/>
    <col min="1704" max="1706" width="6.06640625" bestFit="1" customWidth="1"/>
    <col min="1707" max="1707" width="5" bestFit="1" customWidth="1"/>
    <col min="1708" max="1708" width="6.06640625" bestFit="1" customWidth="1"/>
    <col min="1709" max="1709" width="5" bestFit="1" customWidth="1"/>
    <col min="1710" max="1710" width="7.9296875" bestFit="1" customWidth="1"/>
    <col min="1711" max="1712" width="6.06640625" bestFit="1" customWidth="1"/>
    <col min="1713" max="1713" width="7.9296875" bestFit="1" customWidth="1"/>
    <col min="1714" max="1714" width="5" bestFit="1" customWidth="1"/>
    <col min="1715" max="1717" width="6.06640625" bestFit="1" customWidth="1"/>
    <col min="1718" max="1718" width="5" bestFit="1" customWidth="1"/>
    <col min="1719" max="1721" width="6.06640625" bestFit="1" customWidth="1"/>
    <col min="1722" max="1722" width="7" bestFit="1" customWidth="1"/>
    <col min="1723" max="1724" width="6.06640625" bestFit="1" customWidth="1"/>
    <col min="1725" max="1725" width="7.9296875" bestFit="1" customWidth="1"/>
    <col min="1726" max="1726" width="6.06640625" bestFit="1" customWidth="1"/>
    <col min="1727" max="1727" width="5" bestFit="1" customWidth="1"/>
    <col min="1728" max="1728" width="7.9296875" bestFit="1" customWidth="1"/>
    <col min="1729" max="1730" width="6.06640625" bestFit="1" customWidth="1"/>
    <col min="1731" max="1731" width="7.9296875" bestFit="1" customWidth="1"/>
    <col min="1732" max="1732" width="5" bestFit="1" customWidth="1"/>
    <col min="1733" max="1733" width="6.06640625" bestFit="1" customWidth="1"/>
    <col min="1734" max="1734" width="7.9296875" bestFit="1" customWidth="1"/>
    <col min="1735" max="1737" width="6.06640625" bestFit="1" customWidth="1"/>
    <col min="1738" max="1739" width="7.9296875" bestFit="1" customWidth="1"/>
    <col min="1740" max="1740" width="2.9296875" bestFit="1" customWidth="1"/>
    <col min="1741" max="1741" width="6.06640625" bestFit="1" customWidth="1"/>
    <col min="1742" max="1742" width="7.9296875" bestFit="1" customWidth="1"/>
    <col min="1743" max="1743" width="5" bestFit="1" customWidth="1"/>
    <col min="1744" max="1745" width="7.9296875" bestFit="1" customWidth="1"/>
    <col min="1746" max="1750" width="6.06640625" bestFit="1" customWidth="1"/>
    <col min="1751" max="1751" width="7.9296875" bestFit="1" customWidth="1"/>
    <col min="1752" max="1752" width="6.06640625" bestFit="1" customWidth="1"/>
    <col min="1753" max="1753" width="7.9296875" bestFit="1" customWidth="1"/>
    <col min="1754" max="1754" width="6.06640625" bestFit="1" customWidth="1"/>
    <col min="1755" max="1755" width="7.9296875" bestFit="1" customWidth="1"/>
    <col min="1756" max="1756" width="7" bestFit="1" customWidth="1"/>
    <col min="1757" max="1758" width="7.9296875" bestFit="1" customWidth="1"/>
    <col min="1759" max="1759" width="5" bestFit="1" customWidth="1"/>
    <col min="1760" max="1763" width="6.06640625" bestFit="1" customWidth="1"/>
    <col min="1764" max="1764" width="5" bestFit="1" customWidth="1"/>
    <col min="1765" max="1765" width="7.9296875" bestFit="1" customWidth="1"/>
    <col min="1766" max="1766" width="6.06640625" bestFit="1" customWidth="1"/>
    <col min="1767" max="1767" width="5" bestFit="1" customWidth="1"/>
    <col min="1768" max="1768" width="6.06640625" bestFit="1" customWidth="1"/>
    <col min="1769" max="1769" width="5" bestFit="1" customWidth="1"/>
    <col min="1770" max="1771" width="7.9296875" bestFit="1" customWidth="1"/>
    <col min="1772" max="1772" width="6.06640625" bestFit="1" customWidth="1"/>
    <col min="1773" max="1773" width="7.9296875" bestFit="1" customWidth="1"/>
    <col min="1774" max="1774" width="6.06640625" bestFit="1" customWidth="1"/>
    <col min="1775" max="1775" width="7" bestFit="1" customWidth="1"/>
    <col min="1776" max="1777" width="6.06640625" bestFit="1" customWidth="1"/>
    <col min="1778" max="1778" width="7.9296875" bestFit="1" customWidth="1"/>
    <col min="1779" max="1779" width="6.06640625" bestFit="1" customWidth="1"/>
    <col min="1780" max="1781" width="7.9296875" bestFit="1" customWidth="1"/>
    <col min="1782" max="1782" width="5" bestFit="1" customWidth="1"/>
    <col min="1783" max="1784" width="6.06640625" bestFit="1" customWidth="1"/>
    <col min="1785" max="1786" width="7.9296875" bestFit="1" customWidth="1"/>
    <col min="1787" max="1787" width="2.9296875" bestFit="1" customWidth="1"/>
    <col min="1788" max="1791" width="7.9296875" bestFit="1" customWidth="1"/>
    <col min="1792" max="1792" width="5" bestFit="1" customWidth="1"/>
    <col min="1793" max="1794" width="6.06640625" bestFit="1" customWidth="1"/>
    <col min="1795" max="1795" width="7.9296875" bestFit="1" customWidth="1"/>
    <col min="1796" max="1796" width="6.06640625" bestFit="1" customWidth="1"/>
    <col min="1797" max="1797" width="5" bestFit="1" customWidth="1"/>
    <col min="1798" max="1798" width="7" bestFit="1" customWidth="1"/>
    <col min="1799" max="1799" width="7.9296875" bestFit="1" customWidth="1"/>
    <col min="1800" max="1800" width="7" bestFit="1" customWidth="1"/>
    <col min="1801" max="1801" width="6.06640625" bestFit="1" customWidth="1"/>
    <col min="1802" max="1802" width="7.9296875" bestFit="1" customWidth="1"/>
    <col min="1803" max="1803" width="5" bestFit="1" customWidth="1"/>
    <col min="1804" max="1804" width="7.9296875" bestFit="1" customWidth="1"/>
    <col min="1805" max="1807" width="6.06640625" bestFit="1" customWidth="1"/>
    <col min="1808" max="1808" width="5" bestFit="1" customWidth="1"/>
    <col min="1809" max="1810" width="7.9296875" bestFit="1" customWidth="1"/>
    <col min="1811" max="1811" width="6.06640625" bestFit="1" customWidth="1"/>
    <col min="1812" max="1812" width="7.9296875" bestFit="1" customWidth="1"/>
    <col min="1813" max="1815" width="6.06640625" bestFit="1" customWidth="1"/>
    <col min="1816" max="1816" width="5" bestFit="1" customWidth="1"/>
    <col min="1817" max="1817" width="7.9296875" bestFit="1" customWidth="1"/>
    <col min="1818" max="1818" width="5" bestFit="1" customWidth="1"/>
    <col min="1819" max="1819" width="6.06640625" bestFit="1" customWidth="1"/>
    <col min="1820" max="1820" width="7.9296875" bestFit="1" customWidth="1"/>
    <col min="1821" max="1821" width="6.06640625" bestFit="1" customWidth="1"/>
    <col min="1822" max="1822" width="7.9296875" bestFit="1" customWidth="1"/>
    <col min="1823" max="1823" width="6.06640625" bestFit="1" customWidth="1"/>
    <col min="1824" max="1824" width="5" bestFit="1" customWidth="1"/>
    <col min="1825" max="1827" width="6.06640625" bestFit="1" customWidth="1"/>
    <col min="1828" max="1828" width="5" bestFit="1" customWidth="1"/>
    <col min="1829" max="1830" width="6.06640625" bestFit="1" customWidth="1"/>
    <col min="1831" max="1831" width="2.9296875" bestFit="1" customWidth="1"/>
    <col min="1832" max="1832" width="7" bestFit="1" customWidth="1"/>
    <col min="1833" max="1834" width="6.06640625" bestFit="1" customWidth="1"/>
    <col min="1835" max="1835" width="5" bestFit="1" customWidth="1"/>
    <col min="1836" max="1837" width="6.06640625" bestFit="1" customWidth="1"/>
    <col min="1838" max="1838" width="7.9296875" bestFit="1" customWidth="1"/>
    <col min="1839" max="1839" width="5" bestFit="1" customWidth="1"/>
    <col min="1840" max="1840" width="7" bestFit="1" customWidth="1"/>
    <col min="1841" max="1841" width="7.9296875" bestFit="1" customWidth="1"/>
    <col min="1842" max="1842" width="6.06640625" bestFit="1" customWidth="1"/>
    <col min="1843" max="1843" width="7.9296875" bestFit="1" customWidth="1"/>
    <col min="1844" max="1845" width="5" bestFit="1" customWidth="1"/>
    <col min="1846" max="1846" width="6.06640625" bestFit="1" customWidth="1"/>
    <col min="1847" max="1847" width="7.9296875" bestFit="1" customWidth="1"/>
    <col min="1848" max="1848" width="6.06640625" bestFit="1" customWidth="1"/>
    <col min="1849" max="1849" width="5" bestFit="1" customWidth="1"/>
    <col min="1850" max="1850" width="7" bestFit="1" customWidth="1"/>
    <col min="1851" max="1851" width="7.9296875" bestFit="1" customWidth="1"/>
    <col min="1852" max="1853" width="6.06640625" bestFit="1" customWidth="1"/>
    <col min="1854" max="1854" width="7.9296875" bestFit="1" customWidth="1"/>
    <col min="1855" max="1855" width="6.06640625" bestFit="1" customWidth="1"/>
    <col min="1856" max="1856" width="7.9296875" bestFit="1" customWidth="1"/>
    <col min="1857" max="1858" width="6.06640625" bestFit="1" customWidth="1"/>
    <col min="1859" max="1859" width="5" bestFit="1" customWidth="1"/>
    <col min="1860" max="1862" width="6.06640625" bestFit="1" customWidth="1"/>
    <col min="1863" max="1863" width="7.9296875" bestFit="1" customWidth="1"/>
    <col min="1864" max="1864" width="6.06640625" bestFit="1" customWidth="1"/>
    <col min="1865" max="1865" width="5" bestFit="1" customWidth="1"/>
    <col min="1866" max="1867" width="6.06640625" bestFit="1" customWidth="1"/>
    <col min="1868" max="1868" width="5" bestFit="1" customWidth="1"/>
    <col min="1869" max="1871" width="6.06640625" bestFit="1" customWidth="1"/>
    <col min="1872" max="1872" width="7.9296875" bestFit="1" customWidth="1"/>
    <col min="1873" max="1873" width="2.9296875" bestFit="1" customWidth="1"/>
    <col min="1874" max="1875" width="6.06640625" bestFit="1" customWidth="1"/>
    <col min="1876" max="1877" width="7.9296875" bestFit="1" customWidth="1"/>
    <col min="1878" max="1879" width="6.06640625" bestFit="1" customWidth="1"/>
    <col min="1880" max="1880" width="5" bestFit="1" customWidth="1"/>
    <col min="1881" max="1881" width="7.9296875" bestFit="1" customWidth="1"/>
    <col min="1882" max="1884" width="6.06640625" bestFit="1" customWidth="1"/>
    <col min="1885" max="1885" width="5" bestFit="1" customWidth="1"/>
    <col min="1886" max="1887" width="6.06640625" bestFit="1" customWidth="1"/>
    <col min="1888" max="1888" width="5" bestFit="1" customWidth="1"/>
    <col min="1889" max="1890" width="6.06640625" bestFit="1" customWidth="1"/>
    <col min="1891" max="1891" width="7.9296875" bestFit="1" customWidth="1"/>
    <col min="1892" max="1892" width="5" bestFit="1" customWidth="1"/>
    <col min="1893" max="1894" width="6.06640625" bestFit="1" customWidth="1"/>
    <col min="1895" max="1896" width="7.9296875" bestFit="1" customWidth="1"/>
    <col min="1897" max="1897" width="5" bestFit="1" customWidth="1"/>
    <col min="1898" max="1898" width="7.9296875" bestFit="1" customWidth="1"/>
    <col min="1899" max="1899" width="6.06640625" bestFit="1" customWidth="1"/>
    <col min="1900" max="1900" width="5" bestFit="1" customWidth="1"/>
    <col min="1901" max="1903" width="6.06640625" bestFit="1" customWidth="1"/>
    <col min="1904" max="1904" width="7.9296875" bestFit="1" customWidth="1"/>
    <col min="1905" max="1905" width="6.06640625" bestFit="1" customWidth="1"/>
    <col min="1906" max="1906" width="2.9296875" bestFit="1" customWidth="1"/>
    <col min="1907" max="1909" width="7.9296875" bestFit="1" customWidth="1"/>
    <col min="1910" max="1910" width="5" bestFit="1" customWidth="1"/>
    <col min="1911" max="1912" width="6.06640625" bestFit="1" customWidth="1"/>
    <col min="1913" max="1913" width="5" bestFit="1" customWidth="1"/>
    <col min="1914" max="1914" width="6.06640625" bestFit="1" customWidth="1"/>
    <col min="1915" max="1915" width="7.9296875" bestFit="1" customWidth="1"/>
    <col min="1916" max="1916" width="5" bestFit="1" customWidth="1"/>
    <col min="1917" max="1917" width="6.06640625" bestFit="1" customWidth="1"/>
    <col min="1918" max="1918" width="5" bestFit="1" customWidth="1"/>
    <col min="1919" max="1919" width="6.06640625" bestFit="1" customWidth="1"/>
    <col min="1920" max="1920" width="7.9296875" bestFit="1" customWidth="1"/>
    <col min="1921" max="1921" width="6.06640625" bestFit="1" customWidth="1"/>
    <col min="1922" max="1922" width="7.9296875" bestFit="1" customWidth="1"/>
    <col min="1923" max="1923" width="5" bestFit="1" customWidth="1"/>
    <col min="1924" max="1925" width="7.9296875" bestFit="1" customWidth="1"/>
    <col min="1926" max="1926" width="7" bestFit="1" customWidth="1"/>
    <col min="1927" max="1928" width="7.9296875" bestFit="1" customWidth="1"/>
    <col min="1929" max="1929" width="5" bestFit="1" customWidth="1"/>
    <col min="1930" max="1930" width="6.06640625" bestFit="1" customWidth="1"/>
    <col min="1931" max="1931" width="7.9296875" bestFit="1" customWidth="1"/>
    <col min="1932" max="1933" width="6.06640625" bestFit="1" customWidth="1"/>
    <col min="1934" max="1934" width="5" bestFit="1" customWidth="1"/>
    <col min="1935" max="1935" width="7.9296875" bestFit="1" customWidth="1"/>
    <col min="1936" max="1936" width="6.06640625" bestFit="1" customWidth="1"/>
    <col min="1937" max="1937" width="7.9296875" bestFit="1" customWidth="1"/>
    <col min="1938" max="1938" width="5" bestFit="1" customWidth="1"/>
    <col min="1939" max="1939" width="7" bestFit="1" customWidth="1"/>
    <col min="1940" max="1940" width="6.06640625" bestFit="1" customWidth="1"/>
    <col min="1941" max="1941" width="2.9296875" bestFit="1" customWidth="1"/>
    <col min="1942" max="1942" width="7.9296875" bestFit="1" customWidth="1"/>
    <col min="1943" max="1944" width="6.06640625" bestFit="1" customWidth="1"/>
    <col min="1945" max="1945" width="7.9296875" bestFit="1" customWidth="1"/>
    <col min="1946" max="1946" width="6.06640625" bestFit="1" customWidth="1"/>
    <col min="1947" max="1948" width="7.9296875" bestFit="1" customWidth="1"/>
    <col min="1949" max="1949" width="6.06640625" bestFit="1" customWidth="1"/>
    <col min="1950" max="1950" width="7.9296875" bestFit="1" customWidth="1"/>
    <col min="1951" max="1951" width="5" bestFit="1" customWidth="1"/>
    <col min="1952" max="1952" width="6.06640625" bestFit="1" customWidth="1"/>
    <col min="1953" max="1954" width="7.9296875" bestFit="1" customWidth="1"/>
    <col min="1955" max="1956" width="6.06640625" bestFit="1" customWidth="1"/>
    <col min="1957" max="1957" width="7.9296875" bestFit="1" customWidth="1"/>
    <col min="1958" max="1959" width="6.06640625" bestFit="1" customWidth="1"/>
    <col min="1960" max="1960" width="5" bestFit="1" customWidth="1"/>
    <col min="1961" max="1961" width="7.9296875" bestFit="1" customWidth="1"/>
    <col min="1962" max="1962" width="6.06640625" bestFit="1" customWidth="1"/>
    <col min="1963" max="1963" width="5" bestFit="1" customWidth="1"/>
    <col min="1964" max="1965" width="7.9296875" bestFit="1" customWidth="1"/>
    <col min="1966" max="1966" width="5" bestFit="1" customWidth="1"/>
    <col min="1967" max="1968" width="7.9296875" bestFit="1" customWidth="1"/>
    <col min="1969" max="1969" width="5" bestFit="1" customWidth="1"/>
    <col min="1970" max="1970" width="6.06640625" bestFit="1" customWidth="1"/>
    <col min="1971" max="1971" width="5" bestFit="1" customWidth="1"/>
    <col min="1972" max="1972" width="6.06640625" bestFit="1" customWidth="1"/>
    <col min="1973" max="1973" width="7.9296875" bestFit="1" customWidth="1"/>
    <col min="1974" max="1974" width="2.9296875" bestFit="1" customWidth="1"/>
    <col min="1975" max="1976" width="7.9296875" bestFit="1" customWidth="1"/>
    <col min="1977" max="1977" width="6.06640625" bestFit="1" customWidth="1"/>
    <col min="1978" max="1978" width="7.9296875" bestFit="1" customWidth="1"/>
    <col min="1979" max="1979" width="5" bestFit="1" customWidth="1"/>
    <col min="1980" max="1982" width="6.06640625" bestFit="1" customWidth="1"/>
    <col min="1983" max="1983" width="7" bestFit="1" customWidth="1"/>
    <col min="1984" max="1987" width="6.06640625" bestFit="1" customWidth="1"/>
    <col min="1988" max="1988" width="7.9296875" bestFit="1" customWidth="1"/>
    <col min="1989" max="1989" width="5" bestFit="1" customWidth="1"/>
    <col min="1990" max="1990" width="6.06640625" bestFit="1" customWidth="1"/>
    <col min="1991" max="1991" width="7.9296875" bestFit="1" customWidth="1"/>
    <col min="1992" max="1993" width="5" bestFit="1" customWidth="1"/>
    <col min="1994" max="1994" width="6.06640625" bestFit="1" customWidth="1"/>
    <col min="1995" max="1996" width="7.9296875" bestFit="1" customWidth="1"/>
    <col min="1997" max="1997" width="5" bestFit="1" customWidth="1"/>
    <col min="1998" max="1998" width="7.9296875" bestFit="1" customWidth="1"/>
    <col min="1999" max="2000" width="6.06640625" bestFit="1" customWidth="1"/>
    <col min="2001" max="2001" width="7.9296875" bestFit="1" customWidth="1"/>
    <col min="2002" max="2002" width="6.06640625" bestFit="1" customWidth="1"/>
    <col min="2003" max="2003" width="7.9296875" bestFit="1" customWidth="1"/>
    <col min="2004" max="2004" width="6.06640625" bestFit="1" customWidth="1"/>
    <col min="2005" max="2005" width="2.9296875" bestFit="1" customWidth="1"/>
    <col min="2006" max="2007" width="6.06640625" bestFit="1" customWidth="1"/>
    <col min="2008" max="2009" width="7.9296875" bestFit="1" customWidth="1"/>
    <col min="2010" max="2011" width="6.06640625" bestFit="1" customWidth="1"/>
    <col min="2012" max="2013" width="7.9296875" bestFit="1" customWidth="1"/>
    <col min="2014" max="2014" width="6.06640625" bestFit="1" customWidth="1"/>
    <col min="2015" max="2015" width="5" bestFit="1" customWidth="1"/>
    <col min="2016" max="2016" width="7.9296875" bestFit="1" customWidth="1"/>
    <col min="2017" max="2017" width="5" bestFit="1" customWidth="1"/>
    <col min="2018" max="2019" width="7.9296875" bestFit="1" customWidth="1"/>
    <col min="2020" max="2020" width="5" bestFit="1" customWidth="1"/>
    <col min="2021" max="2021" width="6.06640625" bestFit="1" customWidth="1"/>
    <col min="2022" max="2022" width="7.9296875" bestFit="1" customWidth="1"/>
    <col min="2023" max="2023" width="6.06640625" bestFit="1" customWidth="1"/>
    <col min="2024" max="2024" width="5" bestFit="1" customWidth="1"/>
    <col min="2025" max="2025" width="6.06640625" bestFit="1" customWidth="1"/>
    <col min="2026" max="2026" width="7.9296875" bestFit="1" customWidth="1"/>
    <col min="2027" max="2027" width="6.06640625" bestFit="1" customWidth="1"/>
    <col min="2028" max="2028" width="7.9296875" bestFit="1" customWidth="1"/>
    <col min="2029" max="2031" width="6.06640625" bestFit="1" customWidth="1"/>
    <col min="2032" max="2032" width="5" bestFit="1" customWidth="1"/>
    <col min="2033" max="2033" width="7.9296875" bestFit="1" customWidth="1"/>
    <col min="2034" max="2036" width="6.06640625" bestFit="1" customWidth="1"/>
    <col min="2037" max="2037" width="2.9296875" bestFit="1" customWidth="1"/>
    <col min="2038" max="2038" width="7.9296875" bestFit="1" customWidth="1"/>
    <col min="2039" max="2040" width="6.06640625" bestFit="1" customWidth="1"/>
    <col min="2041" max="2041" width="5" bestFit="1" customWidth="1"/>
    <col min="2042" max="2042" width="6.06640625" bestFit="1" customWidth="1"/>
    <col min="2043" max="2044" width="7.9296875" bestFit="1" customWidth="1"/>
    <col min="2045" max="2045" width="5" bestFit="1" customWidth="1"/>
    <col min="2046" max="2046" width="6.06640625" bestFit="1" customWidth="1"/>
    <col min="2047" max="2048" width="7.9296875" bestFit="1" customWidth="1"/>
    <col min="2049" max="2049" width="6.06640625" bestFit="1" customWidth="1"/>
    <col min="2050" max="2050" width="5" bestFit="1" customWidth="1"/>
    <col min="2051" max="2051" width="6.06640625" bestFit="1" customWidth="1"/>
    <col min="2052" max="2052" width="7.9296875" bestFit="1" customWidth="1"/>
    <col min="2053" max="2054" width="6.06640625" bestFit="1" customWidth="1"/>
    <col min="2055" max="2055" width="5" bestFit="1" customWidth="1"/>
    <col min="2056" max="2056" width="7.9296875" bestFit="1" customWidth="1"/>
    <col min="2057" max="2057" width="6.06640625" bestFit="1" customWidth="1"/>
    <col min="2058" max="2058" width="7.9296875" bestFit="1" customWidth="1"/>
    <col min="2059" max="2059" width="5" bestFit="1" customWidth="1"/>
    <col min="2060" max="2060" width="7.9296875" bestFit="1" customWidth="1"/>
    <col min="2061" max="2061" width="6.06640625" bestFit="1" customWidth="1"/>
    <col min="2062" max="2062" width="7" bestFit="1" customWidth="1"/>
    <col min="2063" max="2065" width="6.06640625" bestFit="1" customWidth="1"/>
    <col min="2066" max="2066" width="2.9296875" bestFit="1" customWidth="1"/>
    <col min="2067" max="2067" width="6.06640625" bestFit="1" customWidth="1"/>
    <col min="2068" max="2068" width="5" bestFit="1" customWidth="1"/>
    <col min="2069" max="2070" width="7.9296875" bestFit="1" customWidth="1"/>
    <col min="2071" max="2072" width="6.06640625" bestFit="1" customWidth="1"/>
    <col min="2073" max="2073" width="5" bestFit="1" customWidth="1"/>
    <col min="2074" max="2074" width="6.06640625" bestFit="1" customWidth="1"/>
    <col min="2075" max="2075" width="7.9296875" bestFit="1" customWidth="1"/>
    <col min="2076" max="2076" width="5" bestFit="1" customWidth="1"/>
    <col min="2077" max="2077" width="6.06640625" bestFit="1" customWidth="1"/>
    <col min="2078" max="2078" width="5" bestFit="1" customWidth="1"/>
    <col min="2079" max="2080" width="6.06640625" bestFit="1" customWidth="1"/>
    <col min="2081" max="2081" width="5" bestFit="1" customWidth="1"/>
    <col min="2082" max="2085" width="7.9296875" bestFit="1" customWidth="1"/>
    <col min="2086" max="2086" width="7" bestFit="1" customWidth="1"/>
    <col min="2087" max="2088" width="6.06640625" bestFit="1" customWidth="1"/>
    <col min="2089" max="2089" width="7.9296875" bestFit="1" customWidth="1"/>
    <col min="2090" max="2092" width="6.06640625" bestFit="1" customWidth="1"/>
    <col min="2093" max="2093" width="5" bestFit="1" customWidth="1"/>
    <col min="2094" max="2094" width="7.9296875" bestFit="1" customWidth="1"/>
    <col min="2095" max="2095" width="6.06640625" bestFit="1" customWidth="1"/>
    <col min="2096" max="2096" width="2.9296875" bestFit="1" customWidth="1"/>
    <col min="2097" max="2099" width="7.9296875" bestFit="1" customWidth="1"/>
    <col min="2100" max="2101" width="6.06640625" bestFit="1" customWidth="1"/>
    <col min="2102" max="2102" width="7" bestFit="1" customWidth="1"/>
    <col min="2103" max="2103" width="5" bestFit="1" customWidth="1"/>
    <col min="2104" max="2105" width="6.06640625" bestFit="1" customWidth="1"/>
    <col min="2106" max="2106" width="7.9296875" bestFit="1" customWidth="1"/>
    <col min="2107" max="2107" width="6.06640625" bestFit="1" customWidth="1"/>
    <col min="2108" max="2108" width="5" bestFit="1" customWidth="1"/>
    <col min="2109" max="2109" width="6.06640625" bestFit="1" customWidth="1"/>
    <col min="2110" max="2110" width="7" bestFit="1" customWidth="1"/>
    <col min="2111" max="2112" width="7.9296875" bestFit="1" customWidth="1"/>
    <col min="2113" max="2113" width="5" bestFit="1" customWidth="1"/>
    <col min="2114" max="2116" width="6.06640625" bestFit="1" customWidth="1"/>
    <col min="2117" max="2117" width="5" bestFit="1" customWidth="1"/>
    <col min="2118" max="2118" width="7.9296875" bestFit="1" customWidth="1"/>
    <col min="2119" max="2119" width="6.06640625" bestFit="1" customWidth="1"/>
    <col min="2120" max="2120" width="5" bestFit="1" customWidth="1"/>
    <col min="2121" max="2121" width="7.9296875" bestFit="1" customWidth="1"/>
    <col min="2122" max="2123" width="6.06640625" bestFit="1" customWidth="1"/>
    <col min="2124" max="2124" width="7.9296875" bestFit="1" customWidth="1"/>
    <col min="2125" max="2125" width="6.06640625" bestFit="1" customWidth="1"/>
    <col min="2126" max="2126" width="7.9296875" bestFit="1" customWidth="1"/>
    <col min="2127" max="2127" width="5" bestFit="1" customWidth="1"/>
    <col min="2128" max="2128" width="7.9296875" bestFit="1" customWidth="1"/>
    <col min="2129" max="2129" width="6.06640625" bestFit="1" customWidth="1"/>
    <col min="2130" max="2130" width="7.9296875" bestFit="1" customWidth="1"/>
    <col min="2131" max="2131" width="6.06640625" bestFit="1" customWidth="1"/>
    <col min="2132" max="2132" width="5" bestFit="1" customWidth="1"/>
    <col min="2133" max="2134" width="7.9296875" bestFit="1" customWidth="1"/>
    <col min="2135" max="2135" width="2.9296875" bestFit="1" customWidth="1"/>
    <col min="2136" max="2140" width="7.9296875" bestFit="1" customWidth="1"/>
    <col min="2141" max="2143" width="6.06640625" bestFit="1" customWidth="1"/>
    <col min="2144" max="2144" width="7.9296875" bestFit="1" customWidth="1"/>
    <col min="2145" max="2145" width="6.06640625" bestFit="1" customWidth="1"/>
    <col min="2146" max="2146" width="7.9296875" bestFit="1" customWidth="1"/>
    <col min="2147" max="2149" width="6.06640625" bestFit="1" customWidth="1"/>
    <col min="2150" max="2150" width="7.9296875" bestFit="1" customWidth="1"/>
    <col min="2151" max="2151" width="5" bestFit="1" customWidth="1"/>
    <col min="2152" max="2153" width="7.9296875" bestFit="1" customWidth="1"/>
    <col min="2154" max="2155" width="6.06640625" bestFit="1" customWidth="1"/>
    <col min="2156" max="2156" width="5" bestFit="1" customWidth="1"/>
    <col min="2157" max="2158" width="7.9296875" bestFit="1" customWidth="1"/>
    <col min="2159" max="2159" width="6.06640625" bestFit="1" customWidth="1"/>
    <col min="2160" max="2160" width="5" bestFit="1" customWidth="1"/>
    <col min="2161" max="2162" width="7.9296875" bestFit="1" customWidth="1"/>
    <col min="2163" max="2163" width="5" bestFit="1" customWidth="1"/>
    <col min="2164" max="2165" width="7.9296875" bestFit="1" customWidth="1"/>
    <col min="2166" max="2167" width="6.06640625" bestFit="1" customWidth="1"/>
    <col min="2168" max="2169" width="7.9296875" bestFit="1" customWidth="1"/>
    <col min="2170" max="2170" width="6.06640625" bestFit="1" customWidth="1"/>
    <col min="2171" max="2171" width="7.9296875" bestFit="1" customWidth="1"/>
    <col min="2172" max="2172" width="2.9296875" bestFit="1" customWidth="1"/>
    <col min="2173" max="2173" width="6.06640625" bestFit="1" customWidth="1"/>
    <col min="2174" max="2174" width="7.9296875" bestFit="1" customWidth="1"/>
    <col min="2175" max="2175" width="5" bestFit="1" customWidth="1"/>
    <col min="2176" max="2176" width="7.9296875" bestFit="1" customWidth="1"/>
    <col min="2177" max="2177" width="6.06640625" bestFit="1" customWidth="1"/>
    <col min="2178" max="2178" width="5" bestFit="1" customWidth="1"/>
    <col min="2179" max="2179" width="7.9296875" bestFit="1" customWidth="1"/>
    <col min="2180" max="2180" width="6.06640625" bestFit="1" customWidth="1"/>
    <col min="2181" max="2186" width="7.9296875" bestFit="1" customWidth="1"/>
    <col min="2187" max="2187" width="6.06640625" bestFit="1" customWidth="1"/>
    <col min="2188" max="2188" width="7.9296875" bestFit="1" customWidth="1"/>
    <col min="2189" max="2189" width="5" bestFit="1" customWidth="1"/>
    <col min="2190" max="2195" width="7.9296875" bestFit="1" customWidth="1"/>
    <col min="2196" max="2196" width="6.06640625" bestFit="1" customWidth="1"/>
    <col min="2197" max="2197" width="7" bestFit="1" customWidth="1"/>
    <col min="2198" max="2198" width="5" bestFit="1" customWidth="1"/>
    <col min="2199" max="2199" width="6.06640625" bestFit="1" customWidth="1"/>
    <col min="2200" max="2200" width="7.9296875" bestFit="1" customWidth="1"/>
    <col min="2201" max="2201" width="5" bestFit="1" customWidth="1"/>
    <col min="2202" max="2203" width="6.06640625" bestFit="1" customWidth="1"/>
    <col min="2204" max="2204" width="7" bestFit="1" customWidth="1"/>
    <col min="2205" max="2209" width="7.9296875" bestFit="1" customWidth="1"/>
    <col min="2210" max="2210" width="6.06640625" bestFit="1" customWidth="1"/>
    <col min="2211" max="2211" width="7.9296875" bestFit="1" customWidth="1"/>
    <col min="2212" max="2212" width="5" bestFit="1" customWidth="1"/>
    <col min="2213" max="2213" width="7.9296875" bestFit="1" customWidth="1"/>
    <col min="2214" max="2214" width="6.06640625" bestFit="1" customWidth="1"/>
    <col min="2215" max="2215" width="7.9296875" bestFit="1" customWidth="1"/>
    <col min="2216" max="2216" width="6.06640625" bestFit="1" customWidth="1"/>
    <col min="2217" max="2218" width="7.9296875" bestFit="1" customWidth="1"/>
    <col min="2219" max="2219" width="6.06640625" bestFit="1" customWidth="1"/>
    <col min="2220" max="2220" width="7.9296875" bestFit="1" customWidth="1"/>
    <col min="2221" max="2221" width="7" bestFit="1" customWidth="1"/>
    <col min="2222" max="2223" width="6.06640625" bestFit="1" customWidth="1"/>
    <col min="2224" max="2224" width="2.9296875" bestFit="1" customWidth="1"/>
    <col min="2225" max="2227" width="6.06640625" bestFit="1" customWidth="1"/>
    <col min="2228" max="2229" width="7.9296875" bestFit="1" customWidth="1"/>
    <col min="2230" max="2232" width="6.06640625" bestFit="1" customWidth="1"/>
    <col min="2233" max="2233" width="5" bestFit="1" customWidth="1"/>
    <col min="2234" max="2235" width="7.9296875" bestFit="1" customWidth="1"/>
    <col min="2236" max="2237" width="6.06640625" bestFit="1" customWidth="1"/>
    <col min="2238" max="2238" width="5" bestFit="1" customWidth="1"/>
    <col min="2239" max="2239" width="7.9296875" bestFit="1" customWidth="1"/>
    <col min="2240" max="2240" width="6.06640625" bestFit="1" customWidth="1"/>
    <col min="2241" max="2242" width="7.9296875" bestFit="1" customWidth="1"/>
    <col min="2243" max="2243" width="5" bestFit="1" customWidth="1"/>
    <col min="2244" max="2244" width="7" bestFit="1" customWidth="1"/>
    <col min="2245" max="2245" width="7.9296875" bestFit="1" customWidth="1"/>
    <col min="2246" max="2246" width="5" bestFit="1" customWidth="1"/>
    <col min="2247" max="2249" width="7.9296875" bestFit="1" customWidth="1"/>
    <col min="2250" max="2250" width="6.06640625" bestFit="1" customWidth="1"/>
    <col min="2251" max="2253" width="7.9296875" bestFit="1" customWidth="1"/>
    <col min="2254" max="2254" width="6.06640625" bestFit="1" customWidth="1"/>
    <col min="2255" max="2256" width="7.9296875" bestFit="1" customWidth="1"/>
    <col min="2257" max="2257" width="6.06640625" bestFit="1" customWidth="1"/>
    <col min="2258" max="2258" width="7.9296875" bestFit="1" customWidth="1"/>
    <col min="2259" max="2259" width="2.9296875" bestFit="1" customWidth="1"/>
    <col min="2260" max="2260" width="7.9296875" bestFit="1" customWidth="1"/>
    <col min="2261" max="2262" width="6.06640625" bestFit="1" customWidth="1"/>
    <col min="2263" max="2263" width="5" bestFit="1" customWidth="1"/>
    <col min="2264" max="2264" width="7.9296875" bestFit="1" customWidth="1"/>
    <col min="2265" max="2268" width="6.06640625" bestFit="1" customWidth="1"/>
    <col min="2269" max="2270" width="7.9296875" bestFit="1" customWidth="1"/>
    <col min="2271" max="2272" width="6.06640625" bestFit="1" customWidth="1"/>
    <col min="2273" max="2273" width="7.9296875" bestFit="1" customWidth="1"/>
    <col min="2274" max="2274" width="5" bestFit="1" customWidth="1"/>
    <col min="2275" max="2275" width="7.9296875" bestFit="1" customWidth="1"/>
    <col min="2276" max="2276" width="6.06640625" bestFit="1" customWidth="1"/>
    <col min="2277" max="2277" width="5" bestFit="1" customWidth="1"/>
    <col min="2278" max="2279" width="7.9296875" bestFit="1" customWidth="1"/>
    <col min="2280" max="2280" width="6.06640625" bestFit="1" customWidth="1"/>
    <col min="2281" max="2281" width="7.9296875" bestFit="1" customWidth="1"/>
    <col min="2282" max="2282" width="5" bestFit="1" customWidth="1"/>
    <col min="2283" max="2284" width="6.06640625" bestFit="1" customWidth="1"/>
    <col min="2285" max="2287" width="7.9296875" bestFit="1" customWidth="1"/>
    <col min="2288" max="2290" width="6.06640625" bestFit="1" customWidth="1"/>
    <col min="2291" max="2291" width="5" bestFit="1" customWidth="1"/>
    <col min="2292" max="2292" width="7.9296875" bestFit="1" customWidth="1"/>
    <col min="2293" max="2293" width="6.06640625" bestFit="1" customWidth="1"/>
    <col min="2294" max="2294" width="5" bestFit="1" customWidth="1"/>
    <col min="2295" max="2295" width="6.06640625" bestFit="1" customWidth="1"/>
    <col min="2296" max="2296" width="2.9296875" bestFit="1" customWidth="1"/>
    <col min="2297" max="2299" width="6.06640625" bestFit="1" customWidth="1"/>
    <col min="2300" max="2300" width="7.9296875" bestFit="1" customWidth="1"/>
    <col min="2301" max="2301" width="5" bestFit="1" customWidth="1"/>
    <col min="2302" max="2303" width="7.9296875" bestFit="1" customWidth="1"/>
    <col min="2304" max="2304" width="6.06640625" bestFit="1" customWidth="1"/>
    <col min="2305" max="2307" width="7.9296875" bestFit="1" customWidth="1"/>
    <col min="2308" max="2312" width="6.06640625" bestFit="1" customWidth="1"/>
    <col min="2313" max="2313" width="5" bestFit="1" customWidth="1"/>
    <col min="2314" max="2314" width="6.06640625" bestFit="1" customWidth="1"/>
    <col min="2315" max="2316" width="7.9296875" bestFit="1" customWidth="1"/>
    <col min="2317" max="2317" width="5" bestFit="1" customWidth="1"/>
    <col min="2318" max="2318" width="6.06640625" bestFit="1" customWidth="1"/>
    <col min="2319" max="2319" width="7.9296875" bestFit="1" customWidth="1"/>
    <col min="2320" max="2321" width="6.06640625" bestFit="1" customWidth="1"/>
    <col min="2322" max="2324" width="7.9296875" bestFit="1" customWidth="1"/>
    <col min="2325" max="2325" width="6.06640625" bestFit="1" customWidth="1"/>
    <col min="2326" max="2326" width="5" bestFit="1" customWidth="1"/>
    <col min="2327" max="2327" width="7.9296875" bestFit="1" customWidth="1"/>
    <col min="2328" max="2328" width="7" bestFit="1" customWidth="1"/>
    <col min="2329" max="2332" width="7.9296875" bestFit="1" customWidth="1"/>
    <col min="2333" max="2333" width="6.06640625" bestFit="1" customWidth="1"/>
    <col min="2334" max="2334" width="5" bestFit="1" customWidth="1"/>
    <col min="2335" max="2337" width="7.9296875" bestFit="1" customWidth="1"/>
    <col min="2338" max="2338" width="6.06640625" bestFit="1" customWidth="1"/>
    <col min="2339" max="2340" width="7.9296875" bestFit="1" customWidth="1"/>
    <col min="2341" max="2341" width="2.9296875" bestFit="1" customWidth="1"/>
    <col min="2342" max="2343" width="6.06640625" bestFit="1" customWidth="1"/>
    <col min="2344" max="2344" width="5" bestFit="1" customWidth="1"/>
    <col min="2345" max="2346" width="6.06640625" bestFit="1" customWidth="1"/>
    <col min="2347" max="2347" width="7.9296875" bestFit="1" customWidth="1"/>
    <col min="2348" max="2348" width="6.06640625" bestFit="1" customWidth="1"/>
    <col min="2349" max="2349" width="7.9296875" bestFit="1" customWidth="1"/>
    <col min="2350" max="2350" width="6.06640625" bestFit="1" customWidth="1"/>
    <col min="2351" max="2351" width="7.9296875" bestFit="1" customWidth="1"/>
    <col min="2352" max="2352" width="5" bestFit="1" customWidth="1"/>
    <col min="2353" max="2353" width="6.06640625" bestFit="1" customWidth="1"/>
    <col min="2354" max="2354" width="7.9296875" bestFit="1" customWidth="1"/>
    <col min="2355" max="2355" width="6.06640625" bestFit="1" customWidth="1"/>
    <col min="2356" max="2356" width="5" bestFit="1" customWidth="1"/>
    <col min="2357" max="2357" width="6.06640625" bestFit="1" customWidth="1"/>
    <col min="2358" max="2358" width="7.9296875" bestFit="1" customWidth="1"/>
    <col min="2359" max="2359" width="5" bestFit="1" customWidth="1"/>
    <col min="2360" max="2360" width="7.9296875" bestFit="1" customWidth="1"/>
    <col min="2361" max="2361" width="6.06640625" bestFit="1" customWidth="1"/>
    <col min="2362" max="2362" width="5" bestFit="1" customWidth="1"/>
    <col min="2363" max="2363" width="6.06640625" bestFit="1" customWidth="1"/>
    <col min="2364" max="2364" width="5" bestFit="1" customWidth="1"/>
    <col min="2365" max="2366" width="6.06640625" bestFit="1" customWidth="1"/>
    <col min="2367" max="2367" width="2.9296875" bestFit="1" customWidth="1"/>
    <col min="2368" max="2370" width="7.9296875" bestFit="1" customWidth="1"/>
    <col min="2371" max="2371" width="6.06640625" bestFit="1" customWidth="1"/>
    <col min="2372" max="2372" width="7.9296875" bestFit="1" customWidth="1"/>
    <col min="2373" max="2376" width="6.06640625" bestFit="1" customWidth="1"/>
    <col min="2377" max="2377" width="5" bestFit="1" customWidth="1"/>
    <col min="2378" max="2378" width="7.9296875" bestFit="1" customWidth="1"/>
    <col min="2379" max="2379" width="6.06640625" bestFit="1" customWidth="1"/>
    <col min="2380" max="2380" width="7.9296875" bestFit="1" customWidth="1"/>
    <col min="2381" max="2381" width="5" bestFit="1" customWidth="1"/>
    <col min="2382" max="2382" width="6.06640625" bestFit="1" customWidth="1"/>
    <col min="2383" max="2384" width="7.9296875" bestFit="1" customWidth="1"/>
    <col min="2385" max="2385" width="5" bestFit="1" customWidth="1"/>
    <col min="2386" max="2386" width="6.06640625" bestFit="1" customWidth="1"/>
    <col min="2387" max="2387" width="5" bestFit="1" customWidth="1"/>
    <col min="2388" max="2389" width="7.9296875" bestFit="1" customWidth="1"/>
    <col min="2390" max="2393" width="6.06640625" bestFit="1" customWidth="1"/>
    <col min="2394" max="2394" width="2.9296875" bestFit="1" customWidth="1"/>
    <col min="2395" max="2395" width="6.06640625" bestFit="1" customWidth="1"/>
    <col min="2396" max="2396" width="7.9296875" bestFit="1" customWidth="1"/>
    <col min="2397" max="2397" width="6.06640625" bestFit="1" customWidth="1"/>
    <col min="2398" max="2398" width="7.9296875" bestFit="1" customWidth="1"/>
    <col min="2399" max="2399" width="6.06640625" bestFit="1" customWidth="1"/>
    <col min="2400" max="2400" width="7.9296875" bestFit="1" customWidth="1"/>
    <col min="2401" max="2401" width="5" bestFit="1" customWidth="1"/>
    <col min="2402" max="2402" width="6.06640625" bestFit="1" customWidth="1"/>
    <col min="2403" max="2403" width="7.9296875" bestFit="1" customWidth="1"/>
    <col min="2404" max="2408" width="6.06640625" bestFit="1" customWidth="1"/>
    <col min="2409" max="2409" width="7" bestFit="1" customWidth="1"/>
    <col min="2410" max="2410" width="5" bestFit="1" customWidth="1"/>
    <col min="2411" max="2411" width="7" bestFit="1" customWidth="1"/>
    <col min="2412" max="2413" width="7.9296875" bestFit="1" customWidth="1"/>
    <col min="2414" max="2418" width="6.06640625" bestFit="1" customWidth="1"/>
    <col min="2419" max="2419" width="7.9296875" bestFit="1" customWidth="1"/>
    <col min="2420" max="2420" width="5" bestFit="1" customWidth="1"/>
    <col min="2421" max="2422" width="6.06640625" bestFit="1" customWidth="1"/>
    <col min="2423" max="2423" width="7.9296875" bestFit="1" customWidth="1"/>
    <col min="2424" max="2424" width="2.9296875" bestFit="1" customWidth="1"/>
    <col min="2425" max="2425" width="6.06640625" bestFit="1" customWidth="1"/>
    <col min="2426" max="2426" width="7.9296875" bestFit="1" customWidth="1"/>
    <col min="2427" max="2427" width="7" bestFit="1" customWidth="1"/>
    <col min="2428" max="2428" width="7.9296875" bestFit="1" customWidth="1"/>
    <col min="2429" max="2429" width="7" bestFit="1" customWidth="1"/>
    <col min="2430" max="2430" width="5" bestFit="1" customWidth="1"/>
    <col min="2431" max="2431" width="6.06640625" bestFit="1" customWidth="1"/>
    <col min="2432" max="2432" width="5" bestFit="1" customWidth="1"/>
    <col min="2433" max="2433" width="7.9296875" bestFit="1" customWidth="1"/>
    <col min="2434" max="2434" width="5" bestFit="1" customWidth="1"/>
    <col min="2435" max="2435" width="7.9296875" bestFit="1" customWidth="1"/>
    <col min="2436" max="2439" width="6.06640625" bestFit="1" customWidth="1"/>
    <col min="2440" max="2440" width="7.9296875" bestFit="1" customWidth="1"/>
    <col min="2441" max="2441" width="5" bestFit="1" customWidth="1"/>
    <col min="2442" max="2444" width="6.06640625" bestFit="1" customWidth="1"/>
    <col min="2445" max="2445" width="7" bestFit="1" customWidth="1"/>
    <col min="2446" max="2446" width="5" bestFit="1" customWidth="1"/>
    <col min="2447" max="2448" width="7.9296875" bestFit="1" customWidth="1"/>
    <col min="2449" max="2449" width="6.06640625" bestFit="1" customWidth="1"/>
    <col min="2450" max="2450" width="5" bestFit="1" customWidth="1"/>
    <col min="2451" max="2452" width="7.9296875" bestFit="1" customWidth="1"/>
    <col min="2453" max="2453" width="7" bestFit="1" customWidth="1"/>
    <col min="2454" max="2454" width="7.9296875" bestFit="1" customWidth="1"/>
    <col min="2455" max="2456" width="6.06640625" bestFit="1" customWidth="1"/>
    <col min="2457" max="2457" width="2.9296875" bestFit="1" customWidth="1"/>
    <col min="2458" max="2458" width="7.9296875" bestFit="1" customWidth="1"/>
    <col min="2459" max="2459" width="6.06640625" bestFit="1" customWidth="1"/>
    <col min="2460" max="2460" width="5" bestFit="1" customWidth="1"/>
    <col min="2461" max="2461" width="7.9296875" bestFit="1" customWidth="1"/>
    <col min="2462" max="2462" width="6.06640625" bestFit="1" customWidth="1"/>
    <col min="2463" max="2464" width="7.9296875" bestFit="1" customWidth="1"/>
    <col min="2465" max="2465" width="6.06640625" bestFit="1" customWidth="1"/>
    <col min="2466" max="2466" width="7.9296875" bestFit="1" customWidth="1"/>
    <col min="2467" max="2471" width="6.06640625" bestFit="1" customWidth="1"/>
    <col min="2472" max="2472" width="5" bestFit="1" customWidth="1"/>
    <col min="2473" max="2475" width="6.06640625" bestFit="1" customWidth="1"/>
    <col min="2476" max="2476" width="7.9296875" bestFit="1" customWidth="1"/>
    <col min="2477" max="2477" width="6.06640625" bestFit="1" customWidth="1"/>
    <col min="2478" max="2478" width="7.9296875" bestFit="1" customWidth="1"/>
    <col min="2479" max="2479" width="6.06640625" bestFit="1" customWidth="1"/>
    <col min="2480" max="2480" width="7.9296875" bestFit="1" customWidth="1"/>
    <col min="2481" max="2481" width="6.06640625" bestFit="1" customWidth="1"/>
    <col min="2482" max="2482" width="7.9296875" bestFit="1" customWidth="1"/>
    <col min="2483" max="2483" width="5" bestFit="1" customWidth="1"/>
    <col min="2484" max="2484" width="6.06640625" bestFit="1" customWidth="1"/>
    <col min="2485" max="2485" width="7.9296875" bestFit="1" customWidth="1"/>
    <col min="2486" max="2486" width="6.06640625" bestFit="1" customWidth="1"/>
    <col min="2487" max="2488" width="7.9296875" bestFit="1" customWidth="1"/>
    <col min="2489" max="2489" width="6.06640625" bestFit="1" customWidth="1"/>
    <col min="2490" max="2490" width="2.9296875" bestFit="1" customWidth="1"/>
    <col min="2491" max="2491" width="6.06640625" bestFit="1" customWidth="1"/>
    <col min="2492" max="2492" width="5" bestFit="1" customWidth="1"/>
    <col min="2493" max="2494" width="6.06640625" bestFit="1" customWidth="1"/>
    <col min="2495" max="2495" width="7.9296875" bestFit="1" customWidth="1"/>
    <col min="2496" max="2496" width="5" bestFit="1" customWidth="1"/>
    <col min="2497" max="2497" width="6.06640625" bestFit="1" customWidth="1"/>
    <col min="2498" max="2499" width="7.9296875" bestFit="1" customWidth="1"/>
    <col min="2500" max="2500" width="5" bestFit="1" customWidth="1"/>
    <col min="2501" max="2501" width="7.9296875" bestFit="1" customWidth="1"/>
    <col min="2502" max="2502" width="5" bestFit="1" customWidth="1"/>
    <col min="2503" max="2506" width="6.06640625" bestFit="1" customWidth="1"/>
    <col min="2507" max="2507" width="5" bestFit="1" customWidth="1"/>
    <col min="2508" max="2508" width="6.06640625" bestFit="1" customWidth="1"/>
    <col min="2509" max="2510" width="7.9296875" bestFit="1" customWidth="1"/>
    <col min="2511" max="2511" width="7" bestFit="1" customWidth="1"/>
    <col min="2512" max="2512" width="7.9296875" bestFit="1" customWidth="1"/>
    <col min="2513" max="2514" width="6.06640625" bestFit="1" customWidth="1"/>
    <col min="2515" max="2516" width="7.9296875" bestFit="1" customWidth="1"/>
    <col min="2517" max="2517" width="2.9296875" bestFit="1" customWidth="1"/>
    <col min="2518" max="2518" width="7.9296875" bestFit="1" customWidth="1"/>
    <col min="2519" max="2519" width="6.06640625" bestFit="1" customWidth="1"/>
    <col min="2520" max="2521" width="7.9296875" bestFit="1" customWidth="1"/>
    <col min="2522" max="2522" width="5" bestFit="1" customWidth="1"/>
    <col min="2523" max="2523" width="6.06640625" bestFit="1" customWidth="1"/>
    <col min="2524" max="2524" width="5" bestFit="1" customWidth="1"/>
    <col min="2525" max="2525" width="6.06640625" bestFit="1" customWidth="1"/>
    <col min="2526" max="2528" width="7.9296875" bestFit="1" customWidth="1"/>
    <col min="2529" max="2529" width="6.06640625" bestFit="1" customWidth="1"/>
    <col min="2530" max="2530" width="5" bestFit="1" customWidth="1"/>
    <col min="2531" max="2531" width="7.9296875" bestFit="1" customWidth="1"/>
    <col min="2532" max="2532" width="6.06640625" bestFit="1" customWidth="1"/>
    <col min="2533" max="2533" width="7.9296875" bestFit="1" customWidth="1"/>
    <col min="2534" max="2534" width="5" bestFit="1" customWidth="1"/>
    <col min="2535" max="2535" width="6.06640625" bestFit="1" customWidth="1"/>
    <col min="2536" max="2536" width="5" bestFit="1" customWidth="1"/>
    <col min="2537" max="2537" width="7.9296875" bestFit="1" customWidth="1"/>
    <col min="2538" max="2542" width="6.06640625" bestFit="1" customWidth="1"/>
    <col min="2543" max="2543" width="7.9296875" bestFit="1" customWidth="1"/>
    <col min="2544" max="2544" width="6.06640625" bestFit="1" customWidth="1"/>
    <col min="2545" max="2545" width="2.9296875" bestFit="1" customWidth="1"/>
    <col min="2546" max="2546" width="6.06640625" bestFit="1" customWidth="1"/>
    <col min="2547" max="2547" width="7.9296875" bestFit="1" customWidth="1"/>
    <col min="2548" max="2548" width="6.06640625" bestFit="1" customWidth="1"/>
    <col min="2549" max="2549" width="7.9296875" bestFit="1" customWidth="1"/>
    <col min="2550" max="2550" width="5" bestFit="1" customWidth="1"/>
    <col min="2551" max="2551" width="7" bestFit="1" customWidth="1"/>
    <col min="2552" max="2554" width="6.06640625" bestFit="1" customWidth="1"/>
    <col min="2555" max="2555" width="7.9296875" bestFit="1" customWidth="1"/>
    <col min="2556" max="2556" width="5" bestFit="1" customWidth="1"/>
    <col min="2557" max="2557" width="6.06640625" bestFit="1" customWidth="1"/>
    <col min="2558" max="2559" width="7.9296875" bestFit="1" customWidth="1"/>
    <col min="2560" max="2560" width="6.06640625" bestFit="1" customWidth="1"/>
    <col min="2561" max="2561" width="7.9296875" bestFit="1" customWidth="1"/>
    <col min="2562" max="2562" width="7" bestFit="1" customWidth="1"/>
    <col min="2563" max="2563" width="7.9296875" bestFit="1" customWidth="1"/>
    <col min="2564" max="2564" width="5" bestFit="1" customWidth="1"/>
    <col min="2565" max="2565" width="7.9296875" bestFit="1" customWidth="1"/>
    <col min="2566" max="2566" width="6.06640625" bestFit="1" customWidth="1"/>
    <col min="2567" max="2567" width="7.9296875" bestFit="1" customWidth="1"/>
    <col min="2568" max="2568" width="2.9296875" bestFit="1" customWidth="1"/>
    <col min="2569" max="2569" width="7.9296875" bestFit="1" customWidth="1"/>
    <col min="2570" max="2570" width="6.06640625" bestFit="1" customWidth="1"/>
    <col min="2571" max="2571" width="7.9296875" bestFit="1" customWidth="1"/>
    <col min="2572" max="2572" width="5" bestFit="1" customWidth="1"/>
    <col min="2573" max="2573" width="7.9296875" bestFit="1" customWidth="1"/>
    <col min="2574" max="2577" width="6.06640625" bestFit="1" customWidth="1"/>
    <col min="2578" max="2578" width="5" bestFit="1" customWidth="1"/>
    <col min="2579" max="2580" width="7.9296875" bestFit="1" customWidth="1"/>
    <col min="2581" max="2581" width="6.06640625" bestFit="1" customWidth="1"/>
    <col min="2582" max="2585" width="7.9296875" bestFit="1" customWidth="1"/>
    <col min="2586" max="2587" width="5" bestFit="1" customWidth="1"/>
    <col min="2588" max="2588" width="6.06640625" bestFit="1" customWidth="1"/>
    <col min="2589" max="2589" width="5" bestFit="1" customWidth="1"/>
    <col min="2590" max="2590" width="6.06640625" bestFit="1" customWidth="1"/>
    <col min="2591" max="2591" width="2.9296875" bestFit="1" customWidth="1"/>
    <col min="2592" max="2592" width="6.06640625" bestFit="1" customWidth="1"/>
    <col min="2593" max="2595" width="7.9296875" bestFit="1" customWidth="1"/>
    <col min="2596" max="2596" width="5" bestFit="1" customWidth="1"/>
    <col min="2597" max="2597" width="6.06640625" bestFit="1" customWidth="1"/>
    <col min="2598" max="2599" width="7.9296875" bestFit="1" customWidth="1"/>
    <col min="2600" max="2600" width="6.06640625" bestFit="1" customWidth="1"/>
    <col min="2601" max="2603" width="7.9296875" bestFit="1" customWidth="1"/>
    <col min="2604" max="2604" width="5" bestFit="1" customWidth="1"/>
    <col min="2605" max="2606" width="7.9296875" bestFit="1" customWidth="1"/>
    <col min="2607" max="2607" width="6.06640625" bestFit="1" customWidth="1"/>
    <col min="2608" max="2608" width="5" bestFit="1" customWidth="1"/>
    <col min="2609" max="2609" width="7.9296875" bestFit="1" customWidth="1"/>
    <col min="2610" max="2610" width="6.06640625" bestFit="1" customWidth="1"/>
    <col min="2611" max="2611" width="5" bestFit="1" customWidth="1"/>
    <col min="2612" max="2612" width="7.9296875" bestFit="1" customWidth="1"/>
    <col min="2613" max="2615" width="6.06640625" bestFit="1" customWidth="1"/>
    <col min="2616" max="2617" width="7.9296875" bestFit="1" customWidth="1"/>
    <col min="2618" max="2618" width="5" bestFit="1" customWidth="1"/>
    <col min="2619" max="2619" width="7.9296875" bestFit="1" customWidth="1"/>
    <col min="2620" max="2620" width="6.06640625" bestFit="1" customWidth="1"/>
    <col min="2621" max="2621" width="7.9296875" bestFit="1" customWidth="1"/>
    <col min="2622" max="2622" width="5" bestFit="1" customWidth="1"/>
    <col min="2623" max="2623" width="2.9296875" bestFit="1" customWidth="1"/>
    <col min="2624" max="2624" width="7.9296875" bestFit="1" customWidth="1"/>
    <col min="2625" max="2625" width="5" bestFit="1" customWidth="1"/>
    <col min="2626" max="2626" width="6.06640625" bestFit="1" customWidth="1"/>
    <col min="2627" max="2627" width="7.9296875" bestFit="1" customWidth="1"/>
    <col min="2628" max="2628" width="5" bestFit="1" customWidth="1"/>
    <col min="2629" max="2630" width="7.9296875" bestFit="1" customWidth="1"/>
    <col min="2631" max="2632" width="6.06640625" bestFit="1" customWidth="1"/>
    <col min="2633" max="2633" width="5" bestFit="1" customWidth="1"/>
    <col min="2634" max="2634" width="7.9296875" bestFit="1" customWidth="1"/>
    <col min="2635" max="2635" width="5" bestFit="1" customWidth="1"/>
    <col min="2636" max="2636" width="7.9296875" bestFit="1" customWidth="1"/>
    <col min="2637" max="2637" width="6.06640625" bestFit="1" customWidth="1"/>
    <col min="2638" max="2638" width="5" bestFit="1" customWidth="1"/>
    <col min="2639" max="2639" width="6.06640625" bestFit="1" customWidth="1"/>
    <col min="2640" max="2641" width="7.9296875" bestFit="1" customWidth="1"/>
    <col min="2642" max="2642" width="5" bestFit="1" customWidth="1"/>
    <col min="2643" max="2643" width="6.06640625" bestFit="1" customWidth="1"/>
    <col min="2644" max="2644" width="7.9296875" bestFit="1" customWidth="1"/>
    <col min="2645" max="2645" width="6.06640625" bestFit="1" customWidth="1"/>
    <col min="2646" max="2646" width="7.9296875" bestFit="1" customWidth="1"/>
    <col min="2647" max="2647" width="2.9296875" bestFit="1" customWidth="1"/>
    <col min="2648" max="2650" width="7.9296875" bestFit="1" customWidth="1"/>
    <col min="2651" max="2651" width="6.06640625" bestFit="1" customWidth="1"/>
    <col min="2652" max="2653" width="7.9296875" bestFit="1" customWidth="1"/>
    <col min="2654" max="2654" width="6.06640625" bestFit="1" customWidth="1"/>
    <col min="2655" max="2656" width="7.9296875" bestFit="1" customWidth="1"/>
    <col min="2657" max="2657" width="7" bestFit="1" customWidth="1"/>
    <col min="2658" max="2658" width="6.06640625" bestFit="1" customWidth="1"/>
    <col min="2659" max="2659" width="5" bestFit="1" customWidth="1"/>
    <col min="2660" max="2660" width="6.06640625" bestFit="1" customWidth="1"/>
    <col min="2661" max="2661" width="7.9296875" bestFit="1" customWidth="1"/>
    <col min="2662" max="2662" width="6.06640625" bestFit="1" customWidth="1"/>
    <col min="2663" max="2663" width="5" bestFit="1" customWidth="1"/>
    <col min="2664" max="2664" width="7.9296875" bestFit="1" customWidth="1"/>
    <col min="2665" max="2665" width="6.06640625" bestFit="1" customWidth="1"/>
    <col min="2666" max="2668" width="7.9296875" bestFit="1" customWidth="1"/>
    <col min="2669" max="2669" width="6.06640625" bestFit="1" customWidth="1"/>
    <col min="2670" max="2670" width="7.9296875" bestFit="1" customWidth="1"/>
    <col min="2671" max="2671" width="6.06640625" bestFit="1" customWidth="1"/>
    <col min="2672" max="2672" width="7" bestFit="1" customWidth="1"/>
    <col min="2673" max="2674" width="6.06640625" bestFit="1" customWidth="1"/>
    <col min="2675" max="2676" width="7.9296875" bestFit="1" customWidth="1"/>
    <col min="2677" max="2677" width="5" bestFit="1" customWidth="1"/>
    <col min="2678" max="2679" width="6.06640625" bestFit="1" customWidth="1"/>
    <col min="2680" max="2680" width="7" bestFit="1" customWidth="1"/>
    <col min="2681" max="2681" width="7.9296875" bestFit="1" customWidth="1"/>
    <col min="2682" max="2682" width="2.9296875" bestFit="1" customWidth="1"/>
    <col min="2683" max="2684" width="7.9296875" bestFit="1" customWidth="1"/>
    <col min="2685" max="2685" width="6.06640625" bestFit="1" customWidth="1"/>
    <col min="2686" max="2686" width="5" bestFit="1" customWidth="1"/>
    <col min="2687" max="2687" width="6.06640625" bestFit="1" customWidth="1"/>
    <col min="2688" max="2689" width="5" bestFit="1" customWidth="1"/>
    <col min="2690" max="2690" width="7.9296875" bestFit="1" customWidth="1"/>
    <col min="2691" max="2691" width="6.06640625" bestFit="1" customWidth="1"/>
    <col min="2692" max="2692" width="5" bestFit="1" customWidth="1"/>
    <col min="2693" max="2693" width="6.06640625" bestFit="1" customWidth="1"/>
    <col min="2694" max="2695" width="7.9296875" bestFit="1" customWidth="1"/>
    <col min="2696" max="2696" width="6.06640625" bestFit="1" customWidth="1"/>
    <col min="2697" max="2699" width="7.9296875" bestFit="1" customWidth="1"/>
    <col min="2700" max="2703" width="6.06640625" bestFit="1" customWidth="1"/>
    <col min="2704" max="2704" width="7.9296875" bestFit="1" customWidth="1"/>
    <col min="2705" max="2706" width="6.06640625" bestFit="1" customWidth="1"/>
    <col min="2707" max="2708" width="7.9296875" bestFit="1" customWidth="1"/>
    <col min="2709" max="2710" width="6.06640625" bestFit="1" customWidth="1"/>
    <col min="2711" max="2711" width="2.9296875" bestFit="1" customWidth="1"/>
    <col min="2712" max="2712" width="6.06640625" bestFit="1" customWidth="1"/>
    <col min="2713" max="2713" width="5" bestFit="1" customWidth="1"/>
    <col min="2714" max="2714" width="7.9296875" bestFit="1" customWidth="1"/>
    <col min="2715" max="2715" width="6.06640625" bestFit="1" customWidth="1"/>
    <col min="2716" max="2716" width="7.9296875" bestFit="1" customWidth="1"/>
    <col min="2717" max="2720" width="6.06640625" bestFit="1" customWidth="1"/>
    <col min="2721" max="2721" width="5" bestFit="1" customWidth="1"/>
    <col min="2722" max="2723" width="7.9296875" bestFit="1" customWidth="1"/>
    <col min="2724" max="2724" width="5" bestFit="1" customWidth="1"/>
    <col min="2725" max="2726" width="7.9296875" bestFit="1" customWidth="1"/>
    <col min="2727" max="2727" width="6.06640625" bestFit="1" customWidth="1"/>
    <col min="2728" max="2728" width="5" bestFit="1" customWidth="1"/>
    <col min="2729" max="2730" width="7.9296875" bestFit="1" customWidth="1"/>
    <col min="2731" max="2731" width="5" bestFit="1" customWidth="1"/>
    <col min="2732" max="2732" width="7.9296875" bestFit="1" customWidth="1"/>
    <col min="2733" max="2733" width="5" bestFit="1" customWidth="1"/>
    <col min="2734" max="2734" width="6.06640625" bestFit="1" customWidth="1"/>
    <col min="2735" max="2737" width="7.9296875" bestFit="1" customWidth="1"/>
    <col min="2738" max="2738" width="2.9296875" bestFit="1" customWidth="1"/>
    <col min="2739" max="2739" width="7.9296875" bestFit="1" customWidth="1"/>
    <col min="2740" max="2740" width="6.06640625" bestFit="1" customWidth="1"/>
    <col min="2741" max="2741" width="7.9296875" bestFit="1" customWidth="1"/>
    <col min="2742" max="2742" width="6.06640625" bestFit="1" customWidth="1"/>
    <col min="2743" max="2743" width="5" bestFit="1" customWidth="1"/>
    <col min="2744" max="2744" width="7" bestFit="1" customWidth="1"/>
    <col min="2745" max="2745" width="6.06640625" bestFit="1" customWidth="1"/>
    <col min="2746" max="2746" width="5" bestFit="1" customWidth="1"/>
    <col min="2747" max="2748" width="6.06640625" bestFit="1" customWidth="1"/>
    <col min="2749" max="2749" width="5" bestFit="1" customWidth="1"/>
    <col min="2750" max="2750" width="7" bestFit="1" customWidth="1"/>
    <col min="2751" max="2751" width="7.9296875" bestFit="1" customWidth="1"/>
    <col min="2752" max="2752" width="6.06640625" bestFit="1" customWidth="1"/>
    <col min="2753" max="2753" width="5" bestFit="1" customWidth="1"/>
    <col min="2754" max="2754" width="6.06640625" bestFit="1" customWidth="1"/>
    <col min="2755" max="2755" width="7.9296875" bestFit="1" customWidth="1"/>
    <col min="2756" max="2756" width="5" bestFit="1" customWidth="1"/>
    <col min="2757" max="2757" width="7.9296875" bestFit="1" customWidth="1"/>
    <col min="2758" max="2758" width="7" bestFit="1" customWidth="1"/>
    <col min="2759" max="2760" width="6.06640625" bestFit="1" customWidth="1"/>
    <col min="2761" max="2761" width="5" bestFit="1" customWidth="1"/>
    <col min="2762" max="2762" width="7.9296875" bestFit="1" customWidth="1"/>
    <col min="2763" max="2764" width="6.06640625" bestFit="1" customWidth="1"/>
    <col min="2765" max="2765" width="2.9296875" bestFit="1" customWidth="1"/>
    <col min="2766" max="2766" width="7" bestFit="1" customWidth="1"/>
    <col min="2767" max="2769" width="7.9296875" bestFit="1" customWidth="1"/>
    <col min="2770" max="2771" width="6.06640625" bestFit="1" customWidth="1"/>
    <col min="2772" max="2772" width="7.9296875" bestFit="1" customWidth="1"/>
    <col min="2773" max="2773" width="6.06640625" bestFit="1" customWidth="1"/>
    <col min="2774" max="2774" width="5" bestFit="1" customWidth="1"/>
    <col min="2775" max="2775" width="6.06640625" bestFit="1" customWidth="1"/>
    <col min="2776" max="2776" width="7.9296875" bestFit="1" customWidth="1"/>
    <col min="2777" max="2777" width="5" bestFit="1" customWidth="1"/>
    <col min="2778" max="2778" width="6.06640625" bestFit="1" customWidth="1"/>
    <col min="2779" max="2779" width="7.9296875" bestFit="1" customWidth="1"/>
    <col min="2780" max="2781" width="6.06640625" bestFit="1" customWidth="1"/>
    <col min="2782" max="2782" width="5" bestFit="1" customWidth="1"/>
    <col min="2783" max="2784" width="6.06640625" bestFit="1" customWidth="1"/>
    <col min="2785" max="2786" width="7.9296875" bestFit="1" customWidth="1"/>
    <col min="2787" max="2788" width="6.06640625" bestFit="1" customWidth="1"/>
    <col min="2789" max="2789" width="2.9296875" bestFit="1" customWidth="1"/>
    <col min="2790" max="2790" width="7.9296875" bestFit="1" customWidth="1"/>
    <col min="2791" max="2791" width="6.06640625" bestFit="1" customWidth="1"/>
    <col min="2792" max="2793" width="7.9296875" bestFit="1" customWidth="1"/>
    <col min="2794" max="2794" width="6.06640625" bestFit="1" customWidth="1"/>
    <col min="2795" max="2795" width="7.9296875" bestFit="1" customWidth="1"/>
    <col min="2796" max="2796" width="7" bestFit="1" customWidth="1"/>
    <col min="2797" max="2797" width="5" bestFit="1" customWidth="1"/>
    <col min="2798" max="2798" width="7.9296875" bestFit="1" customWidth="1"/>
    <col min="2799" max="2799" width="6.06640625" bestFit="1" customWidth="1"/>
    <col min="2800" max="2800" width="7.9296875" bestFit="1" customWidth="1"/>
    <col min="2801" max="2801" width="6.06640625" bestFit="1" customWidth="1"/>
    <col min="2802" max="2803" width="7.9296875" bestFit="1" customWidth="1"/>
    <col min="2804" max="2805" width="6.06640625" bestFit="1" customWidth="1"/>
    <col min="2806" max="2806" width="5" bestFit="1" customWidth="1"/>
    <col min="2807" max="2807" width="6.06640625" bestFit="1" customWidth="1"/>
    <col min="2808" max="2808" width="5" bestFit="1" customWidth="1"/>
    <col min="2809" max="2809" width="6.06640625" bestFit="1" customWidth="1"/>
    <col min="2810" max="2810" width="5" bestFit="1" customWidth="1"/>
    <col min="2811" max="2812" width="7.9296875" bestFit="1" customWidth="1"/>
    <col min="2813" max="2813" width="6.06640625" bestFit="1" customWidth="1"/>
    <col min="2814" max="2817" width="7.9296875" bestFit="1" customWidth="1"/>
    <col min="2818" max="2818" width="2.9296875" bestFit="1" customWidth="1"/>
    <col min="2819" max="2821" width="7.9296875" bestFit="1" customWidth="1"/>
    <col min="2822" max="2823" width="5" bestFit="1" customWidth="1"/>
    <col min="2824" max="2826" width="7.9296875" bestFit="1" customWidth="1"/>
    <col min="2827" max="2828" width="6.06640625" bestFit="1" customWidth="1"/>
    <col min="2829" max="2831" width="7.9296875" bestFit="1" customWidth="1"/>
    <col min="2832" max="2832" width="5" bestFit="1" customWidth="1"/>
    <col min="2833" max="2834" width="7.9296875" bestFit="1" customWidth="1"/>
    <col min="2835" max="2835" width="6.06640625" bestFit="1" customWidth="1"/>
    <col min="2836" max="2836" width="7.9296875" bestFit="1" customWidth="1"/>
    <col min="2837" max="2837" width="5" bestFit="1" customWidth="1"/>
    <col min="2838" max="2838" width="6.06640625" bestFit="1" customWidth="1"/>
    <col min="2839" max="2840" width="5" bestFit="1" customWidth="1"/>
    <col min="2841" max="2841" width="7.9296875" bestFit="1" customWidth="1"/>
    <col min="2842" max="2842" width="5" bestFit="1" customWidth="1"/>
    <col min="2843" max="2845" width="7.9296875" bestFit="1" customWidth="1"/>
    <col min="2846" max="2846" width="6.06640625" bestFit="1" customWidth="1"/>
    <col min="2847" max="2847" width="5" bestFit="1" customWidth="1"/>
    <col min="2848" max="2849" width="7.9296875" bestFit="1" customWidth="1"/>
    <col min="2850" max="2850" width="6.06640625" bestFit="1" customWidth="1"/>
    <col min="2851" max="2851" width="7.9296875" bestFit="1" customWidth="1"/>
    <col min="2852" max="2852" width="2.9296875" bestFit="1" customWidth="1"/>
    <col min="2853" max="2856" width="6.06640625" bestFit="1" customWidth="1"/>
    <col min="2857" max="2858" width="7.9296875" bestFit="1" customWidth="1"/>
    <col min="2859" max="2859" width="7" bestFit="1" customWidth="1"/>
    <col min="2860" max="2860" width="6.06640625" bestFit="1" customWidth="1"/>
    <col min="2861" max="2861" width="7.9296875" bestFit="1" customWidth="1"/>
    <col min="2862" max="2862" width="5" bestFit="1" customWidth="1"/>
    <col min="2863" max="2863" width="7.9296875" bestFit="1" customWidth="1"/>
    <col min="2864" max="2864" width="7" bestFit="1" customWidth="1"/>
    <col min="2865" max="2865" width="6.06640625" bestFit="1" customWidth="1"/>
    <col min="2866" max="2866" width="7.9296875" bestFit="1" customWidth="1"/>
    <col min="2867" max="2867" width="5" bestFit="1" customWidth="1"/>
    <col min="2868" max="2869" width="6.06640625" bestFit="1" customWidth="1"/>
    <col min="2870" max="2870" width="7.9296875" bestFit="1" customWidth="1"/>
    <col min="2871" max="2871" width="7" bestFit="1" customWidth="1"/>
    <col min="2872" max="2872" width="6.06640625" bestFit="1" customWidth="1"/>
    <col min="2873" max="2873" width="7.9296875" bestFit="1" customWidth="1"/>
    <col min="2874" max="2874" width="6.06640625" bestFit="1" customWidth="1"/>
    <col min="2875" max="2877" width="7.9296875" bestFit="1" customWidth="1"/>
    <col min="2878" max="2878" width="6.06640625" bestFit="1" customWidth="1"/>
    <col min="2879" max="2879" width="2.9296875" bestFit="1" customWidth="1"/>
    <col min="2880" max="2880" width="7.9296875" bestFit="1" customWidth="1"/>
    <col min="2881" max="2883" width="6.06640625" bestFit="1" customWidth="1"/>
    <col min="2884" max="2885" width="7.9296875" bestFit="1" customWidth="1"/>
    <col min="2886" max="2886" width="5" bestFit="1" customWidth="1"/>
    <col min="2887" max="2887" width="7.9296875" bestFit="1" customWidth="1"/>
    <col min="2888" max="2888" width="7" bestFit="1" customWidth="1"/>
    <col min="2889" max="2889" width="6.06640625" bestFit="1" customWidth="1"/>
    <col min="2890" max="2890" width="7.9296875" bestFit="1" customWidth="1"/>
    <col min="2891" max="2891" width="5" bestFit="1" customWidth="1"/>
    <col min="2892" max="2892" width="6.06640625" bestFit="1" customWidth="1"/>
    <col min="2893" max="2895" width="7.9296875" bestFit="1" customWidth="1"/>
    <col min="2896" max="2896" width="5" bestFit="1" customWidth="1"/>
    <col min="2897" max="2899" width="6.06640625" bestFit="1" customWidth="1"/>
    <col min="2900" max="2900" width="7.9296875" bestFit="1" customWidth="1"/>
    <col min="2901" max="2901" width="2.9296875" bestFit="1" customWidth="1"/>
    <col min="2902" max="2902" width="7.9296875" bestFit="1" customWidth="1"/>
    <col min="2903" max="2903" width="6.06640625" bestFit="1" customWidth="1"/>
    <col min="2904" max="2906" width="7.9296875" bestFit="1" customWidth="1"/>
    <col min="2907" max="2907" width="5" bestFit="1" customWidth="1"/>
    <col min="2908" max="2908" width="6.06640625" bestFit="1" customWidth="1"/>
    <col min="2909" max="2910" width="7.9296875" bestFit="1" customWidth="1"/>
    <col min="2911" max="2911" width="5" bestFit="1" customWidth="1"/>
    <col min="2912" max="2913" width="7.9296875" bestFit="1" customWidth="1"/>
    <col min="2914" max="2914" width="5" bestFit="1" customWidth="1"/>
    <col min="2915" max="2916" width="6.06640625" bestFit="1" customWidth="1"/>
    <col min="2917" max="2917" width="7.9296875" bestFit="1" customWidth="1"/>
    <col min="2918" max="2918" width="5" bestFit="1" customWidth="1"/>
    <col min="2919" max="2919" width="6.06640625" bestFit="1" customWidth="1"/>
    <col min="2920" max="2920" width="7.9296875" bestFit="1" customWidth="1"/>
    <col min="2921" max="2921" width="6.06640625" bestFit="1" customWidth="1"/>
    <col min="2922" max="2922" width="7.9296875" bestFit="1" customWidth="1"/>
    <col min="2923" max="2923" width="5" bestFit="1" customWidth="1"/>
    <col min="2924" max="2924" width="2.9296875" bestFit="1" customWidth="1"/>
    <col min="2925" max="2925" width="7.9296875" bestFit="1" customWidth="1"/>
    <col min="2926" max="2926" width="7" bestFit="1" customWidth="1"/>
    <col min="2927" max="2929" width="6.06640625" bestFit="1" customWidth="1"/>
    <col min="2930" max="2931" width="7.9296875" bestFit="1" customWidth="1"/>
    <col min="2932" max="2932" width="6.06640625" bestFit="1" customWidth="1"/>
    <col min="2933" max="2933" width="7" bestFit="1" customWidth="1"/>
    <col min="2934" max="2934" width="6.06640625" bestFit="1" customWidth="1"/>
    <col min="2935" max="2935" width="7.9296875" bestFit="1" customWidth="1"/>
    <col min="2936" max="2936" width="5" bestFit="1" customWidth="1"/>
    <col min="2937" max="2939" width="7.9296875" bestFit="1" customWidth="1"/>
    <col min="2940" max="2941" width="5" bestFit="1" customWidth="1"/>
    <col min="2942" max="2944" width="6.06640625" bestFit="1" customWidth="1"/>
    <col min="2945" max="2945" width="7.9296875" bestFit="1" customWidth="1"/>
    <col min="2946" max="2946" width="7" bestFit="1" customWidth="1"/>
    <col min="2947" max="2948" width="7.9296875" bestFit="1" customWidth="1"/>
    <col min="2949" max="2949" width="5" bestFit="1" customWidth="1"/>
    <col min="2950" max="2950" width="6.06640625" bestFit="1" customWidth="1"/>
    <col min="2951" max="2951" width="7.9296875" bestFit="1" customWidth="1"/>
    <col min="2952" max="2952" width="7" bestFit="1" customWidth="1"/>
    <col min="2953" max="2953" width="6.06640625" bestFit="1" customWidth="1"/>
    <col min="2954" max="2954" width="7.9296875" bestFit="1" customWidth="1"/>
    <col min="2955" max="2955" width="6.06640625" bestFit="1" customWidth="1"/>
    <col min="2956" max="2956" width="2.9296875" bestFit="1" customWidth="1"/>
    <col min="2957" max="2957" width="7.9296875" bestFit="1" customWidth="1"/>
    <col min="2958" max="2958" width="6.06640625" bestFit="1" customWidth="1"/>
    <col min="2959" max="2959" width="7.9296875" bestFit="1" customWidth="1"/>
    <col min="2960" max="2960" width="7" bestFit="1" customWidth="1"/>
    <col min="2961" max="2961" width="6.06640625" bestFit="1" customWidth="1"/>
    <col min="2962" max="2962" width="5" bestFit="1" customWidth="1"/>
    <col min="2963" max="2964" width="6.06640625" bestFit="1" customWidth="1"/>
    <col min="2965" max="2965" width="5" bestFit="1" customWidth="1"/>
    <col min="2966" max="2967" width="7.9296875" bestFit="1" customWidth="1"/>
    <col min="2968" max="2968" width="6.06640625" bestFit="1" customWidth="1"/>
    <col min="2969" max="2969" width="5" bestFit="1" customWidth="1"/>
    <col min="2970" max="2970" width="6.06640625" bestFit="1" customWidth="1"/>
    <col min="2971" max="2973" width="7.9296875" bestFit="1" customWidth="1"/>
    <col min="2974" max="2974" width="6.06640625" bestFit="1" customWidth="1"/>
    <col min="2975" max="2975" width="5" bestFit="1" customWidth="1"/>
    <col min="2976" max="2976" width="7.9296875" bestFit="1" customWidth="1"/>
    <col min="2977" max="2978" width="6.06640625" bestFit="1" customWidth="1"/>
    <col min="2979" max="2979" width="7.9296875" bestFit="1" customWidth="1"/>
    <col min="2980" max="2980" width="6.06640625" bestFit="1" customWidth="1"/>
    <col min="2981" max="2983" width="7.9296875" bestFit="1" customWidth="1"/>
    <col min="2984" max="2986" width="6.06640625" bestFit="1" customWidth="1"/>
    <col min="2987" max="2987" width="7.9296875" bestFit="1" customWidth="1"/>
    <col min="2988" max="2988" width="2.9296875" bestFit="1" customWidth="1"/>
    <col min="2989" max="2989" width="7.9296875" bestFit="1" customWidth="1"/>
    <col min="2990" max="2990" width="6.06640625" bestFit="1" customWidth="1"/>
    <col min="2991" max="2992" width="7.9296875" bestFit="1" customWidth="1"/>
    <col min="2993" max="2993" width="5" bestFit="1" customWidth="1"/>
    <col min="2994" max="2995" width="6.06640625" bestFit="1" customWidth="1"/>
    <col min="2996" max="2997" width="7.9296875" bestFit="1" customWidth="1"/>
    <col min="2998" max="2998" width="5" bestFit="1" customWidth="1"/>
    <col min="2999" max="3000" width="7.9296875" bestFit="1" customWidth="1"/>
    <col min="3001" max="3001" width="5" bestFit="1" customWidth="1"/>
    <col min="3002" max="3002" width="6.06640625" bestFit="1" customWidth="1"/>
    <col min="3003" max="3003" width="5" bestFit="1" customWidth="1"/>
    <col min="3004" max="3005" width="6.06640625" bestFit="1" customWidth="1"/>
    <col min="3006" max="3006" width="5" bestFit="1" customWidth="1"/>
    <col min="3007" max="3007" width="6.06640625" bestFit="1" customWidth="1"/>
    <col min="3008" max="3008" width="7" bestFit="1" customWidth="1"/>
    <col min="3009" max="3009" width="6.06640625" bestFit="1" customWidth="1"/>
    <col min="3010" max="3010" width="5" bestFit="1" customWidth="1"/>
    <col min="3011" max="3012" width="7.9296875" bestFit="1" customWidth="1"/>
    <col min="3013" max="3013" width="6.06640625" bestFit="1" customWidth="1"/>
    <col min="3014" max="3015" width="7.9296875" bestFit="1" customWidth="1"/>
    <col min="3016" max="3016" width="7" bestFit="1" customWidth="1"/>
    <col min="3017" max="3017" width="2.9296875" bestFit="1" customWidth="1"/>
    <col min="3018" max="3018" width="6.06640625" bestFit="1" customWidth="1"/>
    <col min="3019" max="3019" width="7" bestFit="1" customWidth="1"/>
    <col min="3020" max="3021" width="6.06640625" bestFit="1" customWidth="1"/>
    <col min="3022" max="3022" width="7.9296875" bestFit="1" customWidth="1"/>
    <col min="3023" max="3024" width="6.06640625" bestFit="1" customWidth="1"/>
    <col min="3025" max="3025" width="5" bestFit="1" customWidth="1"/>
    <col min="3026" max="3026" width="7.9296875" bestFit="1" customWidth="1"/>
    <col min="3027" max="3027" width="6.06640625" bestFit="1" customWidth="1"/>
    <col min="3028" max="3028" width="7.9296875" bestFit="1" customWidth="1"/>
    <col min="3029" max="3029" width="5" bestFit="1" customWidth="1"/>
    <col min="3030" max="3032" width="6.06640625" bestFit="1" customWidth="1"/>
    <col min="3033" max="3034" width="7.9296875" bestFit="1" customWidth="1"/>
    <col min="3035" max="3035" width="6.06640625" bestFit="1" customWidth="1"/>
    <col min="3036" max="3036" width="7" bestFit="1" customWidth="1"/>
    <col min="3037" max="3037" width="5" bestFit="1" customWidth="1"/>
    <col min="3038" max="3039" width="6.06640625" bestFit="1" customWidth="1"/>
    <col min="3040" max="3040" width="5" bestFit="1" customWidth="1"/>
    <col min="3041" max="3041" width="7.9296875" bestFit="1" customWidth="1"/>
    <col min="3042" max="3043" width="6.06640625" bestFit="1" customWidth="1"/>
    <col min="3044" max="3044" width="7.9296875" bestFit="1" customWidth="1"/>
    <col min="3045" max="3045" width="6.06640625" bestFit="1" customWidth="1"/>
    <col min="3046" max="3047" width="7.9296875" bestFit="1" customWidth="1"/>
    <col min="3048" max="3051" width="6.06640625" bestFit="1" customWidth="1"/>
    <col min="3052" max="3053" width="7.9296875" bestFit="1" customWidth="1"/>
    <col min="3054" max="3055" width="6.06640625" bestFit="1" customWidth="1"/>
    <col min="3056" max="3056" width="7.9296875" bestFit="1" customWidth="1"/>
    <col min="3057" max="3060" width="6.06640625" bestFit="1" customWidth="1"/>
    <col min="3061" max="3061" width="2.9296875" bestFit="1" customWidth="1"/>
    <col min="3062" max="3062" width="7" bestFit="1" customWidth="1"/>
    <col min="3063" max="3063" width="6.06640625" bestFit="1" customWidth="1"/>
    <col min="3064" max="3064" width="7.9296875" bestFit="1" customWidth="1"/>
    <col min="3065" max="3065" width="5" bestFit="1" customWidth="1"/>
    <col min="3066" max="3066" width="7.9296875" bestFit="1" customWidth="1"/>
    <col min="3067" max="3067" width="6.06640625" bestFit="1" customWidth="1"/>
    <col min="3068" max="3068" width="7.9296875" bestFit="1" customWidth="1"/>
    <col min="3069" max="3069" width="5" bestFit="1" customWidth="1"/>
    <col min="3070" max="3070" width="6.06640625" bestFit="1" customWidth="1"/>
    <col min="3071" max="3071" width="7.9296875" bestFit="1" customWidth="1"/>
    <col min="3072" max="3072" width="5" bestFit="1" customWidth="1"/>
    <col min="3073" max="3073" width="7" bestFit="1" customWidth="1"/>
    <col min="3074" max="3074" width="7.9296875" bestFit="1" customWidth="1"/>
    <col min="3075" max="3075" width="7" bestFit="1" customWidth="1"/>
    <col min="3076" max="3076" width="5" bestFit="1" customWidth="1"/>
    <col min="3077" max="3077" width="6.06640625" bestFit="1" customWidth="1"/>
    <col min="3078" max="3078" width="7.9296875" bestFit="1" customWidth="1"/>
    <col min="3079" max="3079" width="7" bestFit="1" customWidth="1"/>
    <col min="3080" max="3081" width="7.9296875" bestFit="1" customWidth="1"/>
    <col min="3082" max="3082" width="5" bestFit="1" customWidth="1"/>
    <col min="3083" max="3084" width="6.06640625" bestFit="1" customWidth="1"/>
    <col min="3085" max="3085" width="7" bestFit="1" customWidth="1"/>
    <col min="3086" max="3086" width="5" bestFit="1" customWidth="1"/>
    <col min="3087" max="3088" width="7.9296875" bestFit="1" customWidth="1"/>
    <col min="3089" max="3089" width="2.9296875" bestFit="1" customWidth="1"/>
    <col min="3090" max="3090" width="7.9296875" bestFit="1" customWidth="1"/>
    <col min="3091" max="3091" width="6.06640625" bestFit="1" customWidth="1"/>
    <col min="3092" max="3092" width="7.9296875" bestFit="1" customWidth="1"/>
    <col min="3093" max="3094" width="6.06640625" bestFit="1" customWidth="1"/>
    <col min="3095" max="3095" width="5" bestFit="1" customWidth="1"/>
    <col min="3096" max="3096" width="6.06640625" bestFit="1" customWidth="1"/>
    <col min="3097" max="3097" width="5" bestFit="1" customWidth="1"/>
    <col min="3098" max="3098" width="7.9296875" bestFit="1" customWidth="1"/>
    <col min="3099" max="3099" width="6.06640625" bestFit="1" customWidth="1"/>
    <col min="3100" max="3101" width="7.9296875" bestFit="1" customWidth="1"/>
    <col min="3102" max="3102" width="6.06640625" bestFit="1" customWidth="1"/>
    <col min="3103" max="3104" width="7.9296875" bestFit="1" customWidth="1"/>
    <col min="3105" max="3105" width="5" bestFit="1" customWidth="1"/>
    <col min="3106" max="3106" width="7.9296875" bestFit="1" customWidth="1"/>
    <col min="3107" max="3107" width="5" bestFit="1" customWidth="1"/>
    <col min="3108" max="3109" width="6.06640625" bestFit="1" customWidth="1"/>
    <col min="3110" max="3110" width="7.9296875" bestFit="1" customWidth="1"/>
    <col min="3111" max="3111" width="6.06640625" bestFit="1" customWidth="1"/>
    <col min="3112" max="3112" width="5" bestFit="1" customWidth="1"/>
    <col min="3113" max="3114" width="6.06640625" bestFit="1" customWidth="1"/>
    <col min="3115" max="3115" width="2.9296875" bestFit="1" customWidth="1"/>
    <col min="3116" max="3118" width="6.06640625" bestFit="1" customWidth="1"/>
    <col min="3119" max="3119" width="7.9296875" bestFit="1" customWidth="1"/>
    <col min="3120" max="3122" width="6.06640625" bestFit="1" customWidth="1"/>
    <col min="3123" max="3123" width="5" bestFit="1" customWidth="1"/>
    <col min="3124" max="3124" width="7.9296875" bestFit="1" customWidth="1"/>
    <col min="3125" max="3125" width="6.06640625" bestFit="1" customWidth="1"/>
    <col min="3126" max="3126" width="5" bestFit="1" customWidth="1"/>
    <col min="3127" max="3128" width="6.06640625" bestFit="1" customWidth="1"/>
    <col min="3129" max="3129" width="5" bestFit="1" customWidth="1"/>
    <col min="3130" max="3130" width="7.9296875" bestFit="1" customWidth="1"/>
    <col min="3131" max="3131" width="5" bestFit="1" customWidth="1"/>
    <col min="3132" max="3135" width="7.9296875" bestFit="1" customWidth="1"/>
    <col min="3136" max="3136" width="5" bestFit="1" customWidth="1"/>
    <col min="3137" max="3137" width="6.06640625" bestFit="1" customWidth="1"/>
    <col min="3138" max="3138" width="7.9296875" bestFit="1" customWidth="1"/>
    <col min="3139" max="3139" width="6.06640625" bestFit="1" customWidth="1"/>
    <col min="3140" max="3140" width="7.9296875" bestFit="1" customWidth="1"/>
    <col min="3141" max="3141" width="2.9296875" bestFit="1" customWidth="1"/>
    <col min="3142" max="3143" width="6.06640625" bestFit="1" customWidth="1"/>
    <col min="3144" max="3146" width="7.9296875" bestFit="1" customWidth="1"/>
    <col min="3147" max="3147" width="7" bestFit="1" customWidth="1"/>
    <col min="3148" max="3148" width="7.9296875" bestFit="1" customWidth="1"/>
    <col min="3149" max="3152" width="6.06640625" bestFit="1" customWidth="1"/>
    <col min="3153" max="3153" width="5" bestFit="1" customWidth="1"/>
    <col min="3154" max="3154" width="7.9296875" bestFit="1" customWidth="1"/>
    <col min="3155" max="3155" width="5" bestFit="1" customWidth="1"/>
    <col min="3156" max="3156" width="7.9296875" bestFit="1" customWidth="1"/>
    <col min="3157" max="3159" width="6.06640625" bestFit="1" customWidth="1"/>
    <col min="3160" max="3162" width="7.9296875" bestFit="1" customWidth="1"/>
    <col min="3163" max="3163" width="6.06640625" bestFit="1" customWidth="1"/>
    <col min="3164" max="3164" width="2.9296875" bestFit="1" customWidth="1"/>
    <col min="3165" max="3165" width="7.9296875" bestFit="1" customWidth="1"/>
    <col min="3166" max="3166" width="7" bestFit="1" customWidth="1"/>
    <col min="3167" max="3167" width="7.9296875" bestFit="1" customWidth="1"/>
    <col min="3168" max="3168" width="6.06640625" bestFit="1" customWidth="1"/>
    <col min="3169" max="3169" width="7" bestFit="1" customWidth="1"/>
    <col min="3170" max="3170" width="5" bestFit="1" customWidth="1"/>
    <col min="3171" max="3172" width="6.06640625" bestFit="1" customWidth="1"/>
    <col min="3173" max="3173" width="5" bestFit="1" customWidth="1"/>
    <col min="3174" max="3174" width="7.9296875" bestFit="1" customWidth="1"/>
    <col min="3175" max="3176" width="6.06640625" bestFit="1" customWidth="1"/>
    <col min="3177" max="3177" width="7.9296875" bestFit="1" customWidth="1"/>
    <col min="3178" max="3178" width="6.06640625" bestFit="1" customWidth="1"/>
    <col min="3179" max="3179" width="5" bestFit="1" customWidth="1"/>
    <col min="3180" max="3183" width="6.06640625" bestFit="1" customWidth="1"/>
    <col min="3184" max="3184" width="7" bestFit="1" customWidth="1"/>
    <col min="3185" max="3186" width="7.9296875" bestFit="1" customWidth="1"/>
    <col min="3187" max="3187" width="6.06640625" bestFit="1" customWidth="1"/>
    <col min="3188" max="3188" width="5" bestFit="1" customWidth="1"/>
    <col min="3189" max="3189" width="6.06640625" bestFit="1" customWidth="1"/>
    <col min="3190" max="3190" width="7.9296875" bestFit="1" customWidth="1"/>
    <col min="3191" max="3191" width="6.06640625" bestFit="1" customWidth="1"/>
    <col min="3192" max="3193" width="7.9296875" bestFit="1" customWidth="1"/>
    <col min="3194" max="3194" width="6.06640625" bestFit="1" customWidth="1"/>
    <col min="3195" max="3195" width="7.9296875" bestFit="1" customWidth="1"/>
    <col min="3196" max="3196" width="5" bestFit="1" customWidth="1"/>
    <col min="3197" max="3197" width="7" bestFit="1" customWidth="1"/>
    <col min="3198" max="3198" width="7.9296875" bestFit="1" customWidth="1"/>
    <col min="3199" max="3199" width="6.06640625" bestFit="1" customWidth="1"/>
    <col min="3200" max="3200" width="2.9296875" bestFit="1" customWidth="1"/>
    <col min="3201" max="3201" width="7" bestFit="1" customWidth="1"/>
    <col min="3202" max="3202" width="7.9296875" bestFit="1" customWidth="1"/>
    <col min="3203" max="3203" width="5" bestFit="1" customWidth="1"/>
    <col min="3204" max="3204" width="7.9296875" bestFit="1" customWidth="1"/>
    <col min="3205" max="3205" width="6.06640625" bestFit="1" customWidth="1"/>
    <col min="3206" max="3209" width="7.9296875" bestFit="1" customWidth="1"/>
    <col min="3210" max="3211" width="6.06640625" bestFit="1" customWidth="1"/>
    <col min="3212" max="3212" width="5" bestFit="1" customWidth="1"/>
    <col min="3213" max="3215" width="7.9296875" bestFit="1" customWidth="1"/>
    <col min="3216" max="3216" width="5" bestFit="1" customWidth="1"/>
    <col min="3217" max="3218" width="7.9296875" bestFit="1" customWidth="1"/>
    <col min="3219" max="3219" width="5" bestFit="1" customWidth="1"/>
    <col min="3220" max="3220" width="6.06640625" bestFit="1" customWidth="1"/>
    <col min="3221" max="3221" width="7.9296875" bestFit="1" customWidth="1"/>
    <col min="3222" max="3222" width="2.9296875" bestFit="1" customWidth="1"/>
    <col min="3223" max="3223" width="6.06640625" bestFit="1" customWidth="1"/>
    <col min="3224" max="3224" width="7.9296875" bestFit="1" customWidth="1"/>
    <col min="3225" max="3227" width="6.06640625" bestFit="1" customWidth="1"/>
    <col min="3228" max="3228" width="7.9296875" bestFit="1" customWidth="1"/>
    <col min="3229" max="3229" width="5" bestFit="1" customWidth="1"/>
    <col min="3230" max="3231" width="7.9296875" bestFit="1" customWidth="1"/>
    <col min="3232" max="3232" width="5" bestFit="1" customWidth="1"/>
    <col min="3233" max="3233" width="6.06640625" bestFit="1" customWidth="1"/>
    <col min="3234" max="3234" width="7" bestFit="1" customWidth="1"/>
    <col min="3235" max="3236" width="6.06640625" bestFit="1" customWidth="1"/>
    <col min="3237" max="3237" width="5" bestFit="1" customWidth="1"/>
    <col min="3238" max="3239" width="7.9296875" bestFit="1" customWidth="1"/>
    <col min="3240" max="3241" width="6.06640625" bestFit="1" customWidth="1"/>
    <col min="3242" max="3242" width="2.9296875" bestFit="1" customWidth="1"/>
    <col min="3243" max="3244" width="6.06640625" bestFit="1" customWidth="1"/>
    <col min="3245" max="3245" width="5" bestFit="1" customWidth="1"/>
    <col min="3246" max="3246" width="7" bestFit="1" customWidth="1"/>
    <col min="3247" max="3248" width="6.06640625" bestFit="1" customWidth="1"/>
    <col min="3249" max="3250" width="7.9296875" bestFit="1" customWidth="1"/>
    <col min="3251" max="3251" width="6.06640625" bestFit="1" customWidth="1"/>
    <col min="3252" max="3252" width="5" bestFit="1" customWidth="1"/>
    <col min="3253" max="3255" width="7.9296875" bestFit="1" customWidth="1"/>
    <col min="3256" max="3256" width="5" bestFit="1" customWidth="1"/>
    <col min="3257" max="3258" width="6.06640625" bestFit="1" customWidth="1"/>
    <col min="3259" max="3259" width="5" bestFit="1" customWidth="1"/>
    <col min="3260" max="3260" width="7.9296875" bestFit="1" customWidth="1"/>
    <col min="3261" max="3261" width="2.9296875" bestFit="1" customWidth="1"/>
    <col min="3262" max="3262" width="7.9296875" bestFit="1" customWidth="1"/>
    <col min="3263" max="3264" width="6.06640625" bestFit="1" customWidth="1"/>
    <col min="3265" max="3265" width="7.9296875" bestFit="1" customWidth="1"/>
    <col min="3266" max="3266" width="6.06640625" bestFit="1" customWidth="1"/>
    <col min="3267" max="3267" width="7.9296875" bestFit="1" customWidth="1"/>
    <col min="3268" max="3268" width="5" bestFit="1" customWidth="1"/>
    <col min="3269" max="3270" width="6.06640625" bestFit="1" customWidth="1"/>
    <col min="3271" max="3271" width="7.9296875" bestFit="1" customWidth="1"/>
    <col min="3272" max="3272" width="5" bestFit="1" customWidth="1"/>
    <col min="3273" max="3274" width="6.06640625" bestFit="1" customWidth="1"/>
    <col min="3275" max="3275" width="7.9296875" bestFit="1" customWidth="1"/>
    <col min="3276" max="3276" width="5" bestFit="1" customWidth="1"/>
    <col min="3277" max="3278" width="7.9296875" bestFit="1" customWidth="1"/>
    <col min="3279" max="3279" width="2.9296875" bestFit="1" customWidth="1"/>
    <col min="3280" max="3281" width="6.06640625" bestFit="1" customWidth="1"/>
    <col min="3282" max="3283" width="7.9296875" bestFit="1" customWidth="1"/>
    <col min="3284" max="3284" width="5" bestFit="1" customWidth="1"/>
    <col min="3285" max="3285" width="6.06640625" bestFit="1" customWidth="1"/>
    <col min="3286" max="3286" width="7.9296875" bestFit="1" customWidth="1"/>
    <col min="3287" max="3287" width="5" bestFit="1" customWidth="1"/>
    <col min="3288" max="3288" width="7" bestFit="1" customWidth="1"/>
    <col min="3289" max="3289" width="6.06640625" bestFit="1" customWidth="1"/>
    <col min="3290" max="3291" width="7.9296875" bestFit="1" customWidth="1"/>
    <col min="3292" max="3294" width="5" bestFit="1" customWidth="1"/>
    <col min="3295" max="3295" width="2.9296875" bestFit="1" customWidth="1"/>
    <col min="3296" max="3296" width="7.9296875" bestFit="1" customWidth="1"/>
    <col min="3297" max="3297" width="6.06640625" bestFit="1" customWidth="1"/>
    <col min="3298" max="3299" width="7.9296875" bestFit="1" customWidth="1"/>
    <col min="3300" max="3300" width="6.06640625" bestFit="1" customWidth="1"/>
    <col min="3301" max="3301" width="5" bestFit="1" customWidth="1"/>
    <col min="3302" max="3302" width="7.9296875" bestFit="1" customWidth="1"/>
    <col min="3303" max="3304" width="5" bestFit="1" customWidth="1"/>
    <col min="3305" max="3305" width="6.06640625" bestFit="1" customWidth="1"/>
    <col min="3306" max="3307" width="7.9296875" bestFit="1" customWidth="1"/>
    <col min="3308" max="3309" width="6.06640625" bestFit="1" customWidth="1"/>
    <col min="3310" max="3310" width="7.9296875" bestFit="1" customWidth="1"/>
    <col min="3311" max="3311" width="6.06640625" bestFit="1" customWidth="1"/>
    <col min="3312" max="3312" width="2.9296875" bestFit="1" customWidth="1"/>
    <col min="3313" max="3314" width="7" bestFit="1" customWidth="1"/>
    <col min="3315" max="3315" width="5" bestFit="1" customWidth="1"/>
    <col min="3316" max="3316" width="7.9296875" bestFit="1" customWidth="1"/>
    <col min="3317" max="3317" width="5" bestFit="1" customWidth="1"/>
    <col min="3318" max="3320" width="6.06640625" bestFit="1" customWidth="1"/>
    <col min="3321" max="3321" width="7.9296875" bestFit="1" customWidth="1"/>
    <col min="3322" max="3322" width="5" bestFit="1" customWidth="1"/>
    <col min="3323" max="3324" width="7.9296875" bestFit="1" customWidth="1"/>
    <col min="3325" max="3325" width="5" bestFit="1" customWidth="1"/>
    <col min="3326" max="3326" width="7" bestFit="1" customWidth="1"/>
    <col min="3327" max="3330" width="7.9296875" bestFit="1" customWidth="1"/>
    <col min="3331" max="3331" width="6.06640625" bestFit="1" customWidth="1"/>
    <col min="3332" max="3332" width="7" bestFit="1" customWidth="1"/>
    <col min="3333" max="3333" width="6.06640625" bestFit="1" customWidth="1"/>
    <col min="3334" max="3336" width="7.9296875" bestFit="1" customWidth="1"/>
    <col min="3337" max="3337" width="6.06640625" bestFit="1" customWidth="1"/>
    <col min="3338" max="3338" width="5" bestFit="1" customWidth="1"/>
    <col min="3339" max="3339" width="7" bestFit="1" customWidth="1"/>
    <col min="3340" max="3340" width="5" bestFit="1" customWidth="1"/>
    <col min="3341" max="3343" width="7.9296875" bestFit="1" customWidth="1"/>
    <col min="3344" max="3345" width="6.06640625" bestFit="1" customWidth="1"/>
    <col min="3346" max="3349" width="7.9296875" bestFit="1" customWidth="1"/>
    <col min="3350" max="3350" width="6.06640625" bestFit="1" customWidth="1"/>
    <col min="3351" max="3351" width="7.9296875" bestFit="1" customWidth="1"/>
    <col min="3352" max="3352" width="6.06640625" bestFit="1" customWidth="1"/>
    <col min="3353" max="3354" width="7.9296875" bestFit="1" customWidth="1"/>
    <col min="3355" max="3356" width="6.06640625" bestFit="1" customWidth="1"/>
    <col min="3357" max="3357" width="7" bestFit="1" customWidth="1"/>
    <col min="3358" max="3360" width="6.06640625" bestFit="1" customWidth="1"/>
    <col min="3361" max="3361" width="7.9296875" bestFit="1" customWidth="1"/>
    <col min="3362" max="3362" width="6.06640625" bestFit="1" customWidth="1"/>
    <col min="3363" max="3363" width="7" bestFit="1" customWidth="1"/>
    <col min="3364" max="3364" width="5" bestFit="1" customWidth="1"/>
    <col min="3365" max="3365" width="7.9296875" bestFit="1" customWidth="1"/>
    <col min="3366" max="3366" width="6.06640625" bestFit="1" customWidth="1"/>
    <col min="3367" max="3367" width="7.9296875" bestFit="1" customWidth="1"/>
    <col min="3368" max="3370" width="6.06640625" bestFit="1" customWidth="1"/>
    <col min="3371" max="3371" width="7" bestFit="1" customWidth="1"/>
    <col min="3372" max="3373" width="7.9296875" bestFit="1" customWidth="1"/>
    <col min="3374" max="3374" width="7" bestFit="1" customWidth="1"/>
    <col min="3375" max="3375" width="2.9296875" bestFit="1" customWidth="1"/>
    <col min="3376" max="3376" width="6.06640625" bestFit="1" customWidth="1"/>
    <col min="3377" max="3379" width="7.9296875" bestFit="1" customWidth="1"/>
    <col min="3380" max="3381" width="6.06640625" bestFit="1" customWidth="1"/>
    <col min="3382" max="3382" width="7.9296875" bestFit="1" customWidth="1"/>
    <col min="3383" max="3383" width="6.06640625" bestFit="1" customWidth="1"/>
    <col min="3384" max="3384" width="7.9296875" bestFit="1" customWidth="1"/>
    <col min="3385" max="3385" width="6.06640625" bestFit="1" customWidth="1"/>
    <col min="3386" max="3386" width="5" bestFit="1" customWidth="1"/>
    <col min="3387" max="3388" width="6.06640625" bestFit="1" customWidth="1"/>
    <col min="3389" max="3389" width="7" bestFit="1" customWidth="1"/>
    <col min="3390" max="3390" width="7.9296875" bestFit="1" customWidth="1"/>
    <col min="3391" max="3391" width="5" bestFit="1" customWidth="1"/>
    <col min="3392" max="3393" width="7.9296875" bestFit="1" customWidth="1"/>
    <col min="3394" max="3394" width="6.06640625" bestFit="1" customWidth="1"/>
    <col min="3395" max="3395" width="7.9296875" bestFit="1" customWidth="1"/>
    <col min="3396" max="3396" width="6.06640625" bestFit="1" customWidth="1"/>
    <col min="3397" max="3397" width="7.9296875" bestFit="1" customWidth="1"/>
    <col min="3398" max="3398" width="7" bestFit="1" customWidth="1"/>
    <col min="3399" max="3399" width="6.06640625" bestFit="1" customWidth="1"/>
    <col min="3400" max="3400" width="5" bestFit="1" customWidth="1"/>
    <col min="3401" max="3402" width="7.9296875" bestFit="1" customWidth="1"/>
    <col min="3403" max="3403" width="7" bestFit="1" customWidth="1"/>
    <col min="3404" max="3404" width="7.9296875" bestFit="1" customWidth="1"/>
    <col min="3405" max="3405" width="6.06640625" bestFit="1" customWidth="1"/>
    <col min="3406" max="3406" width="7.9296875" bestFit="1" customWidth="1"/>
    <col min="3407" max="3407" width="6.06640625" bestFit="1" customWidth="1"/>
    <col min="3408" max="3408" width="7.9296875" bestFit="1" customWidth="1"/>
    <col min="3409" max="3409" width="6.06640625" bestFit="1" customWidth="1"/>
    <col min="3410" max="3410" width="2.9296875" bestFit="1" customWidth="1"/>
    <col min="3411" max="3411" width="6.06640625" bestFit="1" customWidth="1"/>
    <col min="3412" max="3412" width="5" bestFit="1" customWidth="1"/>
    <col min="3413" max="3413" width="7" bestFit="1" customWidth="1"/>
    <col min="3414" max="3415" width="7.9296875" bestFit="1" customWidth="1"/>
    <col min="3416" max="3416" width="6.06640625" bestFit="1" customWidth="1"/>
    <col min="3417" max="3417" width="7.9296875" bestFit="1" customWidth="1"/>
    <col min="3418" max="3419" width="6.06640625" bestFit="1" customWidth="1"/>
    <col min="3420" max="3420" width="7.9296875" bestFit="1" customWidth="1"/>
    <col min="3421" max="3421" width="5" bestFit="1" customWidth="1"/>
    <col min="3422" max="3423" width="6.06640625" bestFit="1" customWidth="1"/>
    <col min="3424" max="3425" width="7.9296875" bestFit="1" customWidth="1"/>
    <col min="3426" max="3426" width="2.9296875" bestFit="1" customWidth="1"/>
    <col min="3427" max="3428" width="7.9296875" bestFit="1" customWidth="1"/>
    <col min="3429" max="3429" width="5" bestFit="1" customWidth="1"/>
    <col min="3430" max="3431" width="7.9296875" bestFit="1" customWidth="1"/>
    <col min="3432" max="3432" width="6.06640625" bestFit="1" customWidth="1"/>
    <col min="3433" max="3433" width="7.9296875" bestFit="1" customWidth="1"/>
    <col min="3434" max="3434" width="6.06640625" bestFit="1" customWidth="1"/>
    <col min="3435" max="3435" width="5" bestFit="1" customWidth="1"/>
    <col min="3436" max="3436" width="6.06640625" bestFit="1" customWidth="1"/>
    <col min="3437" max="3438" width="7.9296875" bestFit="1" customWidth="1"/>
    <col min="3439" max="3439" width="6.06640625" bestFit="1" customWidth="1"/>
    <col min="3440" max="3440" width="7.9296875" bestFit="1" customWidth="1"/>
    <col min="3441" max="3441" width="6.06640625" bestFit="1" customWidth="1"/>
    <col min="3442" max="3442" width="5" bestFit="1" customWidth="1"/>
    <col min="3443" max="3443" width="7.9296875" bestFit="1" customWidth="1"/>
    <col min="3444" max="3444" width="6.06640625" bestFit="1" customWidth="1"/>
    <col min="3445" max="3445" width="7.9296875" bestFit="1" customWidth="1"/>
    <col min="3446" max="3446" width="6.06640625" bestFit="1" customWidth="1"/>
    <col min="3447" max="3447" width="7.9296875" bestFit="1" customWidth="1"/>
    <col min="3448" max="3449" width="6.06640625" bestFit="1" customWidth="1"/>
    <col min="3450" max="3450" width="5" bestFit="1" customWidth="1"/>
    <col min="3451" max="3451" width="7.9296875" bestFit="1" customWidth="1"/>
    <col min="3452" max="3452" width="5" bestFit="1" customWidth="1"/>
    <col min="3453" max="3453" width="7.9296875" bestFit="1" customWidth="1"/>
    <col min="3454" max="3454" width="6.06640625" bestFit="1" customWidth="1"/>
    <col min="3455" max="3456" width="7.9296875" bestFit="1" customWidth="1"/>
    <col min="3457" max="3457" width="6.06640625" bestFit="1" customWidth="1"/>
    <col min="3458" max="3458" width="7.9296875" bestFit="1" customWidth="1"/>
    <col min="3459" max="3460" width="6.06640625" bestFit="1" customWidth="1"/>
    <col min="3461" max="3461" width="7.9296875" bestFit="1" customWidth="1"/>
    <col min="3462" max="3463" width="6.06640625" bestFit="1" customWidth="1"/>
    <col min="3464" max="3464" width="7.9296875" bestFit="1" customWidth="1"/>
    <col min="3465" max="3465" width="2.9296875" bestFit="1" customWidth="1"/>
    <col min="3466" max="3467" width="7.9296875" bestFit="1" customWidth="1"/>
    <col min="3468" max="3468" width="5" bestFit="1" customWidth="1"/>
    <col min="3469" max="3470" width="6.06640625" bestFit="1" customWidth="1"/>
    <col min="3471" max="3472" width="7.9296875" bestFit="1" customWidth="1"/>
    <col min="3473" max="3473" width="6.06640625" bestFit="1" customWidth="1"/>
    <col min="3474" max="3474" width="7.9296875" bestFit="1" customWidth="1"/>
    <col min="3475" max="3475" width="5" bestFit="1" customWidth="1"/>
    <col min="3476" max="3479" width="7.9296875" bestFit="1" customWidth="1"/>
    <col min="3480" max="3481" width="6.06640625" bestFit="1" customWidth="1"/>
    <col min="3482" max="3482" width="7.9296875" bestFit="1" customWidth="1"/>
    <col min="3483" max="3483" width="5" bestFit="1" customWidth="1"/>
    <col min="3484" max="3484" width="6.06640625" bestFit="1" customWidth="1"/>
    <col min="3485" max="3486" width="7.9296875" bestFit="1" customWidth="1"/>
    <col min="3487" max="3487" width="5" bestFit="1" customWidth="1"/>
    <col min="3488" max="3488" width="7.9296875" bestFit="1" customWidth="1"/>
    <col min="3489" max="3489" width="6.06640625" bestFit="1" customWidth="1"/>
    <col min="3490" max="3490" width="2.9296875" bestFit="1" customWidth="1"/>
    <col min="3491" max="3491" width="6.06640625" bestFit="1" customWidth="1"/>
    <col min="3492" max="3492" width="5" bestFit="1" customWidth="1"/>
    <col min="3493" max="3493" width="7.9296875" bestFit="1" customWidth="1"/>
    <col min="3494" max="3494" width="5" bestFit="1" customWidth="1"/>
    <col min="3495" max="3496" width="7.9296875" bestFit="1" customWidth="1"/>
    <col min="3497" max="3497" width="6.06640625" bestFit="1" customWidth="1"/>
    <col min="3498" max="3498" width="7.9296875" bestFit="1" customWidth="1"/>
    <col min="3499" max="3499" width="5" bestFit="1" customWidth="1"/>
    <col min="3500" max="3500" width="6.06640625" bestFit="1" customWidth="1"/>
    <col min="3501" max="3501" width="7.9296875" bestFit="1" customWidth="1"/>
    <col min="3502" max="3502" width="5" bestFit="1" customWidth="1"/>
    <col min="3503" max="3503" width="6.06640625" bestFit="1" customWidth="1"/>
    <col min="3504" max="3504" width="7" bestFit="1" customWidth="1"/>
    <col min="3505" max="3505" width="6.06640625" bestFit="1" customWidth="1"/>
    <col min="3506" max="3506" width="5" bestFit="1" customWidth="1"/>
    <col min="3507" max="3507" width="7" bestFit="1" customWidth="1"/>
    <col min="3508" max="3508" width="2.9296875" bestFit="1" customWidth="1"/>
    <col min="3509" max="3509" width="7.9296875" bestFit="1" customWidth="1"/>
    <col min="3510" max="3510" width="6.06640625" bestFit="1" customWidth="1"/>
    <col min="3511" max="3511" width="5" bestFit="1" customWidth="1"/>
    <col min="3512" max="3514" width="6.06640625" bestFit="1" customWidth="1"/>
    <col min="3515" max="3516" width="5" bestFit="1" customWidth="1"/>
    <col min="3517" max="3517" width="6.06640625" bestFit="1" customWidth="1"/>
    <col min="3518" max="3518" width="5" bestFit="1" customWidth="1"/>
    <col min="3519" max="3519" width="7" bestFit="1" customWidth="1"/>
    <col min="3520" max="3521" width="6.06640625" bestFit="1" customWidth="1"/>
    <col min="3522" max="3522" width="7" bestFit="1" customWidth="1"/>
    <col min="3523" max="3526" width="6.06640625" bestFit="1" customWidth="1"/>
    <col min="3527" max="3527" width="5" bestFit="1" customWidth="1"/>
    <col min="3528" max="3528" width="7.9296875" bestFit="1" customWidth="1"/>
    <col min="3529" max="3529" width="2.9296875" bestFit="1" customWidth="1"/>
    <col min="3530" max="3530" width="6.06640625" bestFit="1" customWidth="1"/>
    <col min="3531" max="3532" width="7.9296875" bestFit="1" customWidth="1"/>
    <col min="3533" max="3533" width="6.06640625" bestFit="1" customWidth="1"/>
    <col min="3534" max="3534" width="7" bestFit="1" customWidth="1"/>
    <col min="3535" max="3535" width="7.9296875" bestFit="1" customWidth="1"/>
    <col min="3536" max="3536" width="5" bestFit="1" customWidth="1"/>
    <col min="3537" max="3537" width="6.06640625" bestFit="1" customWidth="1"/>
    <col min="3538" max="3538" width="7.9296875" bestFit="1" customWidth="1"/>
    <col min="3539" max="3541" width="6.06640625" bestFit="1" customWidth="1"/>
    <col min="3542" max="3542" width="5" bestFit="1" customWidth="1"/>
    <col min="3543" max="3543" width="6.06640625" bestFit="1" customWidth="1"/>
    <col min="3544" max="3544" width="7.9296875" bestFit="1" customWidth="1"/>
    <col min="3545" max="3546" width="6.06640625" bestFit="1" customWidth="1"/>
    <col min="3547" max="3547" width="7.9296875" bestFit="1" customWidth="1"/>
    <col min="3548" max="3548" width="5" bestFit="1" customWidth="1"/>
    <col min="3549" max="3549" width="2.9296875" bestFit="1" customWidth="1"/>
    <col min="3550" max="3550" width="6.06640625" bestFit="1" customWidth="1"/>
    <col min="3551" max="3551" width="7.9296875" bestFit="1" customWidth="1"/>
    <col min="3552" max="3552" width="5" bestFit="1" customWidth="1"/>
    <col min="3553" max="3554" width="7.9296875" bestFit="1" customWidth="1"/>
    <col min="3555" max="3555" width="5" bestFit="1" customWidth="1"/>
    <col min="3556" max="3556" width="6.06640625" bestFit="1" customWidth="1"/>
    <col min="3557" max="3558" width="7.9296875" bestFit="1" customWidth="1"/>
    <col min="3559" max="3560" width="5" bestFit="1" customWidth="1"/>
    <col min="3561" max="3561" width="7.9296875" bestFit="1" customWidth="1"/>
    <col min="3562" max="3562" width="5" bestFit="1" customWidth="1"/>
    <col min="3563" max="3565" width="7.9296875" bestFit="1" customWidth="1"/>
    <col min="3566" max="3567" width="6.06640625" bestFit="1" customWidth="1"/>
    <col min="3568" max="3569" width="7.9296875" bestFit="1" customWidth="1"/>
    <col min="3570" max="3570" width="6.06640625" bestFit="1" customWidth="1"/>
    <col min="3571" max="3571" width="2.9296875" bestFit="1" customWidth="1"/>
    <col min="3572" max="3572" width="7.9296875" bestFit="1" customWidth="1"/>
    <col min="3573" max="3573" width="6.06640625" bestFit="1" customWidth="1"/>
    <col min="3574" max="3574" width="5" bestFit="1" customWidth="1"/>
    <col min="3575" max="3575" width="7" bestFit="1" customWidth="1"/>
    <col min="3576" max="3577" width="5" bestFit="1" customWidth="1"/>
    <col min="3578" max="3578" width="7" bestFit="1" customWidth="1"/>
    <col min="3579" max="3579" width="6.06640625" bestFit="1" customWidth="1"/>
    <col min="3580" max="3580" width="7.9296875" bestFit="1" customWidth="1"/>
    <col min="3581" max="3581" width="6.06640625" bestFit="1" customWidth="1"/>
    <col min="3582" max="3582" width="7.9296875" bestFit="1" customWidth="1"/>
    <col min="3583" max="3583" width="2.9296875" bestFit="1" customWidth="1"/>
    <col min="3584" max="3584" width="6.06640625" bestFit="1" customWidth="1"/>
    <col min="3585" max="3585" width="7" bestFit="1" customWidth="1"/>
    <col min="3586" max="3587" width="6.06640625" bestFit="1" customWidth="1"/>
    <col min="3588" max="3588" width="7" bestFit="1" customWidth="1"/>
    <col min="3589" max="3589" width="5" bestFit="1" customWidth="1"/>
    <col min="3590" max="3591" width="7.9296875" bestFit="1" customWidth="1"/>
    <col min="3592" max="3592" width="5" bestFit="1" customWidth="1"/>
    <col min="3593" max="3593" width="2.9296875" bestFit="1" customWidth="1"/>
    <col min="3594" max="3595" width="6.06640625" bestFit="1" customWidth="1"/>
    <col min="3596" max="3596" width="7.9296875" bestFit="1" customWidth="1"/>
    <col min="3597" max="3597" width="6.06640625" bestFit="1" customWidth="1"/>
    <col min="3598" max="3598" width="7.9296875" bestFit="1" customWidth="1"/>
    <col min="3599" max="3599" width="6.06640625" bestFit="1" customWidth="1"/>
    <col min="3600" max="3600" width="7.9296875" bestFit="1" customWidth="1"/>
    <col min="3601" max="3601" width="6.06640625" bestFit="1" customWidth="1"/>
    <col min="3602" max="3602" width="7.9296875" bestFit="1" customWidth="1"/>
    <col min="3603" max="3603" width="6.06640625" bestFit="1" customWidth="1"/>
    <col min="3604" max="3606" width="7.9296875" bestFit="1" customWidth="1"/>
    <col min="3607" max="3607" width="7" bestFit="1" customWidth="1"/>
    <col min="3608" max="3608" width="4" bestFit="1" customWidth="1"/>
    <col min="3609" max="3610" width="9" bestFit="1" customWidth="1"/>
    <col min="3611" max="3611" width="7.9296875" bestFit="1" customWidth="1"/>
    <col min="3612" max="3613" width="7" bestFit="1" customWidth="1"/>
    <col min="3614" max="3614" width="6.06640625" bestFit="1" customWidth="1"/>
    <col min="3615" max="3616" width="7" bestFit="1" customWidth="1"/>
    <col min="3617" max="3617" width="9" bestFit="1" customWidth="1"/>
    <col min="3618" max="3618" width="7.9296875" bestFit="1" customWidth="1"/>
    <col min="3619" max="3619" width="9" bestFit="1" customWidth="1"/>
    <col min="3620" max="3620" width="6.06640625" bestFit="1" customWidth="1"/>
    <col min="3621" max="3621" width="7.9296875" bestFit="1" customWidth="1"/>
    <col min="3622" max="3622" width="7" bestFit="1" customWidth="1"/>
    <col min="3623" max="3623" width="9" bestFit="1" customWidth="1"/>
    <col min="3624" max="3624" width="7" bestFit="1" customWidth="1"/>
    <col min="3625" max="3625" width="6.06640625" bestFit="1" customWidth="1"/>
    <col min="3626" max="3626" width="9" bestFit="1" customWidth="1"/>
    <col min="3627" max="3629" width="7" bestFit="1" customWidth="1"/>
    <col min="3630" max="3630" width="9" bestFit="1" customWidth="1"/>
    <col min="3631" max="3631" width="7" bestFit="1" customWidth="1"/>
    <col min="3632" max="3632" width="7.9296875" bestFit="1" customWidth="1"/>
    <col min="3633" max="3633" width="9" bestFit="1" customWidth="1"/>
    <col min="3634" max="3634" width="6.06640625" bestFit="1" customWidth="1"/>
    <col min="3635" max="3636" width="7" bestFit="1" customWidth="1"/>
    <col min="3637" max="3638" width="9" bestFit="1" customWidth="1"/>
    <col min="3639" max="3639" width="7" bestFit="1" customWidth="1"/>
    <col min="3640" max="3640" width="4" bestFit="1" customWidth="1"/>
    <col min="3641" max="3641" width="7" bestFit="1" customWidth="1"/>
    <col min="3642" max="3642" width="7.9296875" bestFit="1" customWidth="1"/>
    <col min="3643" max="3643" width="9" bestFit="1" customWidth="1"/>
    <col min="3644" max="3646" width="7" bestFit="1" customWidth="1"/>
    <col min="3647" max="3647" width="6.06640625" bestFit="1" customWidth="1"/>
    <col min="3648" max="3648" width="9" bestFit="1" customWidth="1"/>
    <col min="3649" max="3649" width="7" bestFit="1" customWidth="1"/>
    <col min="3650" max="3651" width="9" bestFit="1" customWidth="1"/>
    <col min="3652" max="3652" width="6.06640625" bestFit="1" customWidth="1"/>
    <col min="3653" max="3653" width="7" bestFit="1" customWidth="1"/>
    <col min="3654" max="3654" width="6.06640625" bestFit="1" customWidth="1"/>
    <col min="3655" max="3656" width="9" bestFit="1" customWidth="1"/>
    <col min="3657" max="3657" width="7" bestFit="1" customWidth="1"/>
    <col min="3658" max="3658" width="4" bestFit="1" customWidth="1"/>
    <col min="3659" max="3660" width="7" bestFit="1" customWidth="1"/>
    <col min="3661" max="3661" width="9" bestFit="1" customWidth="1"/>
    <col min="3662" max="3662" width="6.06640625" bestFit="1" customWidth="1"/>
    <col min="3663" max="3663" width="7" bestFit="1" customWidth="1"/>
    <col min="3664" max="3664" width="7.9296875" bestFit="1" customWidth="1"/>
    <col min="3665" max="3665" width="6.06640625" bestFit="1" customWidth="1"/>
    <col min="3666" max="3666" width="9" bestFit="1" customWidth="1"/>
    <col min="3667" max="3668" width="7" bestFit="1" customWidth="1"/>
    <col min="3669" max="3669" width="9" bestFit="1" customWidth="1"/>
    <col min="3670" max="3670" width="7" bestFit="1" customWidth="1"/>
    <col min="3671" max="3673" width="9" bestFit="1" customWidth="1"/>
    <col min="3674" max="3674" width="4" bestFit="1" customWidth="1"/>
    <col min="3675" max="3677" width="7" bestFit="1" customWidth="1"/>
    <col min="3678" max="3678" width="9" bestFit="1" customWidth="1"/>
    <col min="3679" max="3679" width="7" bestFit="1" customWidth="1"/>
    <col min="3680" max="3680" width="6.06640625" bestFit="1" customWidth="1"/>
    <col min="3681" max="3681" width="9" bestFit="1" customWidth="1"/>
    <col min="3682" max="3682" width="6.06640625" bestFit="1" customWidth="1"/>
    <col min="3683" max="3683" width="9" bestFit="1" customWidth="1"/>
    <col min="3684" max="3685" width="7" bestFit="1" customWidth="1"/>
    <col min="3686" max="3686" width="9" bestFit="1" customWidth="1"/>
    <col min="3687" max="3688" width="7" bestFit="1" customWidth="1"/>
    <col min="3689" max="3690" width="9" bestFit="1" customWidth="1"/>
    <col min="3691" max="3691" width="4" bestFit="1" customWidth="1"/>
    <col min="3692" max="3692" width="9" bestFit="1" customWidth="1"/>
    <col min="3693" max="3693" width="7" bestFit="1" customWidth="1"/>
    <col min="3694" max="3694" width="6.06640625" bestFit="1" customWidth="1"/>
    <col min="3695" max="3695" width="9" bestFit="1" customWidth="1"/>
    <col min="3696" max="3696" width="7" bestFit="1" customWidth="1"/>
    <col min="3697" max="3697" width="6.06640625" bestFit="1" customWidth="1"/>
    <col min="3698" max="3701" width="9" bestFit="1" customWidth="1"/>
    <col min="3702" max="3703" width="6.06640625" bestFit="1" customWidth="1"/>
    <col min="3704" max="3704" width="4" bestFit="1" customWidth="1"/>
    <col min="3705" max="3705" width="6.06640625" bestFit="1" customWidth="1"/>
    <col min="3706" max="3707" width="9" bestFit="1" customWidth="1"/>
    <col min="3708" max="3708" width="7" bestFit="1" customWidth="1"/>
    <col min="3709" max="3709" width="9" bestFit="1" customWidth="1"/>
    <col min="3710" max="3710" width="7" bestFit="1" customWidth="1"/>
    <col min="3711" max="3712" width="9" bestFit="1" customWidth="1"/>
    <col min="3713" max="3713" width="7" bestFit="1" customWidth="1"/>
    <col min="3714" max="3714" width="4" bestFit="1" customWidth="1"/>
    <col min="3715" max="3715" width="6.06640625" bestFit="1" customWidth="1"/>
    <col min="3716" max="3718" width="7" bestFit="1" customWidth="1"/>
    <col min="3719" max="3719" width="9" bestFit="1" customWidth="1"/>
    <col min="3720" max="3720" width="7" bestFit="1" customWidth="1"/>
    <col min="3721" max="3721" width="6.06640625" bestFit="1" customWidth="1"/>
    <col min="3722" max="3723" width="9" bestFit="1" customWidth="1"/>
    <col min="3724" max="3725" width="7" bestFit="1" customWidth="1"/>
    <col min="3726" max="3726" width="9" bestFit="1" customWidth="1"/>
    <col min="3727" max="3727" width="4" bestFit="1" customWidth="1"/>
    <col min="3728" max="3729" width="7" bestFit="1" customWidth="1"/>
    <col min="3730" max="3730" width="6.06640625" bestFit="1" customWidth="1"/>
    <col min="3731" max="3731" width="9" bestFit="1" customWidth="1"/>
    <col min="3732" max="3732" width="7" bestFit="1" customWidth="1"/>
    <col min="3733" max="3733" width="9" bestFit="1" customWidth="1"/>
    <col min="3734" max="3735" width="6.06640625" bestFit="1" customWidth="1"/>
    <col min="3736" max="3736" width="9" bestFit="1" customWidth="1"/>
    <col min="3737" max="3737" width="7" bestFit="1" customWidth="1"/>
    <col min="3738" max="3738" width="7.9296875" bestFit="1" customWidth="1"/>
    <col min="3739" max="3740" width="7" bestFit="1" customWidth="1"/>
    <col min="3741" max="3741" width="9" bestFit="1" customWidth="1"/>
    <col min="3742" max="3742" width="7" bestFit="1" customWidth="1"/>
    <col min="3743" max="3744" width="9" bestFit="1" customWidth="1"/>
    <col min="3745" max="3746" width="7" bestFit="1" customWidth="1"/>
    <col min="3747" max="3748" width="9" bestFit="1" customWidth="1"/>
    <col min="3749" max="3749" width="7.9296875" bestFit="1" customWidth="1"/>
    <col min="3750" max="3750" width="6.06640625" bestFit="1" customWidth="1"/>
    <col min="3751" max="3751" width="4" bestFit="1" customWidth="1"/>
    <col min="3752" max="3753" width="9" bestFit="1" customWidth="1"/>
    <col min="3754" max="3754" width="7" bestFit="1" customWidth="1"/>
    <col min="3755" max="3755" width="9" bestFit="1" customWidth="1"/>
    <col min="3756" max="3756" width="6.06640625" bestFit="1" customWidth="1"/>
    <col min="3757" max="3757" width="9" bestFit="1" customWidth="1"/>
    <col min="3758" max="3758" width="7" bestFit="1" customWidth="1"/>
    <col min="3759" max="3759" width="9" bestFit="1" customWidth="1"/>
    <col min="3760" max="3760" width="6.06640625" bestFit="1" customWidth="1"/>
    <col min="3761" max="3762" width="7" bestFit="1" customWidth="1"/>
    <col min="3763" max="3763" width="9" bestFit="1" customWidth="1"/>
    <col min="3764" max="3765" width="6.06640625" bestFit="1" customWidth="1"/>
    <col min="3766" max="3767" width="9" bestFit="1" customWidth="1"/>
    <col min="3768" max="3768" width="7" bestFit="1" customWidth="1"/>
    <col min="3769" max="3769" width="4" bestFit="1" customWidth="1"/>
    <col min="3770" max="3770" width="9" bestFit="1" customWidth="1"/>
    <col min="3771" max="3771" width="6.06640625" bestFit="1" customWidth="1"/>
    <col min="3772" max="3773" width="7" bestFit="1" customWidth="1"/>
    <col min="3774" max="3775" width="9" bestFit="1" customWidth="1"/>
    <col min="3776" max="3778" width="6.06640625" bestFit="1" customWidth="1"/>
    <col min="3779" max="3779" width="9" bestFit="1" customWidth="1"/>
    <col min="3780" max="3780" width="7" bestFit="1" customWidth="1"/>
    <col min="3781" max="3781" width="9" bestFit="1" customWidth="1"/>
    <col min="3782" max="3782" width="7" bestFit="1" customWidth="1"/>
    <col min="3783" max="3783" width="4" bestFit="1" customWidth="1"/>
    <col min="3784" max="3784" width="7" bestFit="1" customWidth="1"/>
    <col min="3785" max="3785" width="6.06640625" bestFit="1" customWidth="1"/>
    <col min="3786" max="3786" width="7" bestFit="1" customWidth="1"/>
    <col min="3787" max="3787" width="9" bestFit="1" customWidth="1"/>
    <col min="3788" max="3789" width="7.9296875" bestFit="1" customWidth="1"/>
    <col min="3790" max="3792" width="9" bestFit="1" customWidth="1"/>
    <col min="3793" max="3793" width="7" bestFit="1" customWidth="1"/>
    <col min="3794" max="3805" width="9" bestFit="1" customWidth="1"/>
    <col min="3806" max="3806" width="6.06640625" bestFit="1" customWidth="1"/>
    <col min="3807" max="3807" width="9" bestFit="1" customWidth="1"/>
    <col min="3808" max="3809" width="7.9296875" bestFit="1" customWidth="1"/>
    <col min="3810" max="3810" width="4" bestFit="1" customWidth="1"/>
    <col min="3811" max="3811" width="7.9296875" bestFit="1" customWidth="1"/>
    <col min="3812" max="3812" width="7" bestFit="1" customWidth="1"/>
    <col min="3813" max="3813" width="6.06640625" bestFit="1" customWidth="1"/>
    <col min="3814" max="3814" width="7" bestFit="1" customWidth="1"/>
    <col min="3815" max="3815" width="6.06640625" bestFit="1" customWidth="1"/>
    <col min="3816" max="3816" width="7" bestFit="1" customWidth="1"/>
    <col min="3817" max="3817" width="9" bestFit="1" customWidth="1"/>
    <col min="3818" max="3819" width="7" bestFit="1" customWidth="1"/>
    <col min="3820" max="3820" width="9" bestFit="1" customWidth="1"/>
    <col min="3821" max="3821" width="7.9296875" bestFit="1" customWidth="1"/>
    <col min="3822" max="3822" width="6.06640625" bestFit="1" customWidth="1"/>
    <col min="3823" max="3823" width="9" bestFit="1" customWidth="1"/>
    <col min="3824" max="3824" width="7" bestFit="1" customWidth="1"/>
    <col min="3825" max="3828" width="9" bestFit="1" customWidth="1"/>
    <col min="3829" max="3829" width="7" bestFit="1" customWidth="1"/>
    <col min="3830" max="3830" width="9" bestFit="1" customWidth="1"/>
    <col min="3831" max="3831" width="7.9296875" bestFit="1" customWidth="1"/>
    <col min="3832" max="3833" width="7" bestFit="1" customWidth="1"/>
    <col min="3834" max="3834" width="4" bestFit="1" customWidth="1"/>
    <col min="3835" max="3835" width="9" bestFit="1" customWidth="1"/>
    <col min="3836" max="3836" width="7" bestFit="1" customWidth="1"/>
    <col min="3837" max="3837" width="9" bestFit="1" customWidth="1"/>
    <col min="3838" max="3838" width="7" bestFit="1" customWidth="1"/>
    <col min="3839" max="3839" width="6.06640625" bestFit="1" customWidth="1"/>
    <col min="3840" max="3841" width="9" bestFit="1" customWidth="1"/>
    <col min="3842" max="3842" width="6.06640625" bestFit="1" customWidth="1"/>
    <col min="3843" max="3843" width="7" bestFit="1" customWidth="1"/>
    <col min="3844" max="3844" width="6.06640625" bestFit="1" customWidth="1"/>
    <col min="3845" max="3846" width="7" bestFit="1" customWidth="1"/>
    <col min="3847" max="3847" width="6.06640625" bestFit="1" customWidth="1"/>
    <col min="3848" max="3848" width="9" bestFit="1" customWidth="1"/>
    <col min="3849" max="3849" width="7" bestFit="1" customWidth="1"/>
    <col min="3850" max="3850" width="9" bestFit="1" customWidth="1"/>
    <col min="3851" max="3851" width="4" bestFit="1" customWidth="1"/>
    <col min="3852" max="3852" width="9" bestFit="1" customWidth="1"/>
    <col min="3853" max="3853" width="7" bestFit="1" customWidth="1"/>
    <col min="3854" max="3855" width="9" bestFit="1" customWidth="1"/>
    <col min="3856" max="3856" width="7.9296875" bestFit="1" customWidth="1"/>
    <col min="3857" max="3857" width="7" bestFit="1" customWidth="1"/>
    <col min="3858" max="3858" width="7.9296875" bestFit="1" customWidth="1"/>
    <col min="3859" max="3859" width="6.06640625" bestFit="1" customWidth="1"/>
    <col min="3860" max="3860" width="7.9296875" bestFit="1" customWidth="1"/>
    <col min="3861" max="3861" width="9" bestFit="1" customWidth="1"/>
    <col min="3862" max="3862" width="6.06640625" bestFit="1" customWidth="1"/>
    <col min="3863" max="3863" width="9" bestFit="1" customWidth="1"/>
    <col min="3864" max="3864" width="7" bestFit="1" customWidth="1"/>
    <col min="3865" max="3866" width="9" bestFit="1" customWidth="1"/>
    <col min="3867" max="3867" width="7" bestFit="1" customWidth="1"/>
    <col min="3868" max="3869" width="6.06640625" bestFit="1" customWidth="1"/>
    <col min="3870" max="3870" width="7.9296875" bestFit="1" customWidth="1"/>
    <col min="3871" max="3872" width="7" bestFit="1" customWidth="1"/>
    <col min="3873" max="3873" width="9" bestFit="1" customWidth="1"/>
    <col min="3874" max="3874" width="4" bestFit="1" customWidth="1"/>
    <col min="3875" max="3878" width="9" bestFit="1" customWidth="1"/>
    <col min="3879" max="3879" width="6.06640625" bestFit="1" customWidth="1"/>
    <col min="3880" max="3881" width="7" bestFit="1" customWidth="1"/>
    <col min="3882" max="3882" width="9" bestFit="1" customWidth="1"/>
    <col min="3883" max="3883" width="7" bestFit="1" customWidth="1"/>
    <col min="3884" max="3884" width="6.06640625" bestFit="1" customWidth="1"/>
    <col min="3885" max="3886" width="9" bestFit="1" customWidth="1"/>
    <col min="3887" max="3887" width="6.06640625" bestFit="1" customWidth="1"/>
    <col min="3888" max="3888" width="9" bestFit="1" customWidth="1"/>
    <col min="3889" max="3889" width="7" bestFit="1" customWidth="1"/>
    <col min="3890" max="3890" width="7.9296875" bestFit="1" customWidth="1"/>
    <col min="3891" max="3891" width="7" bestFit="1" customWidth="1"/>
    <col min="3892" max="3892" width="9" bestFit="1" customWidth="1"/>
    <col min="3893" max="3893" width="4" bestFit="1" customWidth="1"/>
    <col min="3894" max="3894" width="9" bestFit="1" customWidth="1"/>
    <col min="3895" max="3899" width="7" bestFit="1" customWidth="1"/>
    <col min="3900" max="3900" width="6.06640625" bestFit="1" customWidth="1"/>
    <col min="3901" max="3901" width="9" bestFit="1" customWidth="1"/>
    <col min="3902" max="3902" width="6.06640625" bestFit="1" customWidth="1"/>
    <col min="3903" max="3903" width="7" bestFit="1" customWidth="1"/>
    <col min="3904" max="3904" width="6.06640625" bestFit="1" customWidth="1"/>
    <col min="3905" max="3905" width="4" bestFit="1" customWidth="1"/>
    <col min="3906" max="3906" width="9" bestFit="1" customWidth="1"/>
    <col min="3907" max="3907" width="7" bestFit="1" customWidth="1"/>
    <col min="3908" max="3908" width="6.06640625" bestFit="1" customWidth="1"/>
    <col min="3909" max="3910" width="7" bestFit="1" customWidth="1"/>
    <col min="3911" max="3911" width="6.06640625" bestFit="1" customWidth="1"/>
    <col min="3912" max="3912" width="7" bestFit="1" customWidth="1"/>
    <col min="3913" max="3914" width="6.06640625" bestFit="1" customWidth="1"/>
    <col min="3915" max="3915" width="4" bestFit="1" customWidth="1"/>
    <col min="3916" max="3916" width="9" bestFit="1" customWidth="1"/>
    <col min="3917" max="3917" width="7" bestFit="1" customWidth="1"/>
    <col min="3918" max="3919" width="9" bestFit="1" customWidth="1"/>
    <col min="3920" max="3922" width="7" bestFit="1" customWidth="1"/>
    <col min="3923" max="3924" width="9" bestFit="1" customWidth="1"/>
    <col min="3925" max="3925" width="7" bestFit="1" customWidth="1"/>
    <col min="3926" max="3926" width="6.06640625" bestFit="1" customWidth="1"/>
    <col min="3927" max="3927" width="9" bestFit="1" customWidth="1"/>
    <col min="3928" max="3928" width="4" bestFit="1" customWidth="1"/>
    <col min="3929" max="3929" width="7" bestFit="1" customWidth="1"/>
    <col min="3930" max="3930" width="6.06640625" bestFit="1" customWidth="1"/>
    <col min="3931" max="3932" width="9" bestFit="1" customWidth="1"/>
    <col min="3933" max="3933" width="7" bestFit="1" customWidth="1"/>
    <col min="3934" max="3934" width="9" bestFit="1" customWidth="1"/>
    <col min="3935" max="3935" width="6.06640625" bestFit="1" customWidth="1"/>
    <col min="3936" max="3939" width="9" bestFit="1" customWidth="1"/>
    <col min="3940" max="3940" width="7" bestFit="1" customWidth="1"/>
    <col min="3941" max="3941" width="9" bestFit="1" customWidth="1"/>
    <col min="3942" max="3942" width="4" bestFit="1" customWidth="1"/>
    <col min="3943" max="3944" width="9" bestFit="1" customWidth="1"/>
    <col min="3945" max="3945" width="6.06640625" bestFit="1" customWidth="1"/>
    <col min="3946" max="3946" width="7" bestFit="1" customWidth="1"/>
    <col min="3947" max="3947" width="9" bestFit="1" customWidth="1"/>
    <col min="3948" max="3948" width="6.06640625" bestFit="1" customWidth="1"/>
    <col min="3949" max="3949" width="7" bestFit="1" customWidth="1"/>
    <col min="3950" max="3950" width="6.06640625" bestFit="1" customWidth="1"/>
    <col min="3951" max="3951" width="7" bestFit="1" customWidth="1"/>
    <col min="3952" max="3953" width="9" bestFit="1" customWidth="1"/>
    <col min="3954" max="3954" width="7" bestFit="1" customWidth="1"/>
    <col min="3955" max="3956" width="9" bestFit="1" customWidth="1"/>
    <col min="3957" max="3957" width="6.06640625" bestFit="1" customWidth="1"/>
    <col min="3958" max="3958" width="7" bestFit="1" customWidth="1"/>
    <col min="3959" max="3959" width="4" bestFit="1" customWidth="1"/>
    <col min="3960" max="3960" width="6.06640625" bestFit="1" customWidth="1"/>
    <col min="3961" max="3962" width="9" bestFit="1" customWidth="1"/>
    <col min="3963" max="3963" width="7" bestFit="1" customWidth="1"/>
    <col min="3964" max="3964" width="9" bestFit="1" customWidth="1"/>
    <col min="3965" max="3965" width="7" bestFit="1" customWidth="1"/>
    <col min="3966" max="3966" width="9" bestFit="1" customWidth="1"/>
    <col min="3967" max="3967" width="6.06640625" bestFit="1" customWidth="1"/>
    <col min="3968" max="3969" width="7" bestFit="1" customWidth="1"/>
    <col min="3970" max="3970" width="6.06640625" bestFit="1" customWidth="1"/>
    <col min="3971" max="3972" width="7" bestFit="1" customWidth="1"/>
    <col min="3973" max="3974" width="9" bestFit="1" customWidth="1"/>
    <col min="3975" max="3975" width="6.06640625" bestFit="1" customWidth="1"/>
    <col min="3976" max="3977" width="9" bestFit="1" customWidth="1"/>
    <col min="3978" max="3978" width="6.06640625" bestFit="1" customWidth="1"/>
    <col min="3979" max="3979" width="9" bestFit="1" customWidth="1"/>
    <col min="3980" max="3980" width="7" bestFit="1" customWidth="1"/>
    <col min="3981" max="3981" width="9" bestFit="1" customWidth="1"/>
    <col min="3982" max="3983" width="7" bestFit="1" customWidth="1"/>
    <col min="3984" max="3984" width="9" bestFit="1" customWidth="1"/>
    <col min="3985" max="3985" width="6.06640625" bestFit="1" customWidth="1"/>
    <col min="3986" max="3986" width="9" bestFit="1" customWidth="1"/>
    <col min="3987" max="3987" width="7.9296875" bestFit="1" customWidth="1"/>
    <col min="3988" max="3988" width="6.06640625" bestFit="1" customWidth="1"/>
    <col min="3989" max="3990" width="7" bestFit="1" customWidth="1"/>
    <col min="3991" max="3991" width="9" bestFit="1" customWidth="1"/>
    <col min="3992" max="3992" width="7" bestFit="1" customWidth="1"/>
    <col min="3993" max="3993" width="4" bestFit="1" customWidth="1"/>
    <col min="3994" max="3994" width="7" bestFit="1" customWidth="1"/>
    <col min="3995" max="3996" width="9" bestFit="1" customWidth="1"/>
    <col min="3997" max="3997" width="7" bestFit="1" customWidth="1"/>
    <col min="3998" max="3998" width="7.9296875" bestFit="1" customWidth="1"/>
    <col min="3999" max="3999" width="6.06640625" bestFit="1" customWidth="1"/>
    <col min="4000" max="4000" width="9" bestFit="1" customWidth="1"/>
    <col min="4001" max="4001" width="6.06640625" bestFit="1" customWidth="1"/>
    <col min="4002" max="4002" width="9" bestFit="1" customWidth="1"/>
    <col min="4003" max="4003" width="7" bestFit="1" customWidth="1"/>
    <col min="4004" max="4007" width="9" bestFit="1" customWidth="1"/>
    <col min="4008" max="4008" width="7" bestFit="1" customWidth="1"/>
    <col min="4009" max="4009" width="9" bestFit="1" customWidth="1"/>
    <col min="4010" max="4010" width="6.06640625" bestFit="1" customWidth="1"/>
    <col min="4011" max="4011" width="4" bestFit="1" customWidth="1"/>
    <col min="4012" max="4013" width="9" bestFit="1" customWidth="1"/>
    <col min="4014" max="4014" width="6.06640625" bestFit="1" customWidth="1"/>
    <col min="4015" max="4015" width="7" bestFit="1" customWidth="1"/>
    <col min="4016" max="4016" width="6.06640625" bestFit="1" customWidth="1"/>
    <col min="4017" max="4017" width="7.9296875" bestFit="1" customWidth="1"/>
    <col min="4018" max="4018" width="9" bestFit="1" customWidth="1"/>
    <col min="4019" max="4020" width="6.06640625" bestFit="1" customWidth="1"/>
    <col min="4021" max="4021" width="7" bestFit="1" customWidth="1"/>
    <col min="4022" max="4022" width="9" bestFit="1" customWidth="1"/>
    <col min="4023" max="4023" width="7" bestFit="1" customWidth="1"/>
    <col min="4024" max="4024" width="9" bestFit="1" customWidth="1"/>
    <col min="4025" max="4025" width="4" bestFit="1" customWidth="1"/>
    <col min="4026" max="4026" width="9" bestFit="1" customWidth="1"/>
    <col min="4027" max="4027" width="6.06640625" bestFit="1" customWidth="1"/>
    <col min="4028" max="4028" width="9" bestFit="1" customWidth="1"/>
    <col min="4029" max="4029" width="6.06640625" bestFit="1" customWidth="1"/>
    <col min="4030" max="4030" width="9" bestFit="1" customWidth="1"/>
    <col min="4031" max="4031" width="7" bestFit="1" customWidth="1"/>
    <col min="4032" max="4032" width="9" bestFit="1" customWidth="1"/>
    <col min="4033" max="4033" width="7" bestFit="1" customWidth="1"/>
    <col min="4034" max="4034" width="9" bestFit="1" customWidth="1"/>
    <col min="4035" max="4035" width="4" bestFit="1" customWidth="1"/>
    <col min="4036" max="4038" width="7" bestFit="1" customWidth="1"/>
    <col min="4039" max="4039" width="6.06640625" bestFit="1" customWidth="1"/>
    <col min="4040" max="4040" width="9" bestFit="1" customWidth="1"/>
    <col min="4041" max="4041" width="6.06640625" bestFit="1" customWidth="1"/>
    <col min="4042" max="4045" width="7" bestFit="1" customWidth="1"/>
    <col min="4046" max="4046" width="9" bestFit="1" customWidth="1"/>
    <col min="4047" max="4048" width="7" bestFit="1" customWidth="1"/>
    <col min="4049" max="4049" width="6.06640625" bestFit="1" customWidth="1"/>
    <col min="4050" max="4050" width="9" bestFit="1" customWidth="1"/>
    <col min="4051" max="4051" width="6.06640625" bestFit="1" customWidth="1"/>
    <col min="4052" max="4052" width="9" bestFit="1" customWidth="1"/>
    <col min="4053" max="4053" width="7.9296875" bestFit="1" customWidth="1"/>
    <col min="4054" max="4054" width="7" bestFit="1" customWidth="1"/>
    <col min="4055" max="4055" width="9" bestFit="1" customWidth="1"/>
    <col min="4056" max="4056" width="7" bestFit="1" customWidth="1"/>
    <col min="4057" max="4057" width="6.06640625" bestFit="1" customWidth="1"/>
    <col min="4058" max="4058" width="7" bestFit="1" customWidth="1"/>
    <col min="4059" max="4059" width="4" bestFit="1" customWidth="1"/>
    <col min="4060" max="4060" width="9" bestFit="1" customWidth="1"/>
    <col min="4061" max="4061" width="6.06640625" bestFit="1" customWidth="1"/>
    <col min="4062" max="4065" width="9" bestFit="1" customWidth="1"/>
    <col min="4066" max="4067" width="7" bestFit="1" customWidth="1"/>
    <col min="4068" max="4068" width="9" bestFit="1" customWidth="1"/>
    <col min="4069" max="4069" width="4" bestFit="1" customWidth="1"/>
    <col min="4070" max="4070" width="9" bestFit="1" customWidth="1"/>
    <col min="4071" max="4071" width="7" bestFit="1" customWidth="1"/>
    <col min="4072" max="4073" width="9" bestFit="1" customWidth="1"/>
    <col min="4074" max="4074" width="7" bestFit="1" customWidth="1"/>
    <col min="4075" max="4075" width="6.06640625" bestFit="1" customWidth="1"/>
    <col min="4076" max="4076" width="7.9296875" bestFit="1" customWidth="1"/>
    <col min="4077" max="4077" width="7" bestFit="1" customWidth="1"/>
    <col min="4078" max="4078" width="6.06640625" bestFit="1" customWidth="1"/>
    <col min="4079" max="4079" width="9" bestFit="1" customWidth="1"/>
    <col min="4080" max="4081" width="7" bestFit="1" customWidth="1"/>
    <col min="4082" max="4083" width="9" bestFit="1" customWidth="1"/>
    <col min="4084" max="4084" width="4" bestFit="1" customWidth="1"/>
    <col min="4085" max="4086" width="9" bestFit="1" customWidth="1"/>
    <col min="4087" max="4087" width="7.9296875" bestFit="1" customWidth="1"/>
    <col min="4088" max="4089" width="7" bestFit="1" customWidth="1"/>
    <col min="4090" max="4090" width="9" bestFit="1" customWidth="1"/>
    <col min="4091" max="4091" width="7" bestFit="1" customWidth="1"/>
    <col min="4092" max="4092" width="9" bestFit="1" customWidth="1"/>
    <col min="4093" max="4093" width="6.06640625" bestFit="1" customWidth="1"/>
    <col min="4094" max="4095" width="9" bestFit="1" customWidth="1"/>
    <col min="4096" max="4096" width="7" bestFit="1" customWidth="1"/>
    <col min="4097" max="4097" width="9" bestFit="1" customWidth="1"/>
    <col min="4098" max="4098" width="7" bestFit="1" customWidth="1"/>
    <col min="4099" max="4099" width="7.9296875" bestFit="1" customWidth="1"/>
    <col min="4100" max="4101" width="9" bestFit="1" customWidth="1"/>
    <col min="4102" max="4102" width="6.06640625" bestFit="1" customWidth="1"/>
    <col min="4103" max="4103" width="9" bestFit="1" customWidth="1"/>
    <col min="4104" max="4104" width="6.06640625" bestFit="1" customWidth="1"/>
    <col min="4105" max="4105" width="9" bestFit="1" customWidth="1"/>
    <col min="4106" max="4107" width="7" bestFit="1" customWidth="1"/>
    <col min="4108" max="4108" width="7.9296875" bestFit="1" customWidth="1"/>
    <col min="4109" max="4109" width="6.06640625" bestFit="1" customWidth="1"/>
    <col min="4110" max="4111" width="7" bestFit="1" customWidth="1"/>
    <col min="4112" max="4112" width="9" bestFit="1" customWidth="1"/>
    <col min="4113" max="4114" width="7" bestFit="1" customWidth="1"/>
    <col min="4115" max="4115" width="9" bestFit="1" customWidth="1"/>
    <col min="4116" max="4116" width="6.06640625" bestFit="1" customWidth="1"/>
    <col min="4117" max="4117" width="9" bestFit="1" customWidth="1"/>
    <col min="4118" max="4118" width="4" bestFit="1" customWidth="1"/>
    <col min="4119" max="4119" width="7" bestFit="1" customWidth="1"/>
    <col min="4120" max="4120" width="7.9296875" bestFit="1" customWidth="1"/>
    <col min="4121" max="4121" width="9" bestFit="1" customWidth="1"/>
    <col min="4122" max="4122" width="6.06640625" bestFit="1" customWidth="1"/>
    <col min="4123" max="4124" width="7" bestFit="1" customWidth="1"/>
    <col min="4125" max="4127" width="9" bestFit="1" customWidth="1"/>
    <col min="4128" max="4128" width="7" bestFit="1" customWidth="1"/>
    <col min="4129" max="4133" width="9" bestFit="1" customWidth="1"/>
    <col min="4134" max="4135" width="7" bestFit="1" customWidth="1"/>
    <col min="4136" max="4137" width="9" bestFit="1" customWidth="1"/>
    <col min="4138" max="4138" width="4" bestFit="1" customWidth="1"/>
    <col min="4139" max="4140" width="9" bestFit="1" customWidth="1"/>
    <col min="4141" max="4141" width="6.06640625" bestFit="1" customWidth="1"/>
    <col min="4142" max="4142" width="7" bestFit="1" customWidth="1"/>
    <col min="4143" max="4143" width="9" bestFit="1" customWidth="1"/>
    <col min="4144" max="4144" width="6.06640625" bestFit="1" customWidth="1"/>
    <col min="4145" max="4145" width="7" bestFit="1" customWidth="1"/>
    <col min="4146" max="4146" width="9" bestFit="1" customWidth="1"/>
    <col min="4147" max="4147" width="6.06640625" bestFit="1" customWidth="1"/>
    <col min="4148" max="4148" width="9" bestFit="1" customWidth="1"/>
    <col min="4149" max="4149" width="7" bestFit="1" customWidth="1"/>
    <col min="4150" max="4150" width="9" bestFit="1" customWidth="1"/>
    <col min="4151" max="4151" width="4" bestFit="1" customWidth="1"/>
    <col min="4152" max="4152" width="9" bestFit="1" customWidth="1"/>
    <col min="4153" max="4153" width="6.06640625" bestFit="1" customWidth="1"/>
    <col min="4154" max="4154" width="7" bestFit="1" customWidth="1"/>
    <col min="4155" max="4155" width="9" bestFit="1" customWidth="1"/>
    <col min="4156" max="4156" width="6.06640625" bestFit="1" customWidth="1"/>
    <col min="4157" max="4157" width="7.9296875" bestFit="1" customWidth="1"/>
    <col min="4158" max="4158" width="7" bestFit="1" customWidth="1"/>
    <col min="4159" max="4160" width="9" bestFit="1" customWidth="1"/>
    <col min="4161" max="4162" width="6.06640625" bestFit="1" customWidth="1"/>
    <col min="4163" max="4163" width="7" bestFit="1" customWidth="1"/>
    <col min="4164" max="4164" width="4" bestFit="1" customWidth="1"/>
    <col min="4165" max="4166" width="9" bestFit="1" customWidth="1"/>
    <col min="4167" max="4167" width="7" bestFit="1" customWidth="1"/>
    <col min="4168" max="4170" width="9" bestFit="1" customWidth="1"/>
    <col min="4171" max="4171" width="7.9296875" bestFit="1" customWidth="1"/>
    <col min="4172" max="4172" width="9" bestFit="1" customWidth="1"/>
    <col min="4173" max="4174" width="7" bestFit="1" customWidth="1"/>
    <col min="4175" max="4175" width="9" bestFit="1" customWidth="1"/>
    <col min="4176" max="4177" width="6.06640625" bestFit="1" customWidth="1"/>
    <col min="4178" max="4178" width="9" bestFit="1" customWidth="1"/>
    <col min="4179" max="4179" width="4" bestFit="1" customWidth="1"/>
    <col min="4180" max="4181" width="9" bestFit="1" customWidth="1"/>
    <col min="4182" max="4182" width="7.9296875" bestFit="1" customWidth="1"/>
    <col min="4183" max="4183" width="7" bestFit="1" customWidth="1"/>
    <col min="4184" max="4184" width="7.9296875" bestFit="1" customWidth="1"/>
    <col min="4185" max="4186" width="9" bestFit="1" customWidth="1"/>
    <col min="4187" max="4188" width="7" bestFit="1" customWidth="1"/>
    <col min="4189" max="4189" width="9" bestFit="1" customWidth="1"/>
    <col min="4190" max="4190" width="7" bestFit="1" customWidth="1"/>
    <col min="4191" max="4191" width="6.06640625" bestFit="1" customWidth="1"/>
    <col min="4192" max="4192" width="7" bestFit="1" customWidth="1"/>
    <col min="4193" max="4193" width="9" bestFit="1" customWidth="1"/>
    <col min="4194" max="4194" width="6.06640625" bestFit="1" customWidth="1"/>
    <col min="4195" max="4196" width="9" bestFit="1" customWidth="1"/>
    <col min="4197" max="4197" width="7" bestFit="1" customWidth="1"/>
    <col min="4198" max="4198" width="4" bestFit="1" customWidth="1"/>
    <col min="4199" max="4200" width="7" bestFit="1" customWidth="1"/>
    <col min="4201" max="4201" width="9" bestFit="1" customWidth="1"/>
    <col min="4202" max="4202" width="6.06640625" bestFit="1" customWidth="1"/>
    <col min="4203" max="4203" width="7" bestFit="1" customWidth="1"/>
    <col min="4204" max="4204" width="7.9296875" bestFit="1" customWidth="1"/>
    <col min="4205" max="4205" width="6.06640625" bestFit="1" customWidth="1"/>
    <col min="4206" max="4206" width="7" bestFit="1" customWidth="1"/>
    <col min="4207" max="4210" width="9" bestFit="1" customWidth="1"/>
    <col min="4211" max="4211" width="7" bestFit="1" customWidth="1"/>
    <col min="4212" max="4215" width="9" bestFit="1" customWidth="1"/>
    <col min="4216" max="4216" width="6.06640625" bestFit="1" customWidth="1"/>
    <col min="4217" max="4217" width="9" bestFit="1" customWidth="1"/>
    <col min="4218" max="4218" width="7" bestFit="1" customWidth="1"/>
    <col min="4219" max="4219" width="7.9296875" bestFit="1" customWidth="1"/>
    <col min="4220" max="4220" width="6.06640625" bestFit="1" customWidth="1"/>
    <col min="4221" max="4221" width="4" bestFit="1" customWidth="1"/>
    <col min="4222" max="4223" width="9" bestFit="1" customWidth="1"/>
    <col min="4224" max="4224" width="7" bestFit="1" customWidth="1"/>
    <col min="4225" max="4225" width="9" bestFit="1" customWidth="1"/>
    <col min="4226" max="4226" width="7" bestFit="1" customWidth="1"/>
    <col min="4227" max="4229" width="6.06640625" bestFit="1" customWidth="1"/>
    <col min="4230" max="4231" width="7" bestFit="1" customWidth="1"/>
    <col min="4232" max="4232" width="7.9296875" bestFit="1" customWidth="1"/>
    <col min="4233" max="4233" width="9" bestFit="1" customWidth="1"/>
    <col min="4234" max="4234" width="7.9296875" bestFit="1" customWidth="1"/>
    <col min="4235" max="4235" width="7" bestFit="1" customWidth="1"/>
    <col min="4236" max="4236" width="9" bestFit="1" customWidth="1"/>
    <col min="4237" max="4237" width="4" bestFit="1" customWidth="1"/>
    <col min="4238" max="4238" width="7" bestFit="1" customWidth="1"/>
    <col min="4239" max="4239" width="6.06640625" bestFit="1" customWidth="1"/>
    <col min="4240" max="4242" width="9" bestFit="1" customWidth="1"/>
    <col min="4243" max="4243" width="7" bestFit="1" customWidth="1"/>
    <col min="4244" max="4244" width="6.06640625" bestFit="1" customWidth="1"/>
    <col min="4245" max="4245" width="9" bestFit="1" customWidth="1"/>
    <col min="4246" max="4246" width="7" bestFit="1" customWidth="1"/>
    <col min="4247" max="4247" width="9" bestFit="1" customWidth="1"/>
    <col min="4248" max="4248" width="6.06640625" bestFit="1" customWidth="1"/>
    <col min="4249" max="4249" width="9" bestFit="1" customWidth="1"/>
    <col min="4250" max="4250" width="6.06640625" bestFit="1" customWidth="1"/>
    <col min="4251" max="4255" width="7" bestFit="1" customWidth="1"/>
    <col min="4256" max="4256" width="9" bestFit="1" customWidth="1"/>
    <col min="4257" max="4257" width="7.9296875" bestFit="1" customWidth="1"/>
    <col min="4258" max="4259" width="9" bestFit="1" customWidth="1"/>
    <col min="4260" max="4261" width="7" bestFit="1" customWidth="1"/>
    <col min="4262" max="4262" width="6.06640625" bestFit="1" customWidth="1"/>
    <col min="4263" max="4263" width="9" bestFit="1" customWidth="1"/>
    <col min="4264" max="4264" width="6.06640625" bestFit="1" customWidth="1"/>
    <col min="4265" max="4265" width="7" bestFit="1" customWidth="1"/>
    <col min="4266" max="4266" width="6.06640625" bestFit="1" customWidth="1"/>
    <col min="4267" max="4267" width="7" bestFit="1" customWidth="1"/>
    <col min="4268" max="4268" width="7.9296875" bestFit="1" customWidth="1"/>
    <col min="4269" max="4269" width="7" bestFit="1" customWidth="1"/>
    <col min="4270" max="4271" width="9" bestFit="1" customWidth="1"/>
    <col min="4272" max="4273" width="6.06640625" bestFit="1" customWidth="1"/>
    <col min="4274" max="4274" width="7" bestFit="1" customWidth="1"/>
    <col min="4275" max="4275" width="6.06640625" bestFit="1" customWidth="1"/>
    <col min="4276" max="4276" width="7.9296875" bestFit="1" customWidth="1"/>
    <col min="4277" max="4277" width="9" bestFit="1" customWidth="1"/>
    <col min="4278" max="4278" width="4" bestFit="1" customWidth="1"/>
    <col min="4279" max="4279" width="6.06640625" bestFit="1" customWidth="1"/>
    <col min="4280" max="4280" width="7.9296875" bestFit="1" customWidth="1"/>
    <col min="4281" max="4284" width="9" bestFit="1" customWidth="1"/>
    <col min="4285" max="4285" width="6.06640625" bestFit="1" customWidth="1"/>
    <col min="4286" max="4286" width="9" bestFit="1" customWidth="1"/>
    <col min="4287" max="4287" width="6.06640625" bestFit="1" customWidth="1"/>
    <col min="4288" max="4288" width="9" bestFit="1" customWidth="1"/>
    <col min="4289" max="4290" width="7" bestFit="1" customWidth="1"/>
    <col min="4291" max="4291" width="4" bestFit="1" customWidth="1"/>
    <col min="4292" max="4292" width="7" bestFit="1" customWidth="1"/>
    <col min="4293" max="4293" width="9" bestFit="1" customWidth="1"/>
    <col min="4294" max="4294" width="7" bestFit="1" customWidth="1"/>
    <col min="4295" max="4296" width="6.06640625" bestFit="1" customWidth="1"/>
    <col min="4297" max="4297" width="7" bestFit="1" customWidth="1"/>
    <col min="4298" max="4298" width="6.06640625" bestFit="1" customWidth="1"/>
    <col min="4299" max="4300" width="9" bestFit="1" customWidth="1"/>
    <col min="4301" max="4301" width="4" bestFit="1" customWidth="1"/>
    <col min="4302" max="4302" width="7" bestFit="1" customWidth="1"/>
    <col min="4303" max="4303" width="9" bestFit="1" customWidth="1"/>
    <col min="4304" max="4306" width="6.06640625" bestFit="1" customWidth="1"/>
    <col min="4307" max="4307" width="7" bestFit="1" customWidth="1"/>
    <col min="4308" max="4308" width="9" bestFit="1" customWidth="1"/>
    <col min="4309" max="4311" width="7" bestFit="1" customWidth="1"/>
    <col min="4312" max="4312" width="9" bestFit="1" customWidth="1"/>
    <col min="4313" max="4313" width="4" bestFit="1" customWidth="1"/>
    <col min="4314" max="4314" width="6.06640625" bestFit="1" customWidth="1"/>
    <col min="4315" max="4315" width="7.9296875" bestFit="1" customWidth="1"/>
    <col min="4316" max="4316" width="7" bestFit="1" customWidth="1"/>
    <col min="4317" max="4317" width="7.9296875" bestFit="1" customWidth="1"/>
    <col min="4318" max="4319" width="9" bestFit="1" customWidth="1"/>
    <col min="4320" max="4321" width="6.06640625" bestFit="1" customWidth="1"/>
    <col min="4322" max="4323" width="9" bestFit="1" customWidth="1"/>
    <col min="4324" max="4324" width="4" bestFit="1" customWidth="1"/>
    <col min="4325" max="4325" width="9" bestFit="1" customWidth="1"/>
    <col min="4326" max="4326" width="7" bestFit="1" customWidth="1"/>
    <col min="4327" max="4327" width="9" bestFit="1" customWidth="1"/>
    <col min="4328" max="4328" width="6.06640625" bestFit="1" customWidth="1"/>
    <col min="4329" max="4329" width="7.9296875" bestFit="1" customWidth="1"/>
    <col min="4330" max="4330" width="6.06640625" bestFit="1" customWidth="1"/>
    <col min="4331" max="4331" width="7" bestFit="1" customWidth="1"/>
    <col min="4332" max="4332" width="9" bestFit="1" customWidth="1"/>
    <col min="4333" max="4333" width="6.06640625" bestFit="1" customWidth="1"/>
    <col min="4334" max="4334" width="4" bestFit="1" customWidth="1"/>
    <col min="4335" max="4337" width="9" bestFit="1" customWidth="1"/>
    <col min="4338" max="4338" width="6.06640625" bestFit="1" customWidth="1"/>
    <col min="4339" max="4339" width="7" bestFit="1" customWidth="1"/>
    <col min="4340" max="4340" width="9" bestFit="1" customWidth="1"/>
    <col min="4341" max="4341" width="6.06640625" bestFit="1" customWidth="1"/>
    <col min="4342" max="4342" width="9" bestFit="1" customWidth="1"/>
    <col min="4343" max="4343" width="6.06640625" bestFit="1" customWidth="1"/>
    <col min="4344" max="4344" width="9" bestFit="1" customWidth="1"/>
    <col min="4345" max="4345" width="7.9296875" bestFit="1" customWidth="1"/>
    <col min="4346" max="4346" width="6.06640625" bestFit="1" customWidth="1"/>
    <col min="4347" max="4347" width="9" bestFit="1" customWidth="1"/>
    <col min="4348" max="4348" width="4" bestFit="1" customWidth="1"/>
    <col min="4349" max="4351" width="9" bestFit="1" customWidth="1"/>
    <col min="4352" max="4352" width="7.9296875" bestFit="1" customWidth="1"/>
    <col min="4353" max="4353" width="7" bestFit="1" customWidth="1"/>
    <col min="4354" max="4354" width="9" bestFit="1" customWidth="1"/>
    <col min="4355" max="4356" width="7.9296875" bestFit="1" customWidth="1"/>
    <col min="4357" max="4357" width="9" bestFit="1" customWidth="1"/>
    <col min="4358" max="4360" width="7" bestFit="1" customWidth="1"/>
    <col min="4361" max="4361" width="4" bestFit="1" customWidth="1"/>
    <col min="4362" max="4362" width="7.9296875" bestFit="1" customWidth="1"/>
    <col min="4363" max="4364" width="7" bestFit="1" customWidth="1"/>
    <col min="4365" max="4365" width="9" bestFit="1" customWidth="1"/>
    <col min="4366" max="4369" width="7" bestFit="1" customWidth="1"/>
    <col min="4370" max="4370" width="4" bestFit="1" customWidth="1"/>
    <col min="4371" max="4371" width="6.06640625" bestFit="1" customWidth="1"/>
    <col min="4372" max="4373" width="9" bestFit="1" customWidth="1"/>
    <col min="4374" max="4375" width="7" bestFit="1" customWidth="1"/>
    <col min="4376" max="4376" width="9" bestFit="1" customWidth="1"/>
    <col min="4377" max="4377" width="7" bestFit="1" customWidth="1"/>
    <col min="4378" max="4378" width="6.06640625" bestFit="1" customWidth="1"/>
    <col min="4379" max="4379" width="7.9296875" bestFit="1" customWidth="1"/>
    <col min="4380" max="4380" width="9" bestFit="1" customWidth="1"/>
    <col min="4381" max="4381" width="6.06640625" bestFit="1" customWidth="1"/>
    <col min="4382" max="4383" width="9" bestFit="1" customWidth="1"/>
    <col min="4384" max="4384" width="6.06640625" bestFit="1" customWidth="1"/>
    <col min="4385" max="4385" width="9" bestFit="1" customWidth="1"/>
    <col min="4386" max="4386" width="6.06640625" bestFit="1" customWidth="1"/>
    <col min="4387" max="4387" width="7" bestFit="1" customWidth="1"/>
    <col min="4388" max="4388" width="9" bestFit="1" customWidth="1"/>
    <col min="4389" max="4389" width="7" bestFit="1" customWidth="1"/>
    <col min="4390" max="4390" width="9" bestFit="1" customWidth="1"/>
    <col min="4391" max="4391" width="7" bestFit="1" customWidth="1"/>
    <col min="4392" max="4392" width="6.06640625" bestFit="1" customWidth="1"/>
    <col min="4393" max="4393" width="4" bestFit="1" customWidth="1"/>
    <col min="4394" max="4394" width="7.9296875" bestFit="1" customWidth="1"/>
    <col min="4395" max="4395" width="9" bestFit="1" customWidth="1"/>
    <col min="4396" max="4396" width="6.06640625" bestFit="1" customWidth="1"/>
    <col min="4397" max="4398" width="9" bestFit="1" customWidth="1"/>
    <col min="4399" max="4399" width="6.06640625" bestFit="1" customWidth="1"/>
    <col min="4400" max="4400" width="9" bestFit="1" customWidth="1"/>
    <col min="4401" max="4401" width="6.06640625" bestFit="1" customWidth="1"/>
    <col min="4402" max="4402" width="9" bestFit="1" customWidth="1"/>
    <col min="4403" max="4403" width="4" bestFit="1" customWidth="1"/>
    <col min="4404" max="4405" width="9" bestFit="1" customWidth="1"/>
    <col min="4406" max="4406" width="7" bestFit="1" customWidth="1"/>
    <col min="4407" max="4407" width="9" bestFit="1" customWidth="1"/>
    <col min="4408" max="4409" width="7" bestFit="1" customWidth="1"/>
    <col min="4410" max="4410" width="9" bestFit="1" customWidth="1"/>
    <col min="4411" max="4411" width="6.06640625" bestFit="1" customWidth="1"/>
    <col min="4412" max="4412" width="9" bestFit="1" customWidth="1"/>
    <col min="4413" max="4413" width="7" bestFit="1" customWidth="1"/>
    <col min="4414" max="4414" width="9" bestFit="1" customWidth="1"/>
    <col min="4415" max="4415" width="6.06640625" bestFit="1" customWidth="1"/>
    <col min="4416" max="4419" width="9" bestFit="1" customWidth="1"/>
    <col min="4420" max="4420" width="7" bestFit="1" customWidth="1"/>
    <col min="4421" max="4421" width="4" bestFit="1" customWidth="1"/>
    <col min="4422" max="4423" width="6.06640625" bestFit="1" customWidth="1"/>
    <col min="4424" max="4426" width="7" bestFit="1" customWidth="1"/>
    <col min="4427" max="4427" width="9" bestFit="1" customWidth="1"/>
    <col min="4428" max="4428" width="7" bestFit="1" customWidth="1"/>
    <col min="4429" max="4429" width="7.9296875" bestFit="1" customWidth="1"/>
    <col min="4430" max="4431" width="9" bestFit="1" customWidth="1"/>
    <col min="4432" max="4432" width="4" bestFit="1" customWidth="1"/>
    <col min="4433" max="4434" width="7" bestFit="1" customWidth="1"/>
    <col min="4435" max="4436" width="9" bestFit="1" customWidth="1"/>
    <col min="4437" max="4438" width="7" bestFit="1" customWidth="1"/>
    <col min="4439" max="4439" width="7.9296875" bestFit="1" customWidth="1"/>
    <col min="4440" max="4440" width="6.06640625" bestFit="1" customWidth="1"/>
    <col min="4441" max="4441" width="7" bestFit="1" customWidth="1"/>
    <col min="4442" max="4442" width="9" bestFit="1" customWidth="1"/>
    <col min="4443" max="4443" width="7" bestFit="1" customWidth="1"/>
    <col min="4444" max="4445" width="9" bestFit="1" customWidth="1"/>
    <col min="4446" max="4446" width="7.9296875" bestFit="1" customWidth="1"/>
    <col min="4447" max="4447" width="7" bestFit="1" customWidth="1"/>
    <col min="4448" max="4448" width="6.06640625" bestFit="1" customWidth="1"/>
    <col min="4449" max="4449" width="7" bestFit="1" customWidth="1"/>
    <col min="4450" max="4452" width="9" bestFit="1" customWidth="1"/>
    <col min="4453" max="4453" width="6.06640625" bestFit="1" customWidth="1"/>
    <col min="4454" max="4459" width="9" bestFit="1" customWidth="1"/>
    <col min="4460" max="4460" width="6.06640625" bestFit="1" customWidth="1"/>
    <col min="4461" max="4461" width="9" bestFit="1" customWidth="1"/>
    <col min="4462" max="4462" width="7" bestFit="1" customWidth="1"/>
    <col min="4463" max="4466" width="9" bestFit="1" customWidth="1"/>
    <col min="4467" max="4467" width="7" bestFit="1" customWidth="1"/>
    <col min="4468" max="4468" width="7.9296875" bestFit="1" customWidth="1"/>
    <col min="4469" max="4469" width="6.06640625" bestFit="1" customWidth="1"/>
    <col min="4470" max="4471" width="7" bestFit="1" customWidth="1"/>
    <col min="4472" max="4472" width="9" bestFit="1" customWidth="1"/>
    <col min="4473" max="4473" width="4" bestFit="1" customWidth="1"/>
    <col min="4474" max="4474" width="7" bestFit="1" customWidth="1"/>
    <col min="4475" max="4475" width="9" bestFit="1" customWidth="1"/>
    <col min="4476" max="4476" width="6.06640625" bestFit="1" customWidth="1"/>
    <col min="4477" max="4477" width="9" bestFit="1" customWidth="1"/>
    <col min="4478" max="4478" width="7" bestFit="1" customWidth="1"/>
    <col min="4479" max="4479" width="9" bestFit="1" customWidth="1"/>
    <col min="4480" max="4481" width="7" bestFit="1" customWidth="1"/>
    <col min="4482" max="4482" width="4" bestFit="1" customWidth="1"/>
    <col min="4483" max="4483" width="9" bestFit="1" customWidth="1"/>
    <col min="4484" max="4484" width="7" bestFit="1" customWidth="1"/>
    <col min="4485" max="4487" width="9" bestFit="1" customWidth="1"/>
    <col min="4488" max="4488" width="7" bestFit="1" customWidth="1"/>
    <col min="4489" max="4490" width="9" bestFit="1" customWidth="1"/>
    <col min="4491" max="4491" width="6.06640625" bestFit="1" customWidth="1"/>
    <col min="4492" max="4492" width="9" bestFit="1" customWidth="1"/>
    <col min="4493" max="4493" width="7" bestFit="1" customWidth="1"/>
    <col min="4494" max="4494" width="4" bestFit="1" customWidth="1"/>
    <col min="4495" max="4498" width="9" bestFit="1" customWidth="1"/>
    <col min="4499" max="4499" width="7" bestFit="1" customWidth="1"/>
    <col min="4500" max="4501" width="9" bestFit="1" customWidth="1"/>
    <col min="4502" max="4502" width="7" bestFit="1" customWidth="1"/>
    <col min="4503" max="4503" width="9" bestFit="1" customWidth="1"/>
    <col min="4504" max="4504" width="4" bestFit="1" customWidth="1"/>
    <col min="4505" max="4505" width="9" bestFit="1" customWidth="1"/>
    <col min="4506" max="4507" width="7" bestFit="1" customWidth="1"/>
    <col min="4508" max="4508" width="7.9296875" bestFit="1" customWidth="1"/>
    <col min="4509" max="4510" width="9" bestFit="1" customWidth="1"/>
    <col min="4511" max="4511" width="6.06640625" bestFit="1" customWidth="1"/>
    <col min="4512" max="4512" width="7" bestFit="1" customWidth="1"/>
    <col min="4513" max="4513" width="4" bestFit="1" customWidth="1"/>
    <col min="4514" max="4514" width="9" bestFit="1" customWidth="1"/>
    <col min="4515" max="4516" width="7" bestFit="1" customWidth="1"/>
    <col min="4517" max="4521" width="9" bestFit="1" customWidth="1"/>
    <col min="4522" max="4522" width="6.06640625" bestFit="1" customWidth="1"/>
    <col min="4523" max="4523" width="7" bestFit="1" customWidth="1"/>
    <col min="4524" max="4524" width="9" bestFit="1" customWidth="1"/>
    <col min="4525" max="4525" width="7" bestFit="1" customWidth="1"/>
    <col min="4526" max="4526" width="9" bestFit="1" customWidth="1"/>
    <col min="4527" max="4527" width="7" bestFit="1" customWidth="1"/>
    <col min="4528" max="4528" width="4" bestFit="1" customWidth="1"/>
    <col min="4529" max="4530" width="9" bestFit="1" customWidth="1"/>
    <col min="4531" max="4532" width="7" bestFit="1" customWidth="1"/>
    <col min="4533" max="4533" width="9" bestFit="1" customWidth="1"/>
    <col min="4534" max="4535" width="6.06640625" bestFit="1" customWidth="1"/>
    <col min="4536" max="4536" width="7" bestFit="1" customWidth="1"/>
    <col min="4537" max="4537" width="9" bestFit="1" customWidth="1"/>
    <col min="4538" max="4538" width="7" bestFit="1" customWidth="1"/>
    <col min="4539" max="4539" width="6.06640625" bestFit="1" customWidth="1"/>
    <col min="4540" max="4541" width="7" bestFit="1" customWidth="1"/>
    <col min="4542" max="4542" width="9" bestFit="1" customWidth="1"/>
    <col min="4543" max="4543" width="4" bestFit="1" customWidth="1"/>
    <col min="4544" max="4546" width="7" bestFit="1" customWidth="1"/>
    <col min="4547" max="4547" width="9" bestFit="1" customWidth="1"/>
    <col min="4548" max="4548" width="6.06640625" bestFit="1" customWidth="1"/>
    <col min="4549" max="4549" width="7" bestFit="1" customWidth="1"/>
    <col min="4550" max="4550" width="9" bestFit="1" customWidth="1"/>
    <col min="4551" max="4551" width="6.06640625" bestFit="1" customWidth="1"/>
    <col min="4552" max="4552" width="7" bestFit="1" customWidth="1"/>
    <col min="4553" max="4553" width="9" bestFit="1" customWidth="1"/>
    <col min="4554" max="4556" width="7" bestFit="1" customWidth="1"/>
    <col min="4557" max="4557" width="9" bestFit="1" customWidth="1"/>
    <col min="4558" max="4558" width="6.06640625" bestFit="1" customWidth="1"/>
    <col min="4559" max="4559" width="9" bestFit="1" customWidth="1"/>
    <col min="4560" max="4560" width="4" bestFit="1" customWidth="1"/>
    <col min="4561" max="4561" width="7" bestFit="1" customWidth="1"/>
    <col min="4562" max="4564" width="9" bestFit="1" customWidth="1"/>
    <col min="4565" max="4565" width="6.06640625" bestFit="1" customWidth="1"/>
    <col min="4566" max="4566" width="9" bestFit="1" customWidth="1"/>
    <col min="4567" max="4567" width="6.06640625" bestFit="1" customWidth="1"/>
    <col min="4568" max="4570" width="7" bestFit="1" customWidth="1"/>
    <col min="4571" max="4571" width="7.9296875" bestFit="1" customWidth="1"/>
    <col min="4572" max="4572" width="9" bestFit="1" customWidth="1"/>
    <col min="4573" max="4573" width="7.9296875" bestFit="1" customWidth="1"/>
    <col min="4574" max="4574" width="4" bestFit="1" customWidth="1"/>
    <col min="4575" max="4575" width="6.06640625" bestFit="1" customWidth="1"/>
    <col min="4576" max="4576" width="9" bestFit="1" customWidth="1"/>
    <col min="4577" max="4577" width="7" bestFit="1" customWidth="1"/>
    <col min="4578" max="4578" width="6.06640625" bestFit="1" customWidth="1"/>
    <col min="4579" max="4579" width="7" bestFit="1" customWidth="1"/>
    <col min="4580" max="4580" width="6.06640625" bestFit="1" customWidth="1"/>
    <col min="4581" max="4581" width="7" bestFit="1" customWidth="1"/>
    <col min="4582" max="4583" width="9" bestFit="1" customWidth="1"/>
    <col min="4584" max="4584" width="7.9296875" bestFit="1" customWidth="1"/>
    <col min="4585" max="4585" width="7" bestFit="1" customWidth="1"/>
    <col min="4586" max="4586" width="9" bestFit="1" customWidth="1"/>
    <col min="4587" max="4587" width="4" bestFit="1" customWidth="1"/>
    <col min="4588" max="4588" width="6.06640625" bestFit="1" customWidth="1"/>
    <col min="4589" max="4591" width="9" bestFit="1" customWidth="1"/>
    <col min="4592" max="4592" width="6.06640625" bestFit="1" customWidth="1"/>
    <col min="4593" max="4594" width="9" bestFit="1" customWidth="1"/>
    <col min="4595" max="4595" width="4" bestFit="1" customWidth="1"/>
    <col min="4596" max="4597" width="9" bestFit="1" customWidth="1"/>
    <col min="4598" max="4598" width="7" bestFit="1" customWidth="1"/>
    <col min="4599" max="4599" width="9" bestFit="1" customWidth="1"/>
    <col min="4600" max="4600" width="6.06640625" bestFit="1" customWidth="1"/>
    <col min="4601" max="4603" width="9" bestFit="1" customWidth="1"/>
    <col min="4604" max="4604" width="4" bestFit="1" customWidth="1"/>
    <col min="4605" max="4605" width="9" bestFit="1" customWidth="1"/>
    <col min="4606" max="4607" width="7" bestFit="1" customWidth="1"/>
    <col min="4608" max="4608" width="6.06640625" bestFit="1" customWidth="1"/>
    <col min="4609" max="4610" width="7" bestFit="1" customWidth="1"/>
    <col min="4611" max="4611" width="6.06640625" bestFit="1" customWidth="1"/>
    <col min="4612" max="4612" width="7" bestFit="1" customWidth="1"/>
    <col min="4613" max="4613" width="9" bestFit="1" customWidth="1"/>
    <col min="4614" max="4614" width="6.06640625" bestFit="1" customWidth="1"/>
    <col min="4615" max="4615" width="9" bestFit="1" customWidth="1"/>
    <col min="4616" max="4616" width="7" bestFit="1" customWidth="1"/>
    <col min="4617" max="4617" width="7.9296875" bestFit="1" customWidth="1"/>
    <col min="4618" max="4618" width="4" bestFit="1" customWidth="1"/>
    <col min="4619" max="4619" width="7.9296875" bestFit="1" customWidth="1"/>
    <col min="4620" max="4621" width="7" bestFit="1" customWidth="1"/>
    <col min="4622" max="4622" width="9" bestFit="1" customWidth="1"/>
    <col min="4623" max="4623" width="7" bestFit="1" customWidth="1"/>
    <col min="4624" max="4624" width="6.06640625" bestFit="1" customWidth="1"/>
    <col min="4625" max="4625" width="7" bestFit="1" customWidth="1"/>
    <col min="4626" max="4626" width="9" bestFit="1" customWidth="1"/>
    <col min="4627" max="4627" width="6.06640625" bestFit="1" customWidth="1"/>
    <col min="4628" max="4628" width="7" bestFit="1" customWidth="1"/>
    <col min="4629" max="4630" width="9" bestFit="1" customWidth="1"/>
    <col min="4631" max="4631" width="4" bestFit="1" customWidth="1"/>
    <col min="4632" max="4632" width="9" bestFit="1" customWidth="1"/>
    <col min="4633" max="4633" width="7" bestFit="1" customWidth="1"/>
    <col min="4634" max="4638" width="9" bestFit="1" customWidth="1"/>
    <col min="4639" max="4639" width="6.06640625" bestFit="1" customWidth="1"/>
    <col min="4640" max="4642" width="9" bestFit="1" customWidth="1"/>
    <col min="4643" max="4643" width="7.9296875" bestFit="1" customWidth="1"/>
    <col min="4644" max="4644" width="6.06640625" bestFit="1" customWidth="1"/>
    <col min="4645" max="4647" width="9" bestFit="1" customWidth="1"/>
    <col min="4648" max="4648" width="7.9296875" bestFit="1" customWidth="1"/>
    <col min="4649" max="4649" width="9" bestFit="1" customWidth="1"/>
    <col min="4650" max="4650" width="6.06640625" bestFit="1" customWidth="1"/>
    <col min="4651" max="4651" width="7" bestFit="1" customWidth="1"/>
    <col min="4652" max="4652" width="7.9296875" bestFit="1" customWidth="1"/>
    <col min="4653" max="4653" width="7" bestFit="1" customWidth="1"/>
    <col min="4654" max="4654" width="9" bestFit="1" customWidth="1"/>
    <col min="4655" max="4655" width="4" bestFit="1" customWidth="1"/>
    <col min="4656" max="4656" width="6.06640625" bestFit="1" customWidth="1"/>
    <col min="4657" max="4658" width="9" bestFit="1" customWidth="1"/>
    <col min="4659" max="4661" width="7" bestFit="1" customWidth="1"/>
    <col min="4662" max="4662" width="4" bestFit="1" customWidth="1"/>
    <col min="4663" max="4664" width="9" bestFit="1" customWidth="1"/>
    <col min="4665" max="4665" width="6.06640625" bestFit="1" customWidth="1"/>
    <col min="4666" max="4668" width="9" bestFit="1" customWidth="1"/>
    <col min="4669" max="4669" width="7" bestFit="1" customWidth="1"/>
    <col min="4670" max="4670" width="4" bestFit="1" customWidth="1"/>
    <col min="4671" max="4671" width="9" bestFit="1" customWidth="1"/>
    <col min="4672" max="4672" width="7" bestFit="1" customWidth="1"/>
    <col min="4673" max="4674" width="9" bestFit="1" customWidth="1"/>
    <col min="4675" max="4675" width="4" bestFit="1" customWidth="1"/>
    <col min="4676" max="4677" width="9" bestFit="1" customWidth="1"/>
    <col min="4678" max="4678" width="7" bestFit="1" customWidth="1"/>
    <col min="4679" max="4679" width="6.06640625" bestFit="1" customWidth="1"/>
    <col min="4680" max="4680" width="7" bestFit="1" customWidth="1"/>
    <col min="4681" max="4681" width="9" bestFit="1" customWidth="1"/>
    <col min="4682" max="4682" width="7.9296875" bestFit="1" customWidth="1"/>
    <col min="4683" max="4683" width="9" bestFit="1" customWidth="1"/>
    <col min="4684" max="4685" width="6.06640625" bestFit="1" customWidth="1"/>
    <col min="4686" max="4686" width="9" bestFit="1" customWidth="1"/>
    <col min="4687" max="4687" width="7" bestFit="1" customWidth="1"/>
    <col min="4688" max="4689" width="9" bestFit="1" customWidth="1"/>
    <col min="4690" max="4690" width="4" bestFit="1" customWidth="1"/>
    <col min="4691" max="4691" width="9" bestFit="1" customWidth="1"/>
    <col min="4692" max="4693" width="6.06640625" bestFit="1" customWidth="1"/>
    <col min="4694" max="4695" width="7" bestFit="1" customWidth="1"/>
    <col min="4696" max="4696" width="6.06640625" bestFit="1" customWidth="1"/>
    <col min="4697" max="4697" width="7" bestFit="1" customWidth="1"/>
    <col min="4698" max="4698" width="4" bestFit="1" customWidth="1"/>
    <col min="4699" max="4699" width="9" bestFit="1" customWidth="1"/>
    <col min="4700" max="4701" width="7" bestFit="1" customWidth="1"/>
    <col min="4702" max="4702" width="6.06640625" bestFit="1" customWidth="1"/>
    <col min="4703" max="4703" width="7" bestFit="1" customWidth="1"/>
    <col min="4704" max="4704" width="6.06640625" bestFit="1" customWidth="1"/>
    <col min="4705" max="4705" width="9" bestFit="1" customWidth="1"/>
    <col min="4706" max="4707" width="7" bestFit="1" customWidth="1"/>
    <col min="4708" max="4708" width="9" bestFit="1" customWidth="1"/>
    <col min="4709" max="4711" width="6.06640625" bestFit="1" customWidth="1"/>
    <col min="4712" max="4712" width="7" bestFit="1" customWidth="1"/>
    <col min="4713" max="4714" width="9" bestFit="1" customWidth="1"/>
    <col min="4715" max="4715" width="7" bestFit="1" customWidth="1"/>
    <col min="4716" max="4716" width="9" bestFit="1" customWidth="1"/>
    <col min="4717" max="4717" width="6.06640625" bestFit="1" customWidth="1"/>
    <col min="4718" max="4718" width="7" bestFit="1" customWidth="1"/>
    <col min="4719" max="4720" width="9" bestFit="1" customWidth="1"/>
    <col min="4721" max="4722" width="6.06640625" bestFit="1" customWidth="1"/>
    <col min="4723" max="4723" width="9" bestFit="1" customWidth="1"/>
    <col min="4724" max="4724" width="7" bestFit="1" customWidth="1"/>
    <col min="4725" max="4725" width="9" bestFit="1" customWidth="1"/>
    <col min="4726" max="4728" width="7" bestFit="1" customWidth="1"/>
    <col min="4729" max="4729" width="6.06640625" bestFit="1" customWidth="1"/>
    <col min="4730" max="4730" width="7" bestFit="1" customWidth="1"/>
    <col min="4731" max="4731" width="6.06640625" bestFit="1" customWidth="1"/>
    <col min="4732" max="4732" width="9" bestFit="1" customWidth="1"/>
    <col min="4733" max="4734" width="6.06640625" bestFit="1" customWidth="1"/>
    <col min="4735" max="4735" width="9" bestFit="1" customWidth="1"/>
    <col min="4736" max="4736" width="4" bestFit="1" customWidth="1"/>
    <col min="4737" max="4737" width="9" bestFit="1" customWidth="1"/>
    <col min="4738" max="4739" width="7" bestFit="1" customWidth="1"/>
    <col min="4740" max="4741" width="9" bestFit="1" customWidth="1"/>
    <col min="4742" max="4742" width="6.06640625" bestFit="1" customWidth="1"/>
    <col min="4743" max="4743" width="7" bestFit="1" customWidth="1"/>
    <col min="4744" max="4744" width="4" bestFit="1" customWidth="1"/>
    <col min="4745" max="4745" width="9" bestFit="1" customWidth="1"/>
    <col min="4746" max="4746" width="7" bestFit="1" customWidth="1"/>
    <col min="4747" max="4747" width="6.06640625" bestFit="1" customWidth="1"/>
    <col min="4748" max="4748" width="7" bestFit="1" customWidth="1"/>
    <col min="4749" max="4750" width="9" bestFit="1" customWidth="1"/>
    <col min="4751" max="4751" width="6.06640625" bestFit="1" customWidth="1"/>
    <col min="4752" max="4754" width="7" bestFit="1" customWidth="1"/>
    <col min="4755" max="4755" width="9" bestFit="1" customWidth="1"/>
    <col min="4756" max="4756" width="7" bestFit="1" customWidth="1"/>
    <col min="4757" max="4757" width="6.06640625" bestFit="1" customWidth="1"/>
    <col min="4758" max="4758" width="9" bestFit="1" customWidth="1"/>
    <col min="4759" max="4759" width="6.06640625" bestFit="1" customWidth="1"/>
    <col min="4760" max="4760" width="7" bestFit="1" customWidth="1"/>
    <col min="4761" max="4763" width="9" bestFit="1" customWidth="1"/>
    <col min="4764" max="4764" width="4" bestFit="1" customWidth="1"/>
    <col min="4765" max="4765" width="7" bestFit="1" customWidth="1"/>
    <col min="4766" max="4766" width="6.06640625" bestFit="1" customWidth="1"/>
    <col min="4767" max="4767" width="7.9296875" bestFit="1" customWidth="1"/>
    <col min="4768" max="4768" width="7" bestFit="1" customWidth="1"/>
    <col min="4769" max="4769" width="7.9296875" bestFit="1" customWidth="1"/>
    <col min="4770" max="4772" width="9" bestFit="1" customWidth="1"/>
    <col min="4773" max="4773" width="4" bestFit="1" customWidth="1"/>
    <col min="4774" max="4774" width="9" bestFit="1" customWidth="1"/>
    <col min="4775" max="4775" width="6.06640625" bestFit="1" customWidth="1"/>
    <col min="4776" max="4776" width="9" bestFit="1" customWidth="1"/>
    <col min="4777" max="4777" width="7" bestFit="1" customWidth="1"/>
    <col min="4778" max="4779" width="9" bestFit="1" customWidth="1"/>
    <col min="4780" max="4780" width="4" bestFit="1" customWidth="1"/>
    <col min="4781" max="4781" width="6.06640625" bestFit="1" customWidth="1"/>
    <col min="4782" max="4782" width="9" bestFit="1" customWidth="1"/>
    <col min="4783" max="4783" width="6.06640625" bestFit="1" customWidth="1"/>
    <col min="4784" max="4785" width="7" bestFit="1" customWidth="1"/>
    <col min="4786" max="4786" width="7.9296875" bestFit="1" customWidth="1"/>
    <col min="4787" max="4787" width="4" bestFit="1" customWidth="1"/>
    <col min="4788" max="4789" width="9" bestFit="1" customWidth="1"/>
    <col min="4790" max="4790" width="6.06640625" bestFit="1" customWidth="1"/>
    <col min="4791" max="4794" width="9" bestFit="1" customWidth="1"/>
    <col min="4795" max="4795" width="7" bestFit="1" customWidth="1"/>
    <col min="4796" max="4796" width="6.06640625" bestFit="1" customWidth="1"/>
    <col min="4797" max="4797" width="4" bestFit="1" customWidth="1"/>
    <col min="4798" max="4799" width="9" bestFit="1" customWidth="1"/>
    <col min="4800" max="4800" width="7" bestFit="1" customWidth="1"/>
    <col min="4801" max="4801" width="9" bestFit="1" customWidth="1"/>
    <col min="4802" max="4802" width="6.06640625" bestFit="1" customWidth="1"/>
    <col min="4803" max="4805" width="9" bestFit="1" customWidth="1"/>
    <col min="4806" max="4806" width="4" bestFit="1" customWidth="1"/>
    <col min="4807" max="4807" width="7" bestFit="1" customWidth="1"/>
    <col min="4808" max="4808" width="9" bestFit="1" customWidth="1"/>
    <col min="4809" max="4809" width="6.06640625" bestFit="1" customWidth="1"/>
    <col min="4810" max="4810" width="7.9296875" bestFit="1" customWidth="1"/>
    <col min="4811" max="4811" width="7" bestFit="1" customWidth="1"/>
    <col min="4812" max="4813" width="6.06640625" bestFit="1" customWidth="1"/>
    <col min="4814" max="4814" width="7" bestFit="1" customWidth="1"/>
    <col min="4815" max="4815" width="9" bestFit="1" customWidth="1"/>
    <col min="4816" max="4816" width="4" bestFit="1" customWidth="1"/>
    <col min="4817" max="4817" width="9" bestFit="1" customWidth="1"/>
    <col min="4818" max="4818" width="7" bestFit="1" customWidth="1"/>
    <col min="4819" max="4821" width="9" bestFit="1" customWidth="1"/>
    <col min="4822" max="4822" width="7.9296875" bestFit="1" customWidth="1"/>
    <col min="4823" max="4823" width="9" bestFit="1" customWidth="1"/>
    <col min="4824" max="4824" width="7" bestFit="1" customWidth="1"/>
    <col min="4825" max="4825" width="9" bestFit="1" customWidth="1"/>
    <col min="4826" max="4826" width="7" bestFit="1" customWidth="1"/>
    <col min="4827" max="4828" width="9" bestFit="1" customWidth="1"/>
    <col min="4829" max="4829" width="7" bestFit="1" customWidth="1"/>
    <col min="4830" max="4830" width="6.06640625" bestFit="1" customWidth="1"/>
    <col min="4831" max="4836" width="9" bestFit="1" customWidth="1"/>
    <col min="4837" max="4837" width="4" bestFit="1" customWidth="1"/>
    <col min="4838" max="4838" width="7" bestFit="1" customWidth="1"/>
    <col min="4839" max="4841" width="9" bestFit="1" customWidth="1"/>
    <col min="4842" max="4842" width="7" bestFit="1" customWidth="1"/>
    <col min="4843" max="4843" width="9" bestFit="1" customWidth="1"/>
    <col min="4844" max="4844" width="7" bestFit="1" customWidth="1"/>
    <col min="4845" max="4845" width="9" bestFit="1" customWidth="1"/>
    <col min="4846" max="4846" width="6.06640625" bestFit="1" customWidth="1"/>
    <col min="4847" max="4849" width="9" bestFit="1" customWidth="1"/>
    <col min="4850" max="4850" width="6.06640625" bestFit="1" customWidth="1"/>
    <col min="4851" max="4851" width="7.9296875" bestFit="1" customWidth="1"/>
    <col min="4852" max="4852" width="4" bestFit="1" customWidth="1"/>
    <col min="4853" max="4853" width="9" bestFit="1" customWidth="1"/>
    <col min="4854" max="4854" width="6.06640625" bestFit="1" customWidth="1"/>
    <col min="4855" max="4855" width="9" bestFit="1" customWidth="1"/>
    <col min="4856" max="4856" width="7" bestFit="1" customWidth="1"/>
    <col min="4857" max="4857" width="9" bestFit="1" customWidth="1"/>
    <col min="4858" max="4858" width="7.9296875" bestFit="1" customWidth="1"/>
    <col min="4859" max="4859" width="6.06640625" bestFit="1" customWidth="1"/>
    <col min="4860" max="4861" width="9" bestFit="1" customWidth="1"/>
    <col min="4862" max="4862" width="6.06640625" bestFit="1" customWidth="1"/>
    <col min="4863" max="4863" width="4" bestFit="1" customWidth="1"/>
    <col min="4864" max="4865" width="9" bestFit="1" customWidth="1"/>
    <col min="4866" max="4866" width="7" bestFit="1" customWidth="1"/>
    <col min="4867" max="4867" width="6.06640625" bestFit="1" customWidth="1"/>
    <col min="4868" max="4868" width="9" bestFit="1" customWidth="1"/>
    <col min="4869" max="4869" width="6.06640625" bestFit="1" customWidth="1"/>
    <col min="4870" max="4870" width="7" bestFit="1" customWidth="1"/>
    <col min="4871" max="4872" width="9" bestFit="1" customWidth="1"/>
    <col min="4873" max="4873" width="7" bestFit="1" customWidth="1"/>
    <col min="4874" max="4874" width="4" bestFit="1" customWidth="1"/>
    <col min="4875" max="4875" width="7" bestFit="1" customWidth="1"/>
    <col min="4876" max="4877" width="6.06640625" bestFit="1" customWidth="1"/>
    <col min="4878" max="4878" width="7" bestFit="1" customWidth="1"/>
    <col min="4879" max="4879" width="4" bestFit="1" customWidth="1"/>
    <col min="4880" max="4881" width="9" bestFit="1" customWidth="1"/>
    <col min="4882" max="4882" width="6.06640625" bestFit="1" customWidth="1"/>
    <col min="4883" max="4883" width="9" bestFit="1" customWidth="1"/>
    <col min="4884" max="4884" width="6.06640625" bestFit="1" customWidth="1"/>
    <col min="4885" max="4886" width="9" bestFit="1" customWidth="1"/>
    <col min="4887" max="4887" width="4" bestFit="1" customWidth="1"/>
    <col min="4888" max="4888" width="7" bestFit="1" customWidth="1"/>
    <col min="4889" max="4890" width="9" bestFit="1" customWidth="1"/>
    <col min="4891" max="4891" width="7" bestFit="1" customWidth="1"/>
    <col min="4892" max="4892" width="9" bestFit="1" customWidth="1"/>
    <col min="4893" max="4893" width="7.9296875" bestFit="1" customWidth="1"/>
    <col min="4894" max="4894" width="4" bestFit="1" customWidth="1"/>
    <col min="4895" max="4896" width="9" bestFit="1" customWidth="1"/>
    <col min="4897" max="4897" width="6.06640625" bestFit="1" customWidth="1"/>
    <col min="4898" max="4898" width="9" bestFit="1" customWidth="1"/>
    <col min="4899" max="4899" width="7" bestFit="1" customWidth="1"/>
    <col min="4900" max="4900" width="6.06640625" bestFit="1" customWidth="1"/>
    <col min="4901" max="4901" width="4" bestFit="1" customWidth="1"/>
    <col min="4902" max="4903" width="7" bestFit="1" customWidth="1"/>
    <col min="4904" max="4904" width="9" bestFit="1" customWidth="1"/>
    <col min="4905" max="4905" width="7.9296875" bestFit="1" customWidth="1"/>
    <col min="4906" max="4906" width="6.06640625" bestFit="1" customWidth="1"/>
    <col min="4907" max="4907" width="7" bestFit="1" customWidth="1"/>
    <col min="4908" max="4911" width="9" bestFit="1" customWidth="1"/>
    <col min="4912" max="4912" width="4" bestFit="1" customWidth="1"/>
    <col min="4913" max="4913" width="9" bestFit="1" customWidth="1"/>
    <col min="4914" max="4914" width="7" bestFit="1" customWidth="1"/>
    <col min="4915" max="4915" width="6.06640625" bestFit="1" customWidth="1"/>
    <col min="4916" max="4916" width="9" bestFit="1" customWidth="1"/>
    <col min="4917" max="4917" width="6.06640625" bestFit="1" customWidth="1"/>
    <col min="4918" max="4918" width="7" bestFit="1" customWidth="1"/>
    <col min="4919" max="4920" width="9" bestFit="1" customWidth="1"/>
    <col min="4921" max="4921" width="7.9296875" bestFit="1" customWidth="1"/>
    <col min="4922" max="4924" width="9" bestFit="1" customWidth="1"/>
    <col min="4925" max="4925" width="7" bestFit="1" customWidth="1"/>
    <col min="4926" max="4927" width="9" bestFit="1" customWidth="1"/>
    <col min="4928" max="4928" width="7" bestFit="1" customWidth="1"/>
    <col min="4929" max="4929" width="9" bestFit="1" customWidth="1"/>
    <col min="4930" max="4930" width="4" bestFit="1" customWidth="1"/>
    <col min="4931" max="4931" width="9" bestFit="1" customWidth="1"/>
    <col min="4932" max="4932" width="7" bestFit="1" customWidth="1"/>
    <col min="4933" max="4933" width="9" bestFit="1" customWidth="1"/>
    <col min="4934" max="4935" width="7" bestFit="1" customWidth="1"/>
    <col min="4936" max="4937" width="9" bestFit="1" customWidth="1"/>
    <col min="4938" max="4938" width="7" bestFit="1" customWidth="1"/>
    <col min="4939" max="4940" width="6.06640625" bestFit="1" customWidth="1"/>
    <col min="4941" max="4941" width="9" bestFit="1" customWidth="1"/>
    <col min="4942" max="4942" width="6.06640625" bestFit="1" customWidth="1"/>
    <col min="4943" max="4943" width="7" bestFit="1" customWidth="1"/>
    <col min="4944" max="4946" width="9" bestFit="1" customWidth="1"/>
    <col min="4947" max="4947" width="7" bestFit="1" customWidth="1"/>
    <col min="4948" max="4949" width="9" bestFit="1" customWidth="1"/>
    <col min="4950" max="4950" width="7" bestFit="1" customWidth="1"/>
    <col min="4951" max="4955" width="9" bestFit="1" customWidth="1"/>
    <col min="4956" max="4957" width="7" bestFit="1" customWidth="1"/>
    <col min="4958" max="4958" width="9" bestFit="1" customWidth="1"/>
    <col min="4959" max="4959" width="7.9296875" bestFit="1" customWidth="1"/>
    <col min="4960" max="4964" width="9" bestFit="1" customWidth="1"/>
    <col min="4965" max="4965" width="7" bestFit="1" customWidth="1"/>
    <col min="4966" max="4966" width="9" bestFit="1" customWidth="1"/>
    <col min="4967" max="4967" width="7" bestFit="1" customWidth="1"/>
    <col min="4968" max="4968" width="6.06640625" bestFit="1" customWidth="1"/>
    <col min="4969" max="4969" width="9" bestFit="1" customWidth="1"/>
    <col min="4970" max="4970" width="4" bestFit="1" customWidth="1"/>
    <col min="4971" max="4972" width="9" bestFit="1" customWidth="1"/>
    <col min="4973" max="4973" width="4" bestFit="1" customWidth="1"/>
    <col min="4974" max="4975" width="9" bestFit="1" customWidth="1"/>
    <col min="4976" max="4976" width="6.06640625" bestFit="1" customWidth="1"/>
    <col min="4977" max="4977" width="9" bestFit="1" customWidth="1"/>
    <col min="4978" max="4978" width="7" bestFit="1" customWidth="1"/>
    <col min="4979" max="4979" width="4" bestFit="1" customWidth="1"/>
    <col min="4980" max="4980" width="6.06640625" bestFit="1" customWidth="1"/>
    <col min="4981" max="4984" width="9" bestFit="1" customWidth="1"/>
    <col min="4985" max="4985" width="6.06640625" bestFit="1" customWidth="1"/>
    <col min="4986" max="4986" width="7" bestFit="1" customWidth="1"/>
    <col min="4987" max="4987" width="9" bestFit="1" customWidth="1"/>
    <col min="4988" max="4988" width="4" bestFit="1" customWidth="1"/>
    <col min="4989" max="4991" width="7" bestFit="1" customWidth="1"/>
    <col min="4992" max="4992" width="9" bestFit="1" customWidth="1"/>
    <col min="4993" max="4993" width="6.06640625" bestFit="1" customWidth="1"/>
    <col min="4994" max="4994" width="7" bestFit="1" customWidth="1"/>
    <col min="4995" max="4995" width="6.06640625" bestFit="1" customWidth="1"/>
    <col min="4996" max="4997" width="9" bestFit="1" customWidth="1"/>
    <col min="4998" max="4999" width="6.06640625" bestFit="1" customWidth="1"/>
    <col min="5000" max="5001" width="9" bestFit="1" customWidth="1"/>
    <col min="5002" max="5002" width="7" bestFit="1" customWidth="1"/>
    <col min="5003" max="5003" width="4" bestFit="1" customWidth="1"/>
    <col min="5004" max="5004" width="7.9296875" bestFit="1" customWidth="1"/>
    <col min="5005" max="5005" width="9" bestFit="1" customWidth="1"/>
    <col min="5006" max="5006" width="7" bestFit="1" customWidth="1"/>
    <col min="5007" max="5007" width="9" bestFit="1" customWidth="1"/>
    <col min="5008" max="5008" width="6.06640625" bestFit="1" customWidth="1"/>
    <col min="5009" max="5009" width="7" bestFit="1" customWidth="1"/>
    <col min="5010" max="5010" width="9" bestFit="1" customWidth="1"/>
    <col min="5011" max="5011" width="4" bestFit="1" customWidth="1"/>
    <col min="5012" max="5013" width="9" bestFit="1" customWidth="1"/>
    <col min="5014" max="5015" width="7.9296875" bestFit="1" customWidth="1"/>
    <col min="5016" max="5016" width="7" bestFit="1" customWidth="1"/>
    <col min="5017" max="5018" width="9" bestFit="1" customWidth="1"/>
    <col min="5019" max="5019" width="7" bestFit="1" customWidth="1"/>
    <col min="5020" max="5020" width="4" bestFit="1" customWidth="1"/>
    <col min="5021" max="5024" width="9" bestFit="1" customWidth="1"/>
    <col min="5025" max="5025" width="7" bestFit="1" customWidth="1"/>
    <col min="5026" max="5026" width="9" bestFit="1" customWidth="1"/>
    <col min="5027" max="5027" width="6.06640625" bestFit="1" customWidth="1"/>
    <col min="5028" max="5028" width="9" bestFit="1" customWidth="1"/>
    <col min="5029" max="5029" width="4" bestFit="1" customWidth="1"/>
    <col min="5030" max="5033" width="9" bestFit="1" customWidth="1"/>
    <col min="5034" max="5034" width="6.06640625" bestFit="1" customWidth="1"/>
    <col min="5035" max="5035" width="9" bestFit="1" customWidth="1"/>
    <col min="5036" max="5036" width="7" bestFit="1" customWidth="1"/>
    <col min="5037" max="5038" width="9" bestFit="1" customWidth="1"/>
    <col min="5039" max="5039" width="6.06640625" bestFit="1" customWidth="1"/>
    <col min="5040" max="5040" width="9" bestFit="1" customWidth="1"/>
    <col min="5041" max="5041" width="7.9296875" bestFit="1" customWidth="1"/>
    <col min="5042" max="5042" width="4" bestFit="1" customWidth="1"/>
    <col min="5043" max="5043" width="9" bestFit="1" customWidth="1"/>
    <col min="5044" max="5044" width="7" bestFit="1" customWidth="1"/>
    <col min="5045" max="5045" width="6.06640625" bestFit="1" customWidth="1"/>
    <col min="5046" max="5047" width="9" bestFit="1" customWidth="1"/>
    <col min="5048" max="5048" width="4" bestFit="1" customWidth="1"/>
    <col min="5049" max="5049" width="7" bestFit="1" customWidth="1"/>
    <col min="5050" max="5053" width="9" bestFit="1" customWidth="1"/>
    <col min="5054" max="5054" width="7.9296875" bestFit="1" customWidth="1"/>
    <col min="5055" max="5055" width="4" bestFit="1" customWidth="1"/>
    <col min="5056" max="5056" width="9" bestFit="1" customWidth="1"/>
    <col min="5057" max="5057" width="7.9296875" bestFit="1" customWidth="1"/>
    <col min="5058" max="5060" width="6.06640625" bestFit="1" customWidth="1"/>
    <col min="5061" max="5062" width="9" bestFit="1" customWidth="1"/>
    <col min="5063" max="5063" width="6.06640625" bestFit="1" customWidth="1"/>
    <col min="5064" max="5065" width="7" bestFit="1" customWidth="1"/>
    <col min="5066" max="5066" width="4" bestFit="1" customWidth="1"/>
    <col min="5067" max="5067" width="9" bestFit="1" customWidth="1"/>
    <col min="5068" max="5068" width="6.06640625" bestFit="1" customWidth="1"/>
    <col min="5069" max="5069" width="7" bestFit="1" customWidth="1"/>
    <col min="5070" max="5070" width="4" bestFit="1" customWidth="1"/>
    <col min="5071" max="5071" width="9" bestFit="1" customWidth="1"/>
    <col min="5072" max="5073" width="6.06640625" bestFit="1" customWidth="1"/>
    <col min="5074" max="5074" width="9" bestFit="1" customWidth="1"/>
    <col min="5075" max="5075" width="6.06640625" bestFit="1" customWidth="1"/>
    <col min="5076" max="5076" width="9" bestFit="1" customWidth="1"/>
    <col min="5077" max="5077" width="4" bestFit="1" customWidth="1"/>
    <col min="5078" max="5078" width="9" bestFit="1" customWidth="1"/>
    <col min="5079" max="5079" width="7" bestFit="1" customWidth="1"/>
    <col min="5080" max="5082" width="9" bestFit="1" customWidth="1"/>
    <col min="5083" max="5083" width="7" bestFit="1" customWidth="1"/>
    <col min="5084" max="5084" width="9" bestFit="1" customWidth="1"/>
    <col min="5085" max="5085" width="7" bestFit="1" customWidth="1"/>
    <col min="5086" max="5086" width="9" bestFit="1" customWidth="1"/>
    <col min="5087" max="5087" width="6.06640625" bestFit="1" customWidth="1"/>
    <col min="5088" max="5088" width="9" bestFit="1" customWidth="1"/>
    <col min="5089" max="5089" width="7" bestFit="1" customWidth="1"/>
    <col min="5090" max="5090" width="9" bestFit="1" customWidth="1"/>
    <col min="5091" max="5091" width="7.9296875" bestFit="1" customWidth="1"/>
    <col min="5092" max="5092" width="6.06640625" bestFit="1" customWidth="1"/>
    <col min="5093" max="5093" width="7.9296875" bestFit="1" customWidth="1"/>
    <col min="5094" max="5094" width="9" bestFit="1" customWidth="1"/>
    <col min="5095" max="5095" width="7" bestFit="1" customWidth="1"/>
    <col min="5096" max="5096" width="4" bestFit="1" customWidth="1"/>
    <col min="5097" max="5097" width="9" bestFit="1" customWidth="1"/>
    <col min="5098" max="5098" width="7" bestFit="1" customWidth="1"/>
    <col min="5099" max="5099" width="9" bestFit="1" customWidth="1"/>
    <col min="5100" max="5100" width="4" bestFit="1" customWidth="1"/>
    <col min="5101" max="5102" width="9" bestFit="1" customWidth="1"/>
    <col min="5103" max="5103" width="7.9296875" bestFit="1" customWidth="1"/>
    <col min="5104" max="5105" width="9" bestFit="1" customWidth="1"/>
    <col min="5106" max="5106" width="7" bestFit="1" customWidth="1"/>
    <col min="5107" max="5108" width="6.06640625" bestFit="1" customWidth="1"/>
    <col min="5109" max="5109" width="4" bestFit="1" customWidth="1"/>
    <col min="5110" max="5112" width="9" bestFit="1" customWidth="1"/>
    <col min="5113" max="5115" width="6.06640625" bestFit="1" customWidth="1"/>
    <col min="5116" max="5117" width="7" bestFit="1" customWidth="1"/>
    <col min="5118" max="5118" width="4" bestFit="1" customWidth="1"/>
    <col min="5119" max="5119" width="9" bestFit="1" customWidth="1"/>
    <col min="5120" max="5120" width="7" bestFit="1" customWidth="1"/>
    <col min="5121" max="5122" width="7.9296875" bestFit="1" customWidth="1"/>
    <col min="5123" max="5123" width="9" bestFit="1" customWidth="1"/>
    <col min="5124" max="5124" width="7" bestFit="1" customWidth="1"/>
    <col min="5125" max="5125" width="6.06640625" bestFit="1" customWidth="1"/>
    <col min="5126" max="5126" width="7" bestFit="1" customWidth="1"/>
    <col min="5127" max="5127" width="6.06640625" bestFit="1" customWidth="1"/>
    <col min="5128" max="5128" width="4" bestFit="1" customWidth="1"/>
    <col min="5129" max="5129" width="7.9296875" bestFit="1" customWidth="1"/>
    <col min="5130" max="5130" width="7" bestFit="1" customWidth="1"/>
    <col min="5131" max="5131" width="9" bestFit="1" customWidth="1"/>
    <col min="5132" max="5134" width="7" bestFit="1" customWidth="1"/>
    <col min="5135" max="5135" width="9" bestFit="1" customWidth="1"/>
    <col min="5136" max="5136" width="7" bestFit="1" customWidth="1"/>
    <col min="5137" max="5137" width="6.06640625" bestFit="1" customWidth="1"/>
    <col min="5138" max="5139" width="7" bestFit="1" customWidth="1"/>
    <col min="5140" max="5140" width="6.06640625" bestFit="1" customWidth="1"/>
    <col min="5141" max="5141" width="9" bestFit="1" customWidth="1"/>
    <col min="5142" max="5142" width="7" bestFit="1" customWidth="1"/>
    <col min="5143" max="5144" width="9" bestFit="1" customWidth="1"/>
    <col min="5145" max="5145" width="4" bestFit="1" customWidth="1"/>
    <col min="5146" max="5147" width="9" bestFit="1" customWidth="1"/>
    <col min="5148" max="5149" width="7" bestFit="1" customWidth="1"/>
    <col min="5150" max="5150" width="9" bestFit="1" customWidth="1"/>
    <col min="5151" max="5151" width="6.06640625" bestFit="1" customWidth="1"/>
    <col min="5152" max="5152" width="7" bestFit="1" customWidth="1"/>
    <col min="5153" max="5153" width="6.06640625" bestFit="1" customWidth="1"/>
    <col min="5154" max="5154" width="9" bestFit="1" customWidth="1"/>
    <col min="5155" max="5155" width="7" bestFit="1" customWidth="1"/>
    <col min="5156" max="5156" width="4" bestFit="1" customWidth="1"/>
    <col min="5157" max="5157" width="7" bestFit="1" customWidth="1"/>
    <col min="5158" max="5158" width="7.9296875" bestFit="1" customWidth="1"/>
    <col min="5159" max="5159" width="7" bestFit="1" customWidth="1"/>
    <col min="5160" max="5160" width="6.06640625" bestFit="1" customWidth="1"/>
    <col min="5161" max="5161" width="4" bestFit="1" customWidth="1"/>
    <col min="5162" max="5163" width="6.06640625" bestFit="1" customWidth="1"/>
    <col min="5164" max="5164" width="7.9296875" bestFit="1" customWidth="1"/>
    <col min="5165" max="5166" width="6.06640625" bestFit="1" customWidth="1"/>
    <col min="5167" max="5167" width="9" bestFit="1" customWidth="1"/>
    <col min="5168" max="5168" width="7" bestFit="1" customWidth="1"/>
    <col min="5169" max="5169" width="9" bestFit="1" customWidth="1"/>
    <col min="5170" max="5170" width="7" bestFit="1" customWidth="1"/>
    <col min="5171" max="5171" width="9" bestFit="1" customWidth="1"/>
    <col min="5172" max="5172" width="4" bestFit="1" customWidth="1"/>
    <col min="5173" max="5174" width="9" bestFit="1" customWidth="1"/>
    <col min="5175" max="5176" width="6.06640625" bestFit="1" customWidth="1"/>
    <col min="5177" max="5177" width="9" bestFit="1" customWidth="1"/>
    <col min="5178" max="5178" width="7" bestFit="1" customWidth="1"/>
    <col min="5179" max="5179" width="9" bestFit="1" customWidth="1"/>
    <col min="5180" max="5180" width="7" bestFit="1" customWidth="1"/>
    <col min="5181" max="5181" width="9" bestFit="1" customWidth="1"/>
    <col min="5182" max="5182" width="7" bestFit="1" customWidth="1"/>
    <col min="5183" max="5183" width="4" bestFit="1" customWidth="1"/>
    <col min="5184" max="5184" width="9" bestFit="1" customWidth="1"/>
    <col min="5185" max="5185" width="7" bestFit="1" customWidth="1"/>
    <col min="5186" max="5186" width="9" bestFit="1" customWidth="1"/>
    <col min="5187" max="5187" width="6.06640625" bestFit="1" customWidth="1"/>
    <col min="5188" max="5188" width="9" bestFit="1" customWidth="1"/>
    <col min="5189" max="5189" width="4" bestFit="1" customWidth="1"/>
    <col min="5190" max="5190" width="6.06640625" bestFit="1" customWidth="1"/>
    <col min="5191" max="5193" width="9" bestFit="1" customWidth="1"/>
    <col min="5194" max="5194" width="6.06640625" bestFit="1" customWidth="1"/>
    <col min="5195" max="5196" width="7" bestFit="1" customWidth="1"/>
    <col min="5197" max="5197" width="4" bestFit="1" customWidth="1"/>
    <col min="5198" max="5198" width="9" bestFit="1" customWidth="1"/>
    <col min="5199" max="5199" width="6.06640625" bestFit="1" customWidth="1"/>
    <col min="5200" max="5200" width="9" bestFit="1" customWidth="1"/>
    <col min="5201" max="5201" width="6.06640625" bestFit="1" customWidth="1"/>
    <col min="5202" max="5204" width="9" bestFit="1" customWidth="1"/>
    <col min="5205" max="5205" width="7" bestFit="1" customWidth="1"/>
    <col min="5206" max="5206" width="4" bestFit="1" customWidth="1"/>
    <col min="5207" max="5209" width="9" bestFit="1" customWidth="1"/>
    <col min="5210" max="5210" width="7" bestFit="1" customWidth="1"/>
    <col min="5211" max="5211" width="9" bestFit="1" customWidth="1"/>
    <col min="5212" max="5212" width="7.9296875" bestFit="1" customWidth="1"/>
    <col min="5213" max="5213" width="9" bestFit="1" customWidth="1"/>
    <col min="5214" max="5214" width="4" bestFit="1" customWidth="1"/>
    <col min="5215" max="5218" width="9" bestFit="1" customWidth="1"/>
    <col min="5219" max="5220" width="7" bestFit="1" customWidth="1"/>
    <col min="5221" max="5222" width="9" bestFit="1" customWidth="1"/>
    <col min="5223" max="5223" width="4" bestFit="1" customWidth="1"/>
    <col min="5224" max="5226" width="7" bestFit="1" customWidth="1"/>
    <col min="5227" max="5227" width="9" bestFit="1" customWidth="1"/>
    <col min="5228" max="5228" width="6.06640625" bestFit="1" customWidth="1"/>
    <col min="5229" max="5229" width="9" bestFit="1" customWidth="1"/>
    <col min="5230" max="5230" width="6.06640625" bestFit="1" customWidth="1"/>
    <col min="5231" max="5232" width="9" bestFit="1" customWidth="1"/>
    <col min="5233" max="5233" width="6.06640625" bestFit="1" customWidth="1"/>
    <col min="5234" max="5235" width="9" bestFit="1" customWidth="1"/>
    <col min="5236" max="5236" width="6.06640625" bestFit="1" customWidth="1"/>
    <col min="5237" max="5237" width="4" bestFit="1" customWidth="1"/>
    <col min="5238" max="5238" width="9" bestFit="1" customWidth="1"/>
    <col min="5239" max="5239" width="6.06640625" bestFit="1" customWidth="1"/>
    <col min="5240" max="5241" width="9" bestFit="1" customWidth="1"/>
    <col min="5242" max="5242" width="6.06640625" bestFit="1" customWidth="1"/>
    <col min="5243" max="5243" width="7" bestFit="1" customWidth="1"/>
    <col min="5244" max="5244" width="4" bestFit="1" customWidth="1"/>
    <col min="5245" max="5246" width="7" bestFit="1" customWidth="1"/>
    <col min="5247" max="5248" width="9" bestFit="1" customWidth="1"/>
    <col min="5249" max="5250" width="6.06640625" bestFit="1" customWidth="1"/>
    <col min="5251" max="5252" width="9" bestFit="1" customWidth="1"/>
    <col min="5253" max="5253" width="4" bestFit="1" customWidth="1"/>
    <col min="5254" max="5254" width="9" bestFit="1" customWidth="1"/>
    <col min="5255" max="5255" width="7" bestFit="1" customWidth="1"/>
    <col min="5256" max="5256" width="7.9296875" bestFit="1" customWidth="1"/>
    <col min="5257" max="5257" width="9" bestFit="1" customWidth="1"/>
    <col min="5258" max="5259" width="7.9296875" bestFit="1" customWidth="1"/>
    <col min="5260" max="5261" width="7" bestFit="1" customWidth="1"/>
    <col min="5262" max="5262" width="9" bestFit="1" customWidth="1"/>
    <col min="5263" max="5263" width="7" bestFit="1" customWidth="1"/>
    <col min="5264" max="5265" width="9" bestFit="1" customWidth="1"/>
    <col min="5266" max="5266" width="7.9296875" bestFit="1" customWidth="1"/>
    <col min="5267" max="5268" width="9" bestFit="1" customWidth="1"/>
    <col min="5269" max="5269" width="7.9296875" bestFit="1" customWidth="1"/>
    <col min="5270" max="5270" width="7" bestFit="1" customWidth="1"/>
    <col min="5271" max="5271" width="4" bestFit="1" customWidth="1"/>
    <col min="5272" max="5274" width="9" bestFit="1" customWidth="1"/>
    <col min="5275" max="5275" width="6.06640625" bestFit="1" customWidth="1"/>
    <col min="5276" max="5278" width="9" bestFit="1" customWidth="1"/>
    <col min="5279" max="5279" width="6.06640625" bestFit="1" customWidth="1"/>
    <col min="5280" max="5280" width="9" bestFit="1" customWidth="1"/>
    <col min="5281" max="5281" width="7" bestFit="1" customWidth="1"/>
    <col min="5282" max="5282" width="9" bestFit="1" customWidth="1"/>
    <col min="5283" max="5283" width="4" bestFit="1" customWidth="1"/>
    <col min="5284" max="5285" width="9" bestFit="1" customWidth="1"/>
    <col min="5286" max="5286" width="7" bestFit="1" customWidth="1"/>
    <col min="5287" max="5288" width="6.06640625" bestFit="1" customWidth="1"/>
    <col min="5289" max="5289" width="4" bestFit="1" customWidth="1"/>
    <col min="5290" max="5290" width="9" bestFit="1" customWidth="1"/>
    <col min="5291" max="5291" width="7" bestFit="1" customWidth="1"/>
    <col min="5292" max="5294" width="9" bestFit="1" customWidth="1"/>
    <col min="5295" max="5295" width="7.9296875" bestFit="1" customWidth="1"/>
    <col min="5296" max="5297" width="6.06640625" bestFit="1" customWidth="1"/>
    <col min="5298" max="5298" width="7" bestFit="1" customWidth="1"/>
    <col min="5299" max="5299" width="7.9296875" bestFit="1" customWidth="1"/>
    <col min="5300" max="5300" width="7" bestFit="1" customWidth="1"/>
    <col min="5301" max="5304" width="9" bestFit="1" customWidth="1"/>
    <col min="5305" max="5305" width="7" bestFit="1" customWidth="1"/>
    <col min="5306" max="5306" width="4" bestFit="1" customWidth="1"/>
    <col min="5307" max="5309" width="9" bestFit="1" customWidth="1"/>
    <col min="5310" max="5311" width="6.06640625" bestFit="1" customWidth="1"/>
    <col min="5312" max="5313" width="9" bestFit="1" customWidth="1"/>
    <col min="5314" max="5314" width="7.9296875" bestFit="1" customWidth="1"/>
    <col min="5315" max="5317" width="9" bestFit="1" customWidth="1"/>
    <col min="5318" max="5319" width="7" bestFit="1" customWidth="1"/>
    <col min="5320" max="5320" width="9" bestFit="1" customWidth="1"/>
    <col min="5321" max="5322" width="7" bestFit="1" customWidth="1"/>
    <col min="5323" max="5325" width="9" bestFit="1" customWidth="1"/>
    <col min="5326" max="5326" width="7" bestFit="1" customWidth="1"/>
    <col min="5327" max="5327" width="6.06640625" bestFit="1" customWidth="1"/>
    <col min="5328" max="5328" width="9" bestFit="1" customWidth="1"/>
    <col min="5329" max="5329" width="4" bestFit="1" customWidth="1"/>
    <col min="5330" max="5330" width="7" bestFit="1" customWidth="1"/>
    <col min="5331" max="5333" width="9" bestFit="1" customWidth="1"/>
    <col min="5334" max="5335" width="7" bestFit="1" customWidth="1"/>
    <col min="5336" max="5336" width="6.06640625" bestFit="1" customWidth="1"/>
    <col min="5337" max="5341" width="9" bestFit="1" customWidth="1"/>
    <col min="5342" max="5342" width="6.06640625" bestFit="1" customWidth="1"/>
    <col min="5343" max="5343" width="7.9296875" bestFit="1" customWidth="1"/>
    <col min="5344" max="5344" width="9" bestFit="1" customWidth="1"/>
    <col min="5345" max="5345" width="7.9296875" bestFit="1" customWidth="1"/>
    <col min="5346" max="5346" width="9" bestFit="1" customWidth="1"/>
    <col min="5347" max="5347" width="4" bestFit="1" customWidth="1"/>
    <col min="5348" max="5349" width="7" bestFit="1" customWidth="1"/>
    <col min="5350" max="5350" width="7.9296875" bestFit="1" customWidth="1"/>
    <col min="5351" max="5351" width="7" bestFit="1" customWidth="1"/>
    <col min="5352" max="5352" width="6.06640625" bestFit="1" customWidth="1"/>
    <col min="5353" max="5353" width="9" bestFit="1" customWidth="1"/>
    <col min="5354" max="5354" width="4" bestFit="1" customWidth="1"/>
    <col min="5355" max="5355" width="7.9296875" bestFit="1" customWidth="1"/>
    <col min="5356" max="5362" width="9" bestFit="1" customWidth="1"/>
    <col min="5363" max="5363" width="4" bestFit="1" customWidth="1"/>
    <col min="5364" max="5367" width="9" bestFit="1" customWidth="1"/>
    <col min="5368" max="5368" width="6.06640625" bestFit="1" customWidth="1"/>
    <col min="5369" max="5369" width="9" bestFit="1" customWidth="1"/>
    <col min="5370" max="5370" width="4" bestFit="1" customWidth="1"/>
    <col min="5371" max="5371" width="6.06640625" bestFit="1" customWidth="1"/>
    <col min="5372" max="5373" width="9" bestFit="1" customWidth="1"/>
    <col min="5374" max="5374" width="6.06640625" bestFit="1" customWidth="1"/>
    <col min="5375" max="5376" width="9" bestFit="1" customWidth="1"/>
    <col min="5377" max="5377" width="7" bestFit="1" customWidth="1"/>
    <col min="5378" max="5378" width="9" bestFit="1" customWidth="1"/>
    <col min="5379" max="5379" width="7" bestFit="1" customWidth="1"/>
    <col min="5380" max="5380" width="7.9296875" bestFit="1" customWidth="1"/>
    <col min="5381" max="5381" width="4" bestFit="1" customWidth="1"/>
    <col min="5382" max="5382" width="7" bestFit="1" customWidth="1"/>
    <col min="5383" max="5383" width="9" bestFit="1" customWidth="1"/>
    <col min="5384" max="5384" width="7" bestFit="1" customWidth="1"/>
    <col min="5385" max="5385" width="6.06640625" bestFit="1" customWidth="1"/>
    <col min="5386" max="5386" width="9" bestFit="1" customWidth="1"/>
    <col min="5387" max="5387" width="7" bestFit="1" customWidth="1"/>
    <col min="5388" max="5388" width="6.06640625" bestFit="1" customWidth="1"/>
    <col min="5389" max="5389" width="9" bestFit="1" customWidth="1"/>
    <col min="5390" max="5390" width="6.06640625" bestFit="1" customWidth="1"/>
    <col min="5391" max="5391" width="9" bestFit="1" customWidth="1"/>
    <col min="5392" max="5392" width="6.06640625" bestFit="1" customWidth="1"/>
    <col min="5393" max="5393" width="9" bestFit="1" customWidth="1"/>
    <col min="5394" max="5394" width="7.9296875" bestFit="1" customWidth="1"/>
    <col min="5395" max="5396" width="9" bestFit="1" customWidth="1"/>
    <col min="5397" max="5397" width="7.9296875" bestFit="1" customWidth="1"/>
    <col min="5398" max="5399" width="9" bestFit="1" customWidth="1"/>
    <col min="5400" max="5400" width="7" bestFit="1" customWidth="1"/>
    <col min="5401" max="5401" width="9" bestFit="1" customWidth="1"/>
    <col min="5402" max="5402" width="7.9296875" bestFit="1" customWidth="1"/>
    <col min="5403" max="5403" width="4" bestFit="1" customWidth="1"/>
    <col min="5404" max="5404" width="9" bestFit="1" customWidth="1"/>
    <col min="5405" max="5407" width="7" bestFit="1" customWidth="1"/>
    <col min="5408" max="5412" width="9" bestFit="1" customWidth="1"/>
    <col min="5413" max="5413" width="7" bestFit="1" customWidth="1"/>
    <col min="5414" max="5414" width="4" bestFit="1" customWidth="1"/>
    <col min="5415" max="5415" width="7" bestFit="1" customWidth="1"/>
    <col min="5416" max="5416" width="9" bestFit="1" customWidth="1"/>
    <col min="5417" max="5418" width="7" bestFit="1" customWidth="1"/>
    <col min="5419" max="5419" width="9" bestFit="1" customWidth="1"/>
    <col min="5420" max="5421" width="7" bestFit="1" customWidth="1"/>
    <col min="5422" max="5422" width="9" bestFit="1" customWidth="1"/>
    <col min="5423" max="5424" width="7" bestFit="1" customWidth="1"/>
    <col min="5425" max="5426" width="9" bestFit="1" customWidth="1"/>
    <col min="5427" max="5427" width="6.06640625" bestFit="1" customWidth="1"/>
    <col min="5428" max="5430" width="9" bestFit="1" customWidth="1"/>
    <col min="5431" max="5431" width="4" bestFit="1" customWidth="1"/>
    <col min="5432" max="5432" width="7" bestFit="1" customWidth="1"/>
    <col min="5433" max="5433" width="6.06640625" bestFit="1" customWidth="1"/>
    <col min="5434" max="5434" width="7.9296875" bestFit="1" customWidth="1"/>
    <col min="5435" max="5435" width="9" bestFit="1" customWidth="1"/>
    <col min="5436" max="5436" width="7" bestFit="1" customWidth="1"/>
    <col min="5437" max="5437" width="9" bestFit="1" customWidth="1"/>
    <col min="5438" max="5438" width="7" bestFit="1" customWidth="1"/>
    <col min="5439" max="5439" width="4" bestFit="1" customWidth="1"/>
    <col min="5440" max="5440" width="7" bestFit="1" customWidth="1"/>
    <col min="5441" max="5441" width="9" bestFit="1" customWidth="1"/>
    <col min="5442" max="5442" width="7" bestFit="1" customWidth="1"/>
    <col min="5443" max="5444" width="9" bestFit="1" customWidth="1"/>
    <col min="5445" max="5446" width="7" bestFit="1" customWidth="1"/>
    <col min="5447" max="5447" width="9" bestFit="1" customWidth="1"/>
    <col min="5448" max="5448" width="7.9296875" bestFit="1" customWidth="1"/>
    <col min="5449" max="5449" width="9" bestFit="1" customWidth="1"/>
    <col min="5450" max="5450" width="4" bestFit="1" customWidth="1"/>
    <col min="5451" max="5451" width="7" bestFit="1" customWidth="1"/>
    <col min="5452" max="5452" width="9" bestFit="1" customWidth="1"/>
    <col min="5453" max="5453" width="7" bestFit="1" customWidth="1"/>
    <col min="5454" max="5454" width="7.9296875" bestFit="1" customWidth="1"/>
    <col min="5455" max="5455" width="9" bestFit="1" customWidth="1"/>
    <col min="5456" max="5456" width="6.06640625" bestFit="1" customWidth="1"/>
    <col min="5457" max="5457" width="9" bestFit="1" customWidth="1"/>
    <col min="5458" max="5458" width="6.06640625" bestFit="1" customWidth="1"/>
    <col min="5459" max="5461" width="9" bestFit="1" customWidth="1"/>
    <col min="5462" max="5462" width="4" bestFit="1" customWidth="1"/>
    <col min="5463" max="5464" width="9" bestFit="1" customWidth="1"/>
    <col min="5465" max="5465" width="7" bestFit="1" customWidth="1"/>
    <col min="5466" max="5466" width="6.06640625" bestFit="1" customWidth="1"/>
    <col min="5467" max="5467" width="9" bestFit="1" customWidth="1"/>
    <col min="5468" max="5468" width="4" bestFit="1" customWidth="1"/>
    <col min="5469" max="5469" width="9" bestFit="1" customWidth="1"/>
    <col min="5470" max="5470" width="7" bestFit="1" customWidth="1"/>
    <col min="5471" max="5471" width="9" bestFit="1" customWidth="1"/>
    <col min="5472" max="5473" width="7" bestFit="1" customWidth="1"/>
    <col min="5474" max="5474" width="6.06640625" bestFit="1" customWidth="1"/>
    <col min="5475" max="5475" width="9" bestFit="1" customWidth="1"/>
    <col min="5476" max="5476" width="6.06640625" bestFit="1" customWidth="1"/>
    <col min="5477" max="5478" width="9" bestFit="1" customWidth="1"/>
    <col min="5479" max="5479" width="7" bestFit="1" customWidth="1"/>
    <col min="5480" max="5480" width="7.9296875" bestFit="1" customWidth="1"/>
    <col min="5481" max="5482" width="9" bestFit="1" customWidth="1"/>
    <col min="5483" max="5483" width="6.06640625" bestFit="1" customWidth="1"/>
    <col min="5484" max="5484" width="9" bestFit="1" customWidth="1"/>
    <col min="5485" max="5485" width="6.06640625" bestFit="1" customWidth="1"/>
    <col min="5486" max="5486" width="9" bestFit="1" customWidth="1"/>
    <col min="5487" max="5487" width="6.06640625" bestFit="1" customWidth="1"/>
    <col min="5488" max="5488" width="9" bestFit="1" customWidth="1"/>
    <col min="5489" max="5489" width="6.06640625" bestFit="1" customWidth="1"/>
    <col min="5490" max="5490" width="9" bestFit="1" customWidth="1"/>
    <col min="5491" max="5491" width="4" bestFit="1" customWidth="1"/>
    <col min="5492" max="5493" width="7" bestFit="1" customWidth="1"/>
    <col min="5494" max="5494" width="7.9296875" bestFit="1" customWidth="1"/>
    <col min="5495" max="5496" width="7" bestFit="1" customWidth="1"/>
    <col min="5497" max="5497" width="4" bestFit="1" customWidth="1"/>
    <col min="5498" max="5498" width="9" bestFit="1" customWidth="1"/>
    <col min="5499" max="5500" width="6.06640625" bestFit="1" customWidth="1"/>
    <col min="5501" max="5501" width="7" bestFit="1" customWidth="1"/>
    <col min="5502" max="5502" width="7.9296875" bestFit="1" customWidth="1"/>
    <col min="5503" max="5503" width="6.06640625" bestFit="1" customWidth="1"/>
    <col min="5504" max="5505" width="7" bestFit="1" customWidth="1"/>
    <col min="5506" max="5506" width="9" bestFit="1" customWidth="1"/>
    <col min="5507" max="5507" width="7" bestFit="1" customWidth="1"/>
    <col min="5508" max="5508" width="7.9296875" bestFit="1" customWidth="1"/>
    <col min="5509" max="5509" width="7" bestFit="1" customWidth="1"/>
    <col min="5510" max="5510" width="9" bestFit="1" customWidth="1"/>
    <col min="5511" max="5511" width="7.9296875" bestFit="1" customWidth="1"/>
    <col min="5512" max="5514" width="9" bestFit="1" customWidth="1"/>
    <col min="5515" max="5515" width="4" bestFit="1" customWidth="1"/>
    <col min="5516" max="5516" width="9" bestFit="1" customWidth="1"/>
    <col min="5517" max="5517" width="6.06640625" bestFit="1" customWidth="1"/>
    <col min="5518" max="5518" width="7" bestFit="1" customWidth="1"/>
    <col min="5519" max="5519" width="4" bestFit="1" customWidth="1"/>
    <col min="5520" max="5520" width="7" bestFit="1" customWidth="1"/>
    <col min="5521" max="5521" width="9" bestFit="1" customWidth="1"/>
    <col min="5522" max="5522" width="6.06640625" bestFit="1" customWidth="1"/>
    <col min="5523" max="5523" width="7" bestFit="1" customWidth="1"/>
    <col min="5524" max="5524" width="6.06640625" bestFit="1" customWidth="1"/>
    <col min="5525" max="5525" width="7.9296875" bestFit="1" customWidth="1"/>
    <col min="5526" max="5526" width="4" bestFit="1" customWidth="1"/>
    <col min="5527" max="5528" width="7.9296875" bestFit="1" customWidth="1"/>
    <col min="5529" max="5529" width="6.06640625" bestFit="1" customWidth="1"/>
    <col min="5530" max="5531" width="9" bestFit="1" customWidth="1"/>
    <col min="5532" max="5532" width="7" bestFit="1" customWidth="1"/>
    <col min="5533" max="5533" width="9" bestFit="1" customWidth="1"/>
    <col min="5534" max="5534" width="7" bestFit="1" customWidth="1"/>
    <col min="5535" max="5535" width="9" bestFit="1" customWidth="1"/>
    <col min="5536" max="5536" width="7" bestFit="1" customWidth="1"/>
    <col min="5537" max="5537" width="9" bestFit="1" customWidth="1"/>
    <col min="5538" max="5538" width="7.9296875" bestFit="1" customWidth="1"/>
    <col min="5539" max="5540" width="9" bestFit="1" customWidth="1"/>
    <col min="5541" max="5541" width="7" bestFit="1" customWidth="1"/>
    <col min="5542" max="5542" width="9" bestFit="1" customWidth="1"/>
    <col min="5543" max="5543" width="7" bestFit="1" customWidth="1"/>
    <col min="5544" max="5544" width="6.06640625" bestFit="1" customWidth="1"/>
    <col min="5545" max="5545" width="7.9296875" bestFit="1" customWidth="1"/>
    <col min="5546" max="5550" width="9" bestFit="1" customWidth="1"/>
    <col min="5551" max="5551" width="7" bestFit="1" customWidth="1"/>
    <col min="5552" max="5552" width="7.9296875" bestFit="1" customWidth="1"/>
    <col min="5553" max="5553" width="6.06640625" bestFit="1" customWidth="1"/>
    <col min="5554" max="5555" width="7" bestFit="1" customWidth="1"/>
    <col min="5556" max="5556" width="4" bestFit="1" customWidth="1"/>
    <col min="5557" max="5558" width="7" bestFit="1" customWidth="1"/>
    <col min="5559" max="5559" width="6.06640625" bestFit="1" customWidth="1"/>
    <col min="5560" max="5560" width="7.9296875" bestFit="1" customWidth="1"/>
    <col min="5561" max="5561" width="7" bestFit="1" customWidth="1"/>
    <col min="5562" max="5562" width="4" bestFit="1" customWidth="1"/>
    <col min="5563" max="5563" width="9" bestFit="1" customWidth="1"/>
    <col min="5564" max="5564" width="7" bestFit="1" customWidth="1"/>
    <col min="5565" max="5565" width="9" bestFit="1" customWidth="1"/>
    <col min="5566" max="5566" width="4" bestFit="1" customWidth="1"/>
    <col min="5567" max="5567" width="9" bestFit="1" customWidth="1"/>
    <col min="5568" max="5568" width="7.9296875" bestFit="1" customWidth="1"/>
    <col min="5569" max="5569" width="7" bestFit="1" customWidth="1"/>
    <col min="5570" max="5571" width="9" bestFit="1" customWidth="1"/>
    <col min="5572" max="5572" width="7" bestFit="1" customWidth="1"/>
    <col min="5573" max="5574" width="9" bestFit="1" customWidth="1"/>
    <col min="5575" max="5575" width="6.06640625" bestFit="1" customWidth="1"/>
    <col min="5576" max="5577" width="7" bestFit="1" customWidth="1"/>
    <col min="5578" max="5578" width="9" bestFit="1" customWidth="1"/>
    <col min="5579" max="5579" width="7" bestFit="1" customWidth="1"/>
    <col min="5580" max="5581" width="9" bestFit="1" customWidth="1"/>
    <col min="5582" max="5582" width="7.9296875" bestFit="1" customWidth="1"/>
    <col min="5583" max="5583" width="9" bestFit="1" customWidth="1"/>
    <col min="5584" max="5584" width="4" bestFit="1" customWidth="1"/>
    <col min="5585" max="5585" width="7" bestFit="1" customWidth="1"/>
    <col min="5586" max="5586" width="9" bestFit="1" customWidth="1"/>
    <col min="5587" max="5587" width="6.06640625" bestFit="1" customWidth="1"/>
    <col min="5588" max="5588" width="7.9296875" bestFit="1" customWidth="1"/>
    <col min="5589" max="5589" width="7" bestFit="1" customWidth="1"/>
    <col min="5590" max="5590" width="9" bestFit="1" customWidth="1"/>
    <col min="5591" max="5591" width="7" bestFit="1" customWidth="1"/>
    <col min="5592" max="5592" width="9" bestFit="1" customWidth="1"/>
    <col min="5593" max="5593" width="4" bestFit="1" customWidth="1"/>
    <col min="5594" max="5594" width="9" bestFit="1" customWidth="1"/>
    <col min="5595" max="5595" width="7" bestFit="1" customWidth="1"/>
    <col min="5596" max="5596" width="7.9296875" bestFit="1" customWidth="1"/>
    <col min="5597" max="5597" width="9" bestFit="1" customWidth="1"/>
    <col min="5598" max="5598" width="7.9296875" bestFit="1" customWidth="1"/>
    <col min="5599" max="5599" width="7" bestFit="1" customWidth="1"/>
    <col min="5600" max="5600" width="9" bestFit="1" customWidth="1"/>
    <col min="5601" max="5601" width="4" bestFit="1" customWidth="1"/>
    <col min="5602" max="5603" width="7" bestFit="1" customWidth="1"/>
    <col min="5604" max="5604" width="6.06640625" bestFit="1" customWidth="1"/>
    <col min="5605" max="5606" width="9" bestFit="1" customWidth="1"/>
    <col min="5607" max="5607" width="7" bestFit="1" customWidth="1"/>
    <col min="5608" max="5608" width="9" bestFit="1" customWidth="1"/>
    <col min="5609" max="5609" width="7" bestFit="1" customWidth="1"/>
    <col min="5610" max="5612" width="9" bestFit="1" customWidth="1"/>
    <col min="5613" max="5613" width="7" bestFit="1" customWidth="1"/>
    <col min="5614" max="5615" width="9" bestFit="1" customWidth="1"/>
    <col min="5616" max="5616" width="4" bestFit="1" customWidth="1"/>
    <col min="5617" max="5617" width="9" bestFit="1" customWidth="1"/>
    <col min="5618" max="5618" width="7" bestFit="1" customWidth="1"/>
    <col min="5619" max="5621" width="9" bestFit="1" customWidth="1"/>
    <col min="5622" max="5622" width="7.9296875" bestFit="1" customWidth="1"/>
    <col min="5623" max="5623" width="6.06640625" bestFit="1" customWidth="1"/>
    <col min="5624" max="5625" width="4" bestFit="1" customWidth="1"/>
    <col min="5626" max="5626" width="9" bestFit="1" customWidth="1"/>
    <col min="5627" max="5628" width="7" bestFit="1" customWidth="1"/>
    <col min="5629" max="5630" width="9" bestFit="1" customWidth="1"/>
    <col min="5631" max="5631" width="7" bestFit="1" customWidth="1"/>
    <col min="5632" max="5632" width="6.06640625" bestFit="1" customWidth="1"/>
    <col min="5633" max="5633" width="9" bestFit="1" customWidth="1"/>
    <col min="5634" max="5634" width="4" bestFit="1" customWidth="1"/>
    <col min="5635" max="5636" width="9" bestFit="1" customWidth="1"/>
    <col min="5637" max="5637" width="7" bestFit="1" customWidth="1"/>
    <col min="5638" max="5638" width="9" bestFit="1" customWidth="1"/>
    <col min="5639" max="5639" width="7" bestFit="1" customWidth="1"/>
    <col min="5640" max="5640" width="4" bestFit="1" customWidth="1"/>
    <col min="5641" max="5641" width="7" bestFit="1" customWidth="1"/>
    <col min="5642" max="5642" width="9" bestFit="1" customWidth="1"/>
    <col min="5643" max="5643" width="7.9296875" bestFit="1" customWidth="1"/>
    <col min="5644" max="5645" width="9" bestFit="1" customWidth="1"/>
    <col min="5646" max="5646" width="4" bestFit="1" customWidth="1"/>
    <col min="5647" max="5648" width="9" bestFit="1" customWidth="1"/>
    <col min="5649" max="5649" width="7" bestFit="1" customWidth="1"/>
    <col min="5650" max="5650" width="9" bestFit="1" customWidth="1"/>
    <col min="5651" max="5651" width="6.06640625" bestFit="1" customWidth="1"/>
    <col min="5652" max="5652" width="9" bestFit="1" customWidth="1"/>
    <col min="5653" max="5653" width="7" bestFit="1" customWidth="1"/>
    <col min="5654" max="5654" width="9" bestFit="1" customWidth="1"/>
    <col min="5655" max="5655" width="7" bestFit="1" customWidth="1"/>
    <col min="5656" max="5656" width="9" bestFit="1" customWidth="1"/>
    <col min="5657" max="5657" width="7.9296875" bestFit="1" customWidth="1"/>
    <col min="5658" max="5658" width="6.06640625" bestFit="1" customWidth="1"/>
    <col min="5659" max="5660" width="9" bestFit="1" customWidth="1"/>
    <col min="5661" max="5661" width="4" bestFit="1" customWidth="1"/>
    <col min="5662" max="5663" width="9" bestFit="1" customWidth="1"/>
    <col min="5664" max="5664" width="7.9296875" bestFit="1" customWidth="1"/>
    <col min="5665" max="5666" width="9" bestFit="1" customWidth="1"/>
    <col min="5667" max="5669" width="7" bestFit="1" customWidth="1"/>
    <col min="5670" max="5670" width="9" bestFit="1" customWidth="1"/>
    <col min="5671" max="5671" width="4" bestFit="1" customWidth="1"/>
    <col min="5672" max="5672" width="7.9296875" bestFit="1" customWidth="1"/>
    <col min="5673" max="5674" width="9" bestFit="1" customWidth="1"/>
    <col min="5675" max="5675" width="7" bestFit="1" customWidth="1"/>
    <col min="5676" max="5676" width="9" bestFit="1" customWidth="1"/>
    <col min="5677" max="5677" width="7" bestFit="1" customWidth="1"/>
    <col min="5678" max="5678" width="7.9296875" bestFit="1" customWidth="1"/>
    <col min="5679" max="5679" width="6.06640625" bestFit="1" customWidth="1"/>
    <col min="5680" max="5680" width="4" bestFit="1" customWidth="1"/>
    <col min="5681" max="5681" width="9" bestFit="1" customWidth="1"/>
    <col min="5682" max="5682" width="7" bestFit="1" customWidth="1"/>
    <col min="5683" max="5684" width="9" bestFit="1" customWidth="1"/>
    <col min="5685" max="5685" width="4" bestFit="1" customWidth="1"/>
    <col min="5686" max="5687" width="9" bestFit="1" customWidth="1"/>
    <col min="5688" max="5688" width="6.06640625" bestFit="1" customWidth="1"/>
    <col min="5689" max="5689" width="9" bestFit="1" customWidth="1"/>
    <col min="5690" max="5690" width="7" bestFit="1" customWidth="1"/>
    <col min="5691" max="5691" width="9" bestFit="1" customWidth="1"/>
    <col min="5692" max="5692" width="7" bestFit="1" customWidth="1"/>
    <col min="5693" max="5693" width="9" bestFit="1" customWidth="1"/>
    <col min="5694" max="5694" width="4" bestFit="1" customWidth="1"/>
    <col min="5695" max="5695" width="9" bestFit="1" customWidth="1"/>
    <col min="5696" max="5696" width="4" bestFit="1" customWidth="1"/>
    <col min="5697" max="5697" width="7.9296875" bestFit="1" customWidth="1"/>
    <col min="5698" max="5698" width="6.06640625" bestFit="1" customWidth="1"/>
    <col min="5699" max="5699" width="7" bestFit="1" customWidth="1"/>
    <col min="5700" max="5700" width="9" bestFit="1" customWidth="1"/>
    <col min="5701" max="5701" width="7" bestFit="1" customWidth="1"/>
    <col min="5702" max="5708" width="9" bestFit="1" customWidth="1"/>
    <col min="5709" max="5709" width="6.06640625" bestFit="1" customWidth="1"/>
    <col min="5710" max="5710" width="7" bestFit="1" customWidth="1"/>
    <col min="5711" max="5711" width="7.9296875" bestFit="1" customWidth="1"/>
    <col min="5712" max="5712" width="4" bestFit="1" customWidth="1"/>
    <col min="5713" max="5713" width="9" bestFit="1" customWidth="1"/>
    <col min="5714" max="5714" width="7.9296875" bestFit="1" customWidth="1"/>
    <col min="5715" max="5715" width="6.06640625" bestFit="1" customWidth="1"/>
    <col min="5716" max="5716" width="9" bestFit="1" customWidth="1"/>
    <col min="5717" max="5717" width="7" bestFit="1" customWidth="1"/>
    <col min="5718" max="5720" width="9" bestFit="1" customWidth="1"/>
    <col min="5721" max="5722" width="7" bestFit="1" customWidth="1"/>
    <col min="5723" max="5728" width="9" bestFit="1" customWidth="1"/>
    <col min="5729" max="5729" width="4" bestFit="1" customWidth="1"/>
    <col min="5730" max="5736" width="9" bestFit="1" customWidth="1"/>
    <col min="5737" max="5737" width="4" bestFit="1" customWidth="1"/>
    <col min="5738" max="5739" width="9" bestFit="1" customWidth="1"/>
    <col min="5740" max="5740" width="7" bestFit="1" customWidth="1"/>
    <col min="5741" max="5741" width="7.9296875" bestFit="1" customWidth="1"/>
    <col min="5742" max="5742" width="4" bestFit="1" customWidth="1"/>
    <col min="5743" max="5744" width="9" bestFit="1" customWidth="1"/>
    <col min="5745" max="5746" width="6.06640625" bestFit="1" customWidth="1"/>
    <col min="5747" max="5747" width="7.9296875" bestFit="1" customWidth="1"/>
    <col min="5748" max="5749" width="9" bestFit="1" customWidth="1"/>
    <col min="5750" max="5751" width="7" bestFit="1" customWidth="1"/>
    <col min="5752" max="5752" width="9" bestFit="1" customWidth="1"/>
    <col min="5753" max="5753" width="7" bestFit="1" customWidth="1"/>
    <col min="5754" max="5758" width="9" bestFit="1" customWidth="1"/>
    <col min="5759" max="5759" width="7" bestFit="1" customWidth="1"/>
    <col min="5760" max="5760" width="9" bestFit="1" customWidth="1"/>
    <col min="5761" max="5761" width="6.06640625" bestFit="1" customWidth="1"/>
    <col min="5762" max="5762" width="4" bestFit="1" customWidth="1"/>
    <col min="5763" max="5763" width="7" bestFit="1" customWidth="1"/>
    <col min="5764" max="5768" width="9" bestFit="1" customWidth="1"/>
    <col min="5769" max="5769" width="7" bestFit="1" customWidth="1"/>
    <col min="5770" max="5770" width="9" bestFit="1" customWidth="1"/>
    <col min="5771" max="5771" width="4" bestFit="1" customWidth="1"/>
    <col min="5772" max="5773" width="6.06640625" bestFit="1" customWidth="1"/>
    <col min="5774" max="5774" width="9" bestFit="1" customWidth="1"/>
    <col min="5775" max="5775" width="6.06640625" bestFit="1" customWidth="1"/>
    <col min="5776" max="5776" width="7" bestFit="1" customWidth="1"/>
    <col min="5777" max="5777" width="6.06640625" bestFit="1" customWidth="1"/>
    <col min="5778" max="5778" width="7" bestFit="1" customWidth="1"/>
    <col min="5779" max="5780" width="9" bestFit="1" customWidth="1"/>
    <col min="5781" max="5781" width="4" bestFit="1" customWidth="1"/>
    <col min="5782" max="5783" width="9" bestFit="1" customWidth="1"/>
    <col min="5784" max="5785" width="7" bestFit="1" customWidth="1"/>
    <col min="5786" max="5786" width="6.06640625" bestFit="1" customWidth="1"/>
    <col min="5787" max="5787" width="4" bestFit="1" customWidth="1"/>
    <col min="5788" max="5788" width="7" bestFit="1" customWidth="1"/>
    <col min="5789" max="5789" width="9" bestFit="1" customWidth="1"/>
    <col min="5790" max="5790" width="7" bestFit="1" customWidth="1"/>
    <col min="5791" max="5791" width="6.06640625" bestFit="1" customWidth="1"/>
    <col min="5792" max="5794" width="9" bestFit="1" customWidth="1"/>
    <col min="5795" max="5795" width="6.06640625" bestFit="1" customWidth="1"/>
    <col min="5796" max="5796" width="7" bestFit="1" customWidth="1"/>
    <col min="5797" max="5797" width="9" bestFit="1" customWidth="1"/>
    <col min="5798" max="5798" width="7" bestFit="1" customWidth="1"/>
    <col min="5799" max="5800" width="9" bestFit="1" customWidth="1"/>
    <col min="5801" max="5801" width="4" bestFit="1" customWidth="1"/>
    <col min="5802" max="5802" width="7" bestFit="1" customWidth="1"/>
    <col min="5803" max="5803" width="4" bestFit="1" customWidth="1"/>
    <col min="5804" max="5804" width="7" bestFit="1" customWidth="1"/>
    <col min="5805" max="5806" width="9" bestFit="1" customWidth="1"/>
    <col min="5807" max="5807" width="7" bestFit="1" customWidth="1"/>
    <col min="5808" max="5808" width="9" bestFit="1" customWidth="1"/>
    <col min="5809" max="5809" width="6.06640625" bestFit="1" customWidth="1"/>
    <col min="5810" max="5810" width="7" bestFit="1" customWidth="1"/>
    <col min="5811" max="5811" width="4" bestFit="1" customWidth="1"/>
    <col min="5812" max="5814" width="9" bestFit="1" customWidth="1"/>
    <col min="5815" max="5815" width="4" bestFit="1" customWidth="1"/>
    <col min="5816" max="5816" width="9" bestFit="1" customWidth="1"/>
    <col min="5817" max="5817" width="7" bestFit="1" customWidth="1"/>
    <col min="5818" max="5819" width="9" bestFit="1" customWidth="1"/>
    <col min="5820" max="5820" width="4" bestFit="1" customWidth="1"/>
    <col min="5821" max="5823" width="9" bestFit="1" customWidth="1"/>
    <col min="5824" max="5824" width="6.06640625" bestFit="1" customWidth="1"/>
    <col min="5825" max="5825" width="7.9296875" bestFit="1" customWidth="1"/>
    <col min="5826" max="5826" width="9" bestFit="1" customWidth="1"/>
    <col min="5827" max="5827" width="6.06640625" bestFit="1" customWidth="1"/>
    <col min="5828" max="5828" width="7" bestFit="1" customWidth="1"/>
    <col min="5829" max="5829" width="7.9296875" bestFit="1" customWidth="1"/>
    <col min="5830" max="5830" width="4" bestFit="1" customWidth="1"/>
    <col min="5831" max="5831" width="7" bestFit="1" customWidth="1"/>
    <col min="5832" max="5832" width="9" bestFit="1" customWidth="1"/>
    <col min="5833" max="5833" width="6.06640625" bestFit="1" customWidth="1"/>
    <col min="5834" max="5834" width="9" bestFit="1" customWidth="1"/>
    <col min="5835" max="5835" width="4" bestFit="1" customWidth="1"/>
    <col min="5836" max="5836" width="9" bestFit="1" customWidth="1"/>
    <col min="5837" max="5837" width="6.06640625" bestFit="1" customWidth="1"/>
    <col min="5838" max="5838" width="9" bestFit="1" customWidth="1"/>
    <col min="5839" max="5839" width="7" bestFit="1" customWidth="1"/>
    <col min="5840" max="5841" width="9" bestFit="1" customWidth="1"/>
    <col min="5842" max="5842" width="6.06640625" bestFit="1" customWidth="1"/>
    <col min="5843" max="5843" width="4" bestFit="1" customWidth="1"/>
    <col min="5844" max="5844" width="6.06640625" bestFit="1" customWidth="1"/>
    <col min="5845" max="5845" width="9" bestFit="1" customWidth="1"/>
    <col min="5846" max="5847" width="7.9296875" bestFit="1" customWidth="1"/>
    <col min="5848" max="5848" width="4" bestFit="1" customWidth="1"/>
    <col min="5849" max="5849" width="9" bestFit="1" customWidth="1"/>
    <col min="5850" max="5850" width="7" bestFit="1" customWidth="1"/>
    <col min="5851" max="5851" width="4" bestFit="1" customWidth="1"/>
    <col min="5852" max="5852" width="7.9296875" bestFit="1" customWidth="1"/>
    <col min="5853" max="5853" width="6.06640625" bestFit="1" customWidth="1"/>
    <col min="5854" max="5856" width="9" bestFit="1" customWidth="1"/>
    <col min="5857" max="5857" width="7.9296875" bestFit="1" customWidth="1"/>
    <col min="5858" max="5858" width="9" bestFit="1" customWidth="1"/>
    <col min="5859" max="5859" width="7" bestFit="1" customWidth="1"/>
    <col min="5860" max="5860" width="9" bestFit="1" customWidth="1"/>
    <col min="5861" max="5861" width="7" bestFit="1" customWidth="1"/>
    <col min="5862" max="5862" width="6.06640625" bestFit="1" customWidth="1"/>
    <col min="5863" max="5863" width="7.9296875" bestFit="1" customWidth="1"/>
    <col min="5864" max="5864" width="7" bestFit="1" customWidth="1"/>
    <col min="5865" max="5865" width="4" bestFit="1" customWidth="1"/>
    <col min="5866" max="5866" width="7" bestFit="1" customWidth="1"/>
    <col min="5867" max="5867" width="7.9296875" bestFit="1" customWidth="1"/>
    <col min="5868" max="5868" width="4" bestFit="1" customWidth="1"/>
    <col min="5869" max="5872" width="9" bestFit="1" customWidth="1"/>
    <col min="5873" max="5873" width="7" bestFit="1" customWidth="1"/>
    <col min="5874" max="5874" width="9" bestFit="1" customWidth="1"/>
    <col min="5875" max="5875" width="6.06640625" bestFit="1" customWidth="1"/>
    <col min="5876" max="5876" width="7.9296875" bestFit="1" customWidth="1"/>
    <col min="5877" max="5877" width="9" bestFit="1" customWidth="1"/>
    <col min="5878" max="5878" width="7" bestFit="1" customWidth="1"/>
    <col min="5879" max="5881" width="9" bestFit="1" customWidth="1"/>
    <col min="5882" max="5882" width="7.9296875" bestFit="1" customWidth="1"/>
    <col min="5883" max="5883" width="4" bestFit="1" customWidth="1"/>
    <col min="5884" max="5884" width="7.9296875" bestFit="1" customWidth="1"/>
    <col min="5885" max="5885" width="7" bestFit="1" customWidth="1"/>
    <col min="5886" max="5886" width="6.06640625" bestFit="1" customWidth="1"/>
    <col min="5887" max="5888" width="9" bestFit="1" customWidth="1"/>
    <col min="5889" max="5889" width="6.06640625" bestFit="1" customWidth="1"/>
    <col min="5890" max="5891" width="9" bestFit="1" customWidth="1"/>
    <col min="5892" max="5893" width="7" bestFit="1" customWidth="1"/>
    <col min="5894" max="5894" width="7.9296875" bestFit="1" customWidth="1"/>
    <col min="5895" max="5895" width="6.06640625" bestFit="1" customWidth="1"/>
    <col min="5896" max="5897" width="9" bestFit="1" customWidth="1"/>
    <col min="5898" max="5898" width="7" bestFit="1" customWidth="1"/>
    <col min="5899" max="5899" width="4" bestFit="1" customWidth="1"/>
    <col min="5900" max="5900" width="7.9296875" bestFit="1" customWidth="1"/>
    <col min="5901" max="5904" width="9" bestFit="1" customWidth="1"/>
    <col min="5905" max="5905" width="6.06640625" bestFit="1" customWidth="1"/>
    <col min="5906" max="5906" width="9" bestFit="1" customWidth="1"/>
    <col min="5907" max="5907" width="6.06640625" bestFit="1" customWidth="1"/>
    <col min="5908" max="5908" width="9" bestFit="1" customWidth="1"/>
    <col min="5909" max="5909" width="7" bestFit="1" customWidth="1"/>
    <col min="5910" max="5910" width="9" bestFit="1" customWidth="1"/>
    <col min="5911" max="5911" width="7" bestFit="1" customWidth="1"/>
    <col min="5912" max="5912" width="9" bestFit="1" customWidth="1"/>
    <col min="5913" max="5916" width="7" bestFit="1" customWidth="1"/>
    <col min="5917" max="5917" width="9" bestFit="1" customWidth="1"/>
    <col min="5918" max="5919" width="7" bestFit="1" customWidth="1"/>
    <col min="5920" max="5923" width="9" bestFit="1" customWidth="1"/>
    <col min="5924" max="5924" width="7.9296875" bestFit="1" customWidth="1"/>
    <col min="5925" max="5928" width="9" bestFit="1" customWidth="1"/>
    <col min="5929" max="5929" width="7" bestFit="1" customWidth="1"/>
    <col min="5930" max="5930" width="9" bestFit="1" customWidth="1"/>
    <col min="5931" max="5931" width="4" bestFit="1" customWidth="1"/>
    <col min="5932" max="5934" width="9" bestFit="1" customWidth="1"/>
    <col min="5935" max="5935" width="4" bestFit="1" customWidth="1"/>
    <col min="5936" max="5936" width="9" bestFit="1" customWidth="1"/>
    <col min="5937" max="5937" width="6.06640625" bestFit="1" customWidth="1"/>
    <col min="5938" max="5938" width="9" bestFit="1" customWidth="1"/>
    <col min="5939" max="5939" width="4" bestFit="1" customWidth="1"/>
    <col min="5940" max="5940" width="7.9296875" bestFit="1" customWidth="1"/>
    <col min="5941" max="5941" width="7" bestFit="1" customWidth="1"/>
    <col min="5942" max="5942" width="9" bestFit="1" customWidth="1"/>
    <col min="5943" max="5943" width="6.06640625" bestFit="1" customWidth="1"/>
    <col min="5944" max="5944" width="9" bestFit="1" customWidth="1"/>
    <col min="5945" max="5946" width="7" bestFit="1" customWidth="1"/>
    <col min="5947" max="5948" width="9" bestFit="1" customWidth="1"/>
    <col min="5949" max="5949" width="7" bestFit="1" customWidth="1"/>
    <col min="5950" max="5950" width="4" bestFit="1" customWidth="1"/>
    <col min="5951" max="5952" width="7" bestFit="1" customWidth="1"/>
    <col min="5953" max="5953" width="4" bestFit="1" customWidth="1"/>
    <col min="5954" max="5954" width="7.9296875" bestFit="1" customWidth="1"/>
    <col min="5955" max="5958" width="9" bestFit="1" customWidth="1"/>
    <col min="5959" max="5959" width="6.06640625" bestFit="1" customWidth="1"/>
    <col min="5960" max="5960" width="9" bestFit="1" customWidth="1"/>
    <col min="5961" max="5961" width="4" bestFit="1" customWidth="1"/>
    <col min="5962" max="5963" width="9" bestFit="1" customWidth="1"/>
    <col min="5964" max="5964" width="7" bestFit="1" customWidth="1"/>
    <col min="5965" max="5965" width="9" bestFit="1" customWidth="1"/>
    <col min="5966" max="5966" width="7" bestFit="1" customWidth="1"/>
    <col min="5967" max="5967" width="7.9296875" bestFit="1" customWidth="1"/>
    <col min="5968" max="5968" width="6.06640625" bestFit="1" customWidth="1"/>
    <col min="5969" max="5969" width="7" bestFit="1" customWidth="1"/>
    <col min="5970" max="5971" width="9" bestFit="1" customWidth="1"/>
    <col min="5972" max="5972" width="4" bestFit="1" customWidth="1"/>
    <col min="5973" max="5975" width="9" bestFit="1" customWidth="1"/>
    <col min="5976" max="5976" width="6.06640625" bestFit="1" customWidth="1"/>
    <col min="5977" max="5978" width="9" bestFit="1" customWidth="1"/>
    <col min="5979" max="5979" width="6.06640625" bestFit="1" customWidth="1"/>
    <col min="5980" max="5980" width="4" bestFit="1" customWidth="1"/>
    <col min="5981" max="5981" width="9" bestFit="1" customWidth="1"/>
    <col min="5982" max="5983" width="7" bestFit="1" customWidth="1"/>
    <col min="5984" max="5984" width="4" bestFit="1" customWidth="1"/>
    <col min="5985" max="5985" width="7" bestFit="1" customWidth="1"/>
    <col min="5986" max="5986" width="9" bestFit="1" customWidth="1"/>
    <col min="5987" max="5987" width="7" bestFit="1" customWidth="1"/>
    <col min="5988" max="5988" width="9" bestFit="1" customWidth="1"/>
    <col min="5989" max="5989" width="7" bestFit="1" customWidth="1"/>
    <col min="5990" max="5990" width="4" bestFit="1" customWidth="1"/>
    <col min="5991" max="5993" width="9" bestFit="1" customWidth="1"/>
    <col min="5994" max="5994" width="4" bestFit="1" customWidth="1"/>
    <col min="5995" max="5996" width="9" bestFit="1" customWidth="1"/>
    <col min="5997" max="5998" width="6.06640625" bestFit="1" customWidth="1"/>
    <col min="5999" max="5999" width="7" bestFit="1" customWidth="1"/>
    <col min="6000" max="6000" width="9" bestFit="1" customWidth="1"/>
    <col min="6001" max="6001" width="6.06640625" bestFit="1" customWidth="1"/>
    <col min="6002" max="6003" width="9" bestFit="1" customWidth="1"/>
    <col min="6004" max="6004" width="7" bestFit="1" customWidth="1"/>
    <col min="6005" max="6006" width="4" bestFit="1" customWidth="1"/>
    <col min="6007" max="6008" width="9" bestFit="1" customWidth="1"/>
    <col min="6009" max="6009" width="7" bestFit="1" customWidth="1"/>
    <col min="6010" max="6010" width="9" bestFit="1" customWidth="1"/>
    <col min="6011" max="6011" width="7" bestFit="1" customWidth="1"/>
    <col min="6012" max="6012" width="6.06640625" bestFit="1" customWidth="1"/>
    <col min="6013" max="6013" width="9" bestFit="1" customWidth="1"/>
    <col min="6014" max="6014" width="7.9296875" bestFit="1" customWidth="1"/>
    <col min="6015" max="6015" width="7" bestFit="1" customWidth="1"/>
    <col min="6016" max="6016" width="4" bestFit="1" customWidth="1"/>
    <col min="6017" max="6017" width="7.9296875" bestFit="1" customWidth="1"/>
    <col min="6018" max="6019" width="9" bestFit="1" customWidth="1"/>
    <col min="6020" max="6020" width="6.06640625" bestFit="1" customWidth="1"/>
    <col min="6021" max="6021" width="4" bestFit="1" customWidth="1"/>
    <col min="6022" max="6022" width="7.9296875" bestFit="1" customWidth="1"/>
    <col min="6023" max="6023" width="7" bestFit="1" customWidth="1"/>
    <col min="6024" max="6024" width="9" bestFit="1" customWidth="1"/>
    <col min="6025" max="6025" width="7" bestFit="1" customWidth="1"/>
    <col min="6026" max="6026" width="9" bestFit="1" customWidth="1"/>
    <col min="6027" max="6028" width="7" bestFit="1" customWidth="1"/>
    <col min="6029" max="6029" width="4" bestFit="1" customWidth="1"/>
    <col min="6030" max="6030" width="7" bestFit="1" customWidth="1"/>
    <col min="6031" max="6031" width="6.06640625" bestFit="1" customWidth="1"/>
    <col min="6032" max="6033" width="9" bestFit="1" customWidth="1"/>
    <col min="6034" max="6034" width="6.06640625" bestFit="1" customWidth="1"/>
    <col min="6035" max="6036" width="9" bestFit="1" customWidth="1"/>
    <col min="6037" max="6037" width="7" bestFit="1" customWidth="1"/>
    <col min="6038" max="6038" width="6.06640625" bestFit="1" customWidth="1"/>
    <col min="6039" max="6041" width="9" bestFit="1" customWidth="1"/>
    <col min="6042" max="6042" width="7" bestFit="1" customWidth="1"/>
    <col min="6043" max="6045" width="9" bestFit="1" customWidth="1"/>
    <col min="6046" max="6046" width="4" bestFit="1" customWidth="1"/>
    <col min="6047" max="6048" width="9" bestFit="1" customWidth="1"/>
    <col min="6049" max="6049" width="4" bestFit="1" customWidth="1"/>
    <col min="6050" max="6052" width="9" bestFit="1" customWidth="1"/>
    <col min="6053" max="6053" width="7" bestFit="1" customWidth="1"/>
    <col min="6054" max="6054" width="9" bestFit="1" customWidth="1"/>
    <col min="6055" max="6055" width="7.9296875" bestFit="1" customWidth="1"/>
    <col min="6056" max="6056" width="9" bestFit="1" customWidth="1"/>
    <col min="6057" max="6057" width="7" bestFit="1" customWidth="1"/>
    <col min="6058" max="6059" width="9" bestFit="1" customWidth="1"/>
    <col min="6060" max="6061" width="7" bestFit="1" customWidth="1"/>
    <col min="6062" max="6062" width="4" bestFit="1" customWidth="1"/>
    <col min="6063" max="6064" width="9" bestFit="1" customWidth="1"/>
    <col min="6065" max="6065" width="7" bestFit="1" customWidth="1"/>
    <col min="6066" max="6066" width="4" bestFit="1" customWidth="1"/>
    <col min="6067" max="6068" width="9" bestFit="1" customWidth="1"/>
    <col min="6069" max="6069" width="6.06640625" bestFit="1" customWidth="1"/>
    <col min="6070" max="6070" width="7" bestFit="1" customWidth="1"/>
    <col min="6071" max="6072" width="9" bestFit="1" customWidth="1"/>
    <col min="6073" max="6073" width="6.06640625" bestFit="1" customWidth="1"/>
    <col min="6074" max="6074" width="9" bestFit="1" customWidth="1"/>
    <col min="6075" max="6075" width="4" bestFit="1" customWidth="1"/>
    <col min="6076" max="6077" width="7" bestFit="1" customWidth="1"/>
    <col min="6078" max="6078" width="9" bestFit="1" customWidth="1"/>
    <col min="6079" max="6079" width="7" bestFit="1" customWidth="1"/>
    <col min="6080" max="6080" width="9" bestFit="1" customWidth="1"/>
    <col min="6081" max="6081" width="4" bestFit="1" customWidth="1"/>
    <col min="6082" max="6085" width="9" bestFit="1" customWidth="1"/>
    <col min="6086" max="6086" width="4" bestFit="1" customWidth="1"/>
    <col min="6087" max="6087" width="7" bestFit="1" customWidth="1"/>
    <col min="6088" max="6088" width="9" bestFit="1" customWidth="1"/>
    <col min="6089" max="6089" width="7.9296875" bestFit="1" customWidth="1"/>
    <col min="6090" max="6090" width="9" bestFit="1" customWidth="1"/>
    <col min="6091" max="6091" width="4" bestFit="1" customWidth="1"/>
    <col min="6092" max="6094" width="9" bestFit="1" customWidth="1"/>
    <col min="6095" max="6095" width="7" bestFit="1" customWidth="1"/>
    <col min="6096" max="6099" width="9" bestFit="1" customWidth="1"/>
    <col min="6100" max="6100" width="4" bestFit="1" customWidth="1"/>
    <col min="6101" max="6107" width="9" bestFit="1" customWidth="1"/>
    <col min="6108" max="6109" width="7" bestFit="1" customWidth="1"/>
    <col min="6110" max="6110" width="9" bestFit="1" customWidth="1"/>
    <col min="6111" max="6111" width="6.06640625" bestFit="1" customWidth="1"/>
    <col min="6112" max="6113" width="9" bestFit="1" customWidth="1"/>
    <col min="6114" max="6114" width="4" bestFit="1" customWidth="1"/>
    <col min="6115" max="6115" width="9" bestFit="1" customWidth="1"/>
    <col min="6116" max="6116" width="6.06640625" bestFit="1" customWidth="1"/>
    <col min="6117" max="6121" width="9" bestFit="1" customWidth="1"/>
    <col min="6122" max="6122" width="6.06640625" bestFit="1" customWidth="1"/>
    <col min="6123" max="6123" width="9" bestFit="1" customWidth="1"/>
    <col min="6124" max="6124" width="6.06640625" bestFit="1" customWidth="1"/>
    <col min="6125" max="6127" width="9" bestFit="1" customWidth="1"/>
    <col min="6128" max="6128" width="4" bestFit="1" customWidth="1"/>
    <col min="6129" max="6129" width="6.06640625" bestFit="1" customWidth="1"/>
    <col min="6130" max="6130" width="7" bestFit="1" customWidth="1"/>
    <col min="6131" max="6131" width="9" bestFit="1" customWidth="1"/>
    <col min="6132" max="6132" width="7" bestFit="1" customWidth="1"/>
    <col min="6133" max="6134" width="9" bestFit="1" customWidth="1"/>
    <col min="6135" max="6135" width="6.06640625" bestFit="1" customWidth="1"/>
    <col min="6136" max="6136" width="7.9296875" bestFit="1" customWidth="1"/>
    <col min="6137" max="6138" width="6.06640625" bestFit="1" customWidth="1"/>
    <col min="6139" max="6140" width="9" bestFit="1" customWidth="1"/>
    <col min="6141" max="6141" width="7" bestFit="1" customWidth="1"/>
    <col min="6142" max="6142" width="9" bestFit="1" customWidth="1"/>
    <col min="6143" max="6143" width="4" bestFit="1" customWidth="1"/>
    <col min="6144" max="6144" width="7" bestFit="1" customWidth="1"/>
    <col min="6145" max="6145" width="9" bestFit="1" customWidth="1"/>
    <col min="6146" max="6146" width="7" bestFit="1" customWidth="1"/>
    <col min="6147" max="6147" width="6.06640625" bestFit="1" customWidth="1"/>
    <col min="6148" max="6149" width="9" bestFit="1" customWidth="1"/>
    <col min="6150" max="6150" width="7" bestFit="1" customWidth="1"/>
    <col min="6151" max="6151" width="7.9296875" bestFit="1" customWidth="1"/>
    <col min="6152" max="6152" width="7" bestFit="1" customWidth="1"/>
    <col min="6153" max="6153" width="6.06640625" bestFit="1" customWidth="1"/>
    <col min="6154" max="6154" width="9" bestFit="1" customWidth="1"/>
    <col min="6155" max="6155" width="7.9296875" bestFit="1" customWidth="1"/>
    <col min="6156" max="6157" width="9" bestFit="1" customWidth="1"/>
    <col min="6158" max="6158" width="7.9296875" bestFit="1" customWidth="1"/>
    <col min="6159" max="6159" width="6.06640625" bestFit="1" customWidth="1"/>
    <col min="6160" max="6160" width="9" bestFit="1" customWidth="1"/>
    <col min="6161" max="6161" width="7" bestFit="1" customWidth="1"/>
    <col min="6162" max="6162" width="9" bestFit="1" customWidth="1"/>
    <col min="6163" max="6163" width="4" bestFit="1" customWidth="1"/>
    <col min="6164" max="6164" width="7.9296875" bestFit="1" customWidth="1"/>
    <col min="6165" max="6165" width="9" bestFit="1" customWidth="1"/>
    <col min="6166" max="6166" width="7" bestFit="1" customWidth="1"/>
    <col min="6167" max="6167" width="9" bestFit="1" customWidth="1"/>
    <col min="6168" max="6169" width="7" bestFit="1" customWidth="1"/>
    <col min="6170" max="6174" width="9" bestFit="1" customWidth="1"/>
    <col min="6175" max="6175" width="7" bestFit="1" customWidth="1"/>
    <col min="6176" max="6177" width="9" bestFit="1" customWidth="1"/>
    <col min="6178" max="6178" width="4" bestFit="1" customWidth="1"/>
    <col min="6179" max="6179" width="7" bestFit="1" customWidth="1"/>
    <col min="6180" max="6181" width="9" bestFit="1" customWidth="1"/>
    <col min="6182" max="6183" width="7" bestFit="1" customWidth="1"/>
    <col min="6184" max="6186" width="9" bestFit="1" customWidth="1"/>
    <col min="6187" max="6187" width="4" bestFit="1" customWidth="1"/>
    <col min="6188" max="6188" width="6.06640625" bestFit="1" customWidth="1"/>
    <col min="6189" max="6189" width="9" bestFit="1" customWidth="1"/>
    <col min="6190" max="6190" width="4" bestFit="1" customWidth="1"/>
    <col min="6191" max="6191" width="7.9296875" bestFit="1" customWidth="1"/>
    <col min="6192" max="6194" width="9" bestFit="1" customWidth="1"/>
    <col min="6195" max="6195" width="4" bestFit="1" customWidth="1"/>
    <col min="6196" max="6198" width="7" bestFit="1" customWidth="1"/>
    <col min="6199" max="6199" width="4" bestFit="1" customWidth="1"/>
    <col min="6200" max="6200" width="6.06640625" bestFit="1" customWidth="1"/>
    <col min="6201" max="6202" width="9" bestFit="1" customWidth="1"/>
    <col min="6203" max="6203" width="7.9296875" bestFit="1" customWidth="1"/>
    <col min="6204" max="6204" width="9" bestFit="1" customWidth="1"/>
    <col min="6205" max="6205" width="7" bestFit="1" customWidth="1"/>
    <col min="6206" max="6206" width="6.06640625" bestFit="1" customWidth="1"/>
    <col min="6207" max="6207" width="7" bestFit="1" customWidth="1"/>
    <col min="6208" max="6208" width="9" bestFit="1" customWidth="1"/>
    <col min="6209" max="6209" width="7" bestFit="1" customWidth="1"/>
    <col min="6210" max="6211" width="9" bestFit="1" customWidth="1"/>
    <col min="6212" max="6212" width="7" bestFit="1" customWidth="1"/>
    <col min="6213" max="6213" width="7.9296875" bestFit="1" customWidth="1"/>
    <col min="6214" max="6214" width="7" bestFit="1" customWidth="1"/>
    <col min="6215" max="6217" width="7.9296875" bestFit="1" customWidth="1"/>
    <col min="6218" max="6218" width="4" bestFit="1" customWidth="1"/>
    <col min="6219" max="6221" width="9" bestFit="1" customWidth="1"/>
    <col min="6222" max="6222" width="6.06640625" bestFit="1" customWidth="1"/>
    <col min="6223" max="6223" width="7.9296875" bestFit="1" customWidth="1"/>
    <col min="6224" max="6224" width="6.06640625" bestFit="1" customWidth="1"/>
    <col min="6225" max="6225" width="7" bestFit="1" customWidth="1"/>
    <col min="6226" max="6226" width="6.06640625" bestFit="1" customWidth="1"/>
    <col min="6227" max="6227" width="7" bestFit="1" customWidth="1"/>
    <col min="6228" max="6228" width="4" bestFit="1" customWidth="1"/>
    <col min="6229" max="6229" width="7.9296875" bestFit="1" customWidth="1"/>
    <col min="6230" max="6230" width="7" bestFit="1" customWidth="1"/>
    <col min="6231" max="6231" width="7.9296875" bestFit="1" customWidth="1"/>
    <col min="6232" max="6233" width="9" bestFit="1" customWidth="1"/>
    <col min="6234" max="6234" width="7.9296875" bestFit="1" customWidth="1"/>
    <col min="6235" max="6235" width="6.06640625" bestFit="1" customWidth="1"/>
    <col min="6236" max="6236" width="9" bestFit="1" customWidth="1"/>
    <col min="6237" max="6237" width="4" bestFit="1" customWidth="1"/>
    <col min="6238" max="6238" width="6.06640625" bestFit="1" customWidth="1"/>
    <col min="6239" max="6240" width="7" bestFit="1" customWidth="1"/>
    <col min="6241" max="6242" width="6.06640625" bestFit="1" customWidth="1"/>
    <col min="6243" max="6243" width="4" bestFit="1" customWidth="1"/>
    <col min="6244" max="6244" width="7.9296875" bestFit="1" customWidth="1"/>
    <col min="6245" max="6245" width="7" bestFit="1" customWidth="1"/>
    <col min="6246" max="6246" width="9" bestFit="1" customWidth="1"/>
    <col min="6247" max="6247" width="7" bestFit="1" customWidth="1"/>
    <col min="6248" max="6248" width="4" bestFit="1" customWidth="1"/>
    <col min="6249" max="6250" width="9" bestFit="1" customWidth="1"/>
    <col min="6251" max="6251" width="7" bestFit="1" customWidth="1"/>
    <col min="6252" max="6252" width="9" bestFit="1" customWidth="1"/>
    <col min="6253" max="6253" width="4" bestFit="1" customWidth="1"/>
    <col min="6254" max="6254" width="9" bestFit="1" customWidth="1"/>
    <col min="6255" max="6255" width="7.9296875" bestFit="1" customWidth="1"/>
    <col min="6256" max="6256" width="6.06640625" bestFit="1" customWidth="1"/>
    <col min="6257" max="6257" width="7" bestFit="1" customWidth="1"/>
    <col min="6258" max="6258" width="9" bestFit="1" customWidth="1"/>
    <col min="6259" max="6259" width="7" bestFit="1" customWidth="1"/>
    <col min="6260" max="6262" width="9" bestFit="1" customWidth="1"/>
    <col min="6263" max="6263" width="7.9296875" bestFit="1" customWidth="1"/>
    <col min="6264" max="6264" width="6.06640625" bestFit="1" customWidth="1"/>
    <col min="6265" max="6265" width="7" bestFit="1" customWidth="1"/>
    <col min="6266" max="6267" width="9" bestFit="1" customWidth="1"/>
    <col min="6268" max="6268" width="7.9296875" bestFit="1" customWidth="1"/>
    <col min="6269" max="6269" width="7" bestFit="1" customWidth="1"/>
    <col min="6270" max="6271" width="9" bestFit="1" customWidth="1"/>
    <col min="6272" max="6272" width="7" bestFit="1" customWidth="1"/>
    <col min="6273" max="6273" width="7.9296875" bestFit="1" customWidth="1"/>
    <col min="6274" max="6274" width="4" bestFit="1" customWidth="1"/>
    <col min="6275" max="6275" width="7" bestFit="1" customWidth="1"/>
    <col min="6276" max="6276" width="4" bestFit="1" customWidth="1"/>
    <col min="6277" max="6278" width="7" bestFit="1" customWidth="1"/>
    <col min="6279" max="6281" width="9" bestFit="1" customWidth="1"/>
    <col min="6282" max="6282" width="4" bestFit="1" customWidth="1"/>
    <col min="6283" max="6283" width="7.9296875" bestFit="1" customWidth="1"/>
    <col min="6284" max="6284" width="7" bestFit="1" customWidth="1"/>
    <col min="6285" max="6285" width="9" bestFit="1" customWidth="1"/>
    <col min="6286" max="6286" width="4" bestFit="1" customWidth="1"/>
    <col min="6287" max="6287" width="7" bestFit="1" customWidth="1"/>
    <col min="6288" max="6289" width="9" bestFit="1" customWidth="1"/>
    <col min="6290" max="6291" width="7" bestFit="1" customWidth="1"/>
    <col min="6292" max="6292" width="6.06640625" bestFit="1" customWidth="1"/>
    <col min="6293" max="6293" width="9" bestFit="1" customWidth="1"/>
    <col min="6294" max="6294" width="4" bestFit="1" customWidth="1"/>
    <col min="6295" max="6295" width="6.06640625" bestFit="1" customWidth="1"/>
    <col min="6296" max="6296" width="7.9296875" bestFit="1" customWidth="1"/>
    <col min="6297" max="6297" width="9" bestFit="1" customWidth="1"/>
    <col min="6298" max="6298" width="4" bestFit="1" customWidth="1"/>
    <col min="6299" max="6299" width="6.06640625" bestFit="1" customWidth="1"/>
    <col min="6300" max="6301" width="9" bestFit="1" customWidth="1"/>
    <col min="6302" max="6302" width="4" bestFit="1" customWidth="1"/>
    <col min="6303" max="6303" width="9" bestFit="1" customWidth="1"/>
    <col min="6304" max="6304" width="7" bestFit="1" customWidth="1"/>
    <col min="6305" max="6306" width="9" bestFit="1" customWidth="1"/>
    <col min="6307" max="6307" width="7" bestFit="1" customWidth="1"/>
    <col min="6308" max="6310" width="9" bestFit="1" customWidth="1"/>
    <col min="6311" max="6311" width="7" bestFit="1" customWidth="1"/>
    <col min="6312" max="6312" width="6.06640625" bestFit="1" customWidth="1"/>
    <col min="6313" max="6314" width="9" bestFit="1" customWidth="1"/>
    <col min="6315" max="6317" width="7" bestFit="1" customWidth="1"/>
    <col min="6318" max="6318" width="7.9296875" bestFit="1" customWidth="1"/>
    <col min="6319" max="6319" width="9" bestFit="1" customWidth="1"/>
    <col min="6320" max="6320" width="7" bestFit="1" customWidth="1"/>
    <col min="6321" max="6321" width="9" bestFit="1" customWidth="1"/>
    <col min="6322" max="6323" width="7" bestFit="1" customWidth="1"/>
    <col min="6324" max="6324" width="4" bestFit="1" customWidth="1"/>
    <col min="6325" max="6325" width="9" bestFit="1" customWidth="1"/>
    <col min="6326" max="6326" width="6.06640625" bestFit="1" customWidth="1"/>
    <col min="6327" max="6327" width="4" bestFit="1" customWidth="1"/>
    <col min="6328" max="6328" width="9" bestFit="1" customWidth="1"/>
    <col min="6329" max="6329" width="7.9296875" bestFit="1" customWidth="1"/>
    <col min="6330" max="6330" width="7" bestFit="1" customWidth="1"/>
    <col min="6331" max="6331" width="9" bestFit="1" customWidth="1"/>
    <col min="6332" max="6332" width="7" bestFit="1" customWidth="1"/>
    <col min="6333" max="6334" width="9" bestFit="1" customWidth="1"/>
    <col min="6335" max="6335" width="7" bestFit="1" customWidth="1"/>
    <col min="6336" max="6336" width="9" bestFit="1" customWidth="1"/>
    <col min="6337" max="6337" width="6.06640625" bestFit="1" customWidth="1"/>
    <col min="6338" max="6338" width="9" bestFit="1" customWidth="1"/>
    <col min="6339" max="6340" width="6.06640625" bestFit="1" customWidth="1"/>
    <col min="6341" max="6345" width="9" bestFit="1" customWidth="1"/>
    <col min="6346" max="6348" width="7" bestFit="1" customWidth="1"/>
    <col min="6349" max="6355" width="9" bestFit="1" customWidth="1"/>
    <col min="6356" max="6356" width="4" bestFit="1" customWidth="1"/>
    <col min="6357" max="6359" width="7" bestFit="1" customWidth="1"/>
    <col min="6360" max="6360" width="4" bestFit="1" customWidth="1"/>
    <col min="6361" max="6361" width="7" bestFit="1" customWidth="1"/>
    <col min="6362" max="6362" width="9" bestFit="1" customWidth="1"/>
    <col min="6363" max="6363" width="7" bestFit="1" customWidth="1"/>
    <col min="6364" max="6364" width="9" bestFit="1" customWidth="1"/>
    <col min="6365" max="6365" width="6.06640625" bestFit="1" customWidth="1"/>
    <col min="6366" max="6368" width="9" bestFit="1" customWidth="1"/>
    <col min="6369" max="6369" width="6.06640625" bestFit="1" customWidth="1"/>
    <col min="6370" max="6372" width="9" bestFit="1" customWidth="1"/>
    <col min="6373" max="6374" width="4" bestFit="1" customWidth="1"/>
    <col min="6375" max="6375" width="9" bestFit="1" customWidth="1"/>
    <col min="6376" max="6376" width="7" bestFit="1" customWidth="1"/>
    <col min="6377" max="6377" width="6.06640625" bestFit="1" customWidth="1"/>
    <col min="6378" max="6378" width="7" bestFit="1" customWidth="1"/>
    <col min="6379" max="6379" width="6.06640625" bestFit="1" customWidth="1"/>
    <col min="6380" max="6380" width="9" bestFit="1" customWidth="1"/>
    <col min="6381" max="6381" width="7" bestFit="1" customWidth="1"/>
    <col min="6382" max="6382" width="4" bestFit="1" customWidth="1"/>
    <col min="6383" max="6384" width="9" bestFit="1" customWidth="1"/>
    <col min="6385" max="6385" width="7" bestFit="1" customWidth="1"/>
    <col min="6386" max="6386" width="9" bestFit="1" customWidth="1"/>
    <col min="6387" max="6387" width="6.06640625" bestFit="1" customWidth="1"/>
    <col min="6388" max="6388" width="9" bestFit="1" customWidth="1"/>
    <col min="6389" max="6390" width="6.06640625" bestFit="1" customWidth="1"/>
    <col min="6391" max="6391" width="7.9296875" bestFit="1" customWidth="1"/>
    <col min="6392" max="6392" width="9" bestFit="1" customWidth="1"/>
    <col min="6393" max="6393" width="4" bestFit="1" customWidth="1"/>
    <col min="6394" max="6396" width="9" bestFit="1" customWidth="1"/>
    <col min="6397" max="6397" width="6.06640625" bestFit="1" customWidth="1"/>
    <col min="6398" max="6398" width="7.9296875" bestFit="1" customWidth="1"/>
    <col min="6399" max="6399" width="4" bestFit="1" customWidth="1"/>
    <col min="6400" max="6400" width="7" bestFit="1" customWidth="1"/>
    <col min="6401" max="6401" width="6.06640625" bestFit="1" customWidth="1"/>
    <col min="6402" max="6403" width="9" bestFit="1" customWidth="1"/>
    <col min="6404" max="6404" width="4" bestFit="1" customWidth="1"/>
    <col min="6405" max="6406" width="7" bestFit="1" customWidth="1"/>
    <col min="6407" max="6407" width="4" bestFit="1" customWidth="1"/>
    <col min="6408" max="6408" width="7" bestFit="1" customWidth="1"/>
    <col min="6409" max="6410" width="9" bestFit="1" customWidth="1"/>
    <col min="6411" max="6411" width="6.06640625" bestFit="1" customWidth="1"/>
    <col min="6412" max="6412" width="4" bestFit="1" customWidth="1"/>
    <col min="6413" max="6417" width="9" bestFit="1" customWidth="1"/>
    <col min="6418" max="6418" width="7" bestFit="1" customWidth="1"/>
    <col min="6419" max="6419" width="6.06640625" bestFit="1" customWidth="1"/>
    <col min="6420" max="6420" width="9" bestFit="1" customWidth="1"/>
    <col min="6421" max="6421" width="7.9296875" bestFit="1" customWidth="1"/>
    <col min="6422" max="6424" width="9" bestFit="1" customWidth="1"/>
    <col min="6425" max="6426" width="7" bestFit="1" customWidth="1"/>
    <col min="6427" max="6427" width="4" bestFit="1" customWidth="1"/>
    <col min="6428" max="6428" width="7.9296875" bestFit="1" customWidth="1"/>
    <col min="6429" max="6429" width="9" bestFit="1" customWidth="1"/>
    <col min="6430" max="6430" width="4" bestFit="1" customWidth="1"/>
    <col min="6431" max="6432" width="7.9296875" bestFit="1" customWidth="1"/>
    <col min="6433" max="6433" width="9" bestFit="1" customWidth="1"/>
    <col min="6434" max="6435" width="7" bestFit="1" customWidth="1"/>
    <col min="6436" max="6436" width="9" bestFit="1" customWidth="1"/>
    <col min="6437" max="6437" width="7" bestFit="1" customWidth="1"/>
    <col min="6438" max="6438" width="4" bestFit="1" customWidth="1"/>
    <col min="6439" max="6441" width="7" bestFit="1" customWidth="1"/>
    <col min="6442" max="6443" width="9" bestFit="1" customWidth="1"/>
    <col min="6444" max="6444" width="4" bestFit="1" customWidth="1"/>
    <col min="6445" max="6446" width="9" bestFit="1" customWidth="1"/>
    <col min="6447" max="6447" width="7" bestFit="1" customWidth="1"/>
    <col min="6448" max="6450" width="9" bestFit="1" customWidth="1"/>
    <col min="6451" max="6451" width="4" bestFit="1" customWidth="1"/>
    <col min="6452" max="6452" width="9" bestFit="1" customWidth="1"/>
    <col min="6453" max="6453" width="7.9296875" bestFit="1" customWidth="1"/>
    <col min="6454" max="6454" width="4" bestFit="1" customWidth="1"/>
    <col min="6455" max="6455" width="9" bestFit="1" customWidth="1"/>
    <col min="6456" max="6456" width="6.06640625" bestFit="1" customWidth="1"/>
    <col min="6457" max="6457" width="7" bestFit="1" customWidth="1"/>
    <col min="6458" max="6459" width="9" bestFit="1" customWidth="1"/>
    <col min="6460" max="6460" width="4" bestFit="1" customWidth="1"/>
    <col min="6461" max="6463" width="9" bestFit="1" customWidth="1"/>
    <col min="6464" max="6464" width="4" bestFit="1" customWidth="1"/>
    <col min="6465" max="6465" width="7.9296875" bestFit="1" customWidth="1"/>
    <col min="6466" max="6467" width="9" bestFit="1" customWidth="1"/>
    <col min="6468" max="6468" width="6.06640625" bestFit="1" customWidth="1"/>
    <col min="6469" max="6472" width="9" bestFit="1" customWidth="1"/>
    <col min="6473" max="6473" width="7" bestFit="1" customWidth="1"/>
    <col min="6474" max="6474" width="9" bestFit="1" customWidth="1"/>
    <col min="6475" max="6475" width="7" bestFit="1" customWidth="1"/>
    <col min="6476" max="6476" width="7.9296875" bestFit="1" customWidth="1"/>
    <col min="6477" max="6477" width="7" bestFit="1" customWidth="1"/>
    <col min="6478" max="6478" width="4" bestFit="1" customWidth="1"/>
    <col min="6479" max="6480" width="9" bestFit="1" customWidth="1"/>
    <col min="6481" max="6481" width="7" bestFit="1" customWidth="1"/>
    <col min="6482" max="6483" width="9" bestFit="1" customWidth="1"/>
    <col min="6484" max="6484" width="6.06640625" bestFit="1" customWidth="1"/>
    <col min="6485" max="6485" width="9" bestFit="1" customWidth="1"/>
    <col min="6486" max="6486" width="4" bestFit="1" customWidth="1"/>
    <col min="6487" max="6487" width="9" bestFit="1" customWidth="1"/>
    <col min="6488" max="6489" width="7.9296875" bestFit="1" customWidth="1"/>
    <col min="6490" max="6490" width="9" bestFit="1" customWidth="1"/>
    <col min="6491" max="6491" width="7" bestFit="1" customWidth="1"/>
    <col min="6492" max="6492" width="6.06640625" bestFit="1" customWidth="1"/>
    <col min="6493" max="6493" width="9" bestFit="1" customWidth="1"/>
    <col min="6494" max="6494" width="4" bestFit="1" customWidth="1"/>
    <col min="6495" max="6495" width="9" bestFit="1" customWidth="1"/>
    <col min="6496" max="6496" width="7" bestFit="1" customWidth="1"/>
    <col min="6497" max="6497" width="7.9296875" bestFit="1" customWidth="1"/>
    <col min="6498" max="6498" width="6.06640625" bestFit="1" customWidth="1"/>
    <col min="6499" max="6499" width="7.9296875" bestFit="1" customWidth="1"/>
    <col min="6500" max="6501" width="9" bestFit="1" customWidth="1"/>
    <col min="6502" max="6502" width="6.06640625" bestFit="1" customWidth="1"/>
    <col min="6503" max="6504" width="9" bestFit="1" customWidth="1"/>
    <col min="6505" max="6505" width="6.06640625" bestFit="1" customWidth="1"/>
    <col min="6506" max="6506" width="4" bestFit="1" customWidth="1"/>
    <col min="6507" max="6507" width="6.06640625" bestFit="1" customWidth="1"/>
    <col min="6508" max="6509" width="7" bestFit="1" customWidth="1"/>
    <col min="6510" max="6510" width="6.06640625" bestFit="1" customWidth="1"/>
    <col min="6511" max="6513" width="9" bestFit="1" customWidth="1"/>
    <col min="6514" max="6514" width="6.06640625" bestFit="1" customWidth="1"/>
    <col min="6515" max="6515" width="7" bestFit="1" customWidth="1"/>
    <col min="6516" max="6517" width="9" bestFit="1" customWidth="1"/>
    <col min="6518" max="6518" width="4" bestFit="1" customWidth="1"/>
    <col min="6519" max="6519" width="9" bestFit="1" customWidth="1"/>
    <col min="6520" max="6520" width="7.9296875" bestFit="1" customWidth="1"/>
    <col min="6521" max="6521" width="7" bestFit="1" customWidth="1"/>
    <col min="6522" max="6522" width="9" bestFit="1" customWidth="1"/>
    <col min="6523" max="6523" width="4" bestFit="1" customWidth="1"/>
    <col min="6524" max="6524" width="7" bestFit="1" customWidth="1"/>
    <col min="6525" max="6526" width="9" bestFit="1" customWidth="1"/>
    <col min="6527" max="6527" width="6.06640625" bestFit="1" customWidth="1"/>
    <col min="6528" max="6528" width="9" bestFit="1" customWidth="1"/>
    <col min="6529" max="6529" width="7" bestFit="1" customWidth="1"/>
    <col min="6530" max="6531" width="9" bestFit="1" customWidth="1"/>
    <col min="6532" max="6532" width="4" bestFit="1" customWidth="1"/>
    <col min="6533" max="6534" width="9" bestFit="1" customWidth="1"/>
    <col min="6535" max="6535" width="7" bestFit="1" customWidth="1"/>
    <col min="6536" max="6536" width="9" bestFit="1" customWidth="1"/>
    <col min="6537" max="6537" width="7.9296875" bestFit="1" customWidth="1"/>
    <col min="6538" max="6538" width="9" bestFit="1" customWidth="1"/>
    <col min="6539" max="6539" width="7.9296875" bestFit="1" customWidth="1"/>
    <col min="6540" max="6540" width="9" bestFit="1" customWidth="1"/>
    <col min="6541" max="6541" width="6.06640625" bestFit="1" customWidth="1"/>
    <col min="6542" max="6542" width="9" bestFit="1" customWidth="1"/>
    <col min="6543" max="6545" width="6.06640625" bestFit="1" customWidth="1"/>
    <col min="6546" max="6546" width="7.9296875" bestFit="1" customWidth="1"/>
    <col min="6547" max="6547" width="4" bestFit="1" customWidth="1"/>
    <col min="6548" max="6548" width="7.9296875" bestFit="1" customWidth="1"/>
    <col min="6549" max="6550" width="9" bestFit="1" customWidth="1"/>
    <col min="6551" max="6551" width="7" bestFit="1" customWidth="1"/>
    <col min="6552" max="6553" width="9" bestFit="1" customWidth="1"/>
    <col min="6554" max="6554" width="7" bestFit="1" customWidth="1"/>
    <col min="6555" max="6555" width="6.06640625" bestFit="1" customWidth="1"/>
    <col min="6556" max="6560" width="9" bestFit="1" customWidth="1"/>
    <col min="6561" max="6561" width="4" bestFit="1" customWidth="1"/>
    <col min="6562" max="6562" width="7.9296875" bestFit="1" customWidth="1"/>
    <col min="6563" max="6563" width="9" bestFit="1" customWidth="1"/>
    <col min="6564" max="6564" width="4" bestFit="1" customWidth="1"/>
    <col min="6565" max="6565" width="9" bestFit="1" customWidth="1"/>
    <col min="6566" max="6566" width="4" bestFit="1" customWidth="1"/>
    <col min="6567" max="6569" width="9" bestFit="1" customWidth="1"/>
    <col min="6570" max="6571" width="6.06640625" bestFit="1" customWidth="1"/>
    <col min="6572" max="6572" width="7.9296875" bestFit="1" customWidth="1"/>
    <col min="6573" max="6573" width="9" bestFit="1" customWidth="1"/>
    <col min="6574" max="6574" width="7.9296875" bestFit="1" customWidth="1"/>
    <col min="6575" max="6575" width="4" bestFit="1" customWidth="1"/>
    <col min="6576" max="6576" width="6.06640625" bestFit="1" customWidth="1"/>
    <col min="6577" max="6577" width="4" bestFit="1" customWidth="1"/>
    <col min="6578" max="6578" width="7.9296875" bestFit="1" customWidth="1"/>
    <col min="6579" max="6579" width="9" bestFit="1" customWidth="1"/>
    <col min="6580" max="6580" width="7" bestFit="1" customWidth="1"/>
    <col min="6581" max="6581" width="7.9296875" bestFit="1" customWidth="1"/>
    <col min="6582" max="6582" width="4" bestFit="1" customWidth="1"/>
    <col min="6583" max="6583" width="9" bestFit="1" customWidth="1"/>
    <col min="6584" max="6584" width="7" bestFit="1" customWidth="1"/>
    <col min="6585" max="6585" width="9" bestFit="1" customWidth="1"/>
    <col min="6586" max="6586" width="7" bestFit="1" customWidth="1"/>
    <col min="6587" max="6588" width="9" bestFit="1" customWidth="1"/>
    <col min="6589" max="6589" width="7" bestFit="1" customWidth="1"/>
    <col min="6590" max="6591" width="6.06640625" bestFit="1" customWidth="1"/>
    <col min="6592" max="6592" width="9" bestFit="1" customWidth="1"/>
    <col min="6593" max="6593" width="4" bestFit="1" customWidth="1"/>
    <col min="6594" max="6597" width="9" bestFit="1" customWidth="1"/>
    <col min="6598" max="6598" width="7" bestFit="1" customWidth="1"/>
    <col min="6599" max="6599" width="4" bestFit="1" customWidth="1"/>
    <col min="6600" max="6601" width="7" bestFit="1" customWidth="1"/>
    <col min="6602" max="6602" width="6.06640625" bestFit="1" customWidth="1"/>
    <col min="6603" max="6605" width="9" bestFit="1" customWidth="1"/>
    <col min="6606" max="6606" width="7" bestFit="1" customWidth="1"/>
    <col min="6607" max="6610" width="9" bestFit="1" customWidth="1"/>
    <col min="6611" max="6611" width="4" bestFit="1" customWidth="1"/>
    <col min="6612" max="6612" width="9" bestFit="1" customWidth="1"/>
    <col min="6613" max="6613" width="6.06640625" bestFit="1" customWidth="1"/>
    <col min="6614" max="6614" width="4" bestFit="1" customWidth="1"/>
    <col min="6615" max="6616" width="7" bestFit="1" customWidth="1"/>
    <col min="6617" max="6617" width="7.9296875" bestFit="1" customWidth="1"/>
    <col min="6618" max="6618" width="6.06640625" bestFit="1" customWidth="1"/>
    <col min="6619" max="6620" width="9" bestFit="1" customWidth="1"/>
    <col min="6621" max="6621" width="4" bestFit="1" customWidth="1"/>
    <col min="6622" max="6623" width="9" bestFit="1" customWidth="1"/>
    <col min="6624" max="6624" width="6.06640625" bestFit="1" customWidth="1"/>
    <col min="6625" max="6625" width="4" bestFit="1" customWidth="1"/>
    <col min="6626" max="6626" width="9" bestFit="1" customWidth="1"/>
    <col min="6627" max="6627" width="6.06640625" bestFit="1" customWidth="1"/>
    <col min="6628" max="6628" width="7.9296875" bestFit="1" customWidth="1"/>
    <col min="6629" max="6630" width="9" bestFit="1" customWidth="1"/>
    <col min="6631" max="6631" width="4" bestFit="1" customWidth="1"/>
    <col min="6632" max="6633" width="9" bestFit="1" customWidth="1"/>
    <col min="6634" max="6634" width="4" bestFit="1" customWidth="1"/>
    <col min="6635" max="6635" width="7" bestFit="1" customWidth="1"/>
    <col min="6636" max="6636" width="4" bestFit="1" customWidth="1"/>
    <col min="6637" max="6637" width="6.06640625" bestFit="1" customWidth="1"/>
    <col min="6638" max="6638" width="7" bestFit="1" customWidth="1"/>
    <col min="6639" max="6640" width="9" bestFit="1" customWidth="1"/>
    <col min="6641" max="6641" width="6.06640625" bestFit="1" customWidth="1"/>
    <col min="6642" max="6642" width="9" bestFit="1" customWidth="1"/>
    <col min="6643" max="6643" width="7.9296875" bestFit="1" customWidth="1"/>
    <col min="6644" max="6644" width="9" bestFit="1" customWidth="1"/>
    <col min="6645" max="6645" width="4" bestFit="1" customWidth="1"/>
    <col min="6646" max="6649" width="9" bestFit="1" customWidth="1"/>
    <col min="6650" max="6651" width="7" bestFit="1" customWidth="1"/>
    <col min="6652" max="6652" width="9" bestFit="1" customWidth="1"/>
    <col min="6653" max="6653" width="7.9296875" bestFit="1" customWidth="1"/>
    <col min="6654" max="6654" width="4" bestFit="1" customWidth="1"/>
    <col min="6655" max="6658" width="9" bestFit="1" customWidth="1"/>
    <col min="6659" max="6659" width="6.06640625" bestFit="1" customWidth="1"/>
    <col min="6660" max="6660" width="9" bestFit="1" customWidth="1"/>
    <col min="6661" max="6661" width="4" bestFit="1" customWidth="1"/>
    <col min="6662" max="6662" width="9" bestFit="1" customWidth="1"/>
    <col min="6663" max="6664" width="4" bestFit="1" customWidth="1"/>
    <col min="6665" max="6665" width="7.9296875" bestFit="1" customWidth="1"/>
    <col min="6666" max="6666" width="7" bestFit="1" customWidth="1"/>
    <col min="6667" max="6670" width="9" bestFit="1" customWidth="1"/>
    <col min="6671" max="6671" width="6.06640625" bestFit="1" customWidth="1"/>
    <col min="6672" max="6672" width="4" bestFit="1" customWidth="1"/>
    <col min="6673" max="6673" width="6.06640625" bestFit="1" customWidth="1"/>
    <col min="6674" max="6674" width="9" bestFit="1" customWidth="1"/>
    <col min="6675" max="6676" width="7" bestFit="1" customWidth="1"/>
    <col min="6677" max="6677" width="9" bestFit="1" customWidth="1"/>
    <col min="6678" max="6678" width="4" bestFit="1" customWidth="1"/>
    <col min="6679" max="6679" width="9" bestFit="1" customWidth="1"/>
    <col min="6680" max="6680" width="4" bestFit="1" customWidth="1"/>
    <col min="6681" max="6682" width="9" bestFit="1" customWidth="1"/>
    <col min="6683" max="6683" width="4" bestFit="1" customWidth="1"/>
    <col min="6684" max="6684" width="9" bestFit="1" customWidth="1"/>
    <col min="6685" max="6685" width="6.06640625" bestFit="1" customWidth="1"/>
    <col min="6686" max="6686" width="7" bestFit="1" customWidth="1"/>
    <col min="6687" max="6687" width="4" bestFit="1" customWidth="1"/>
    <col min="6688" max="6688" width="6.06640625" bestFit="1" customWidth="1"/>
    <col min="6689" max="6690" width="9" bestFit="1" customWidth="1"/>
    <col min="6691" max="6691" width="4" bestFit="1" customWidth="1"/>
    <col min="6692" max="6694" width="9" bestFit="1" customWidth="1"/>
    <col min="6695" max="6695" width="7" bestFit="1" customWidth="1"/>
    <col min="6696" max="6696" width="9" bestFit="1" customWidth="1"/>
    <col min="6697" max="6697" width="7" bestFit="1" customWidth="1"/>
    <col min="6698" max="6698" width="9" bestFit="1" customWidth="1"/>
    <col min="6699" max="6699" width="4" bestFit="1" customWidth="1"/>
    <col min="6700" max="6700" width="9" bestFit="1" customWidth="1"/>
    <col min="6701" max="6701" width="6.06640625" bestFit="1" customWidth="1"/>
    <col min="6702" max="6702" width="7" bestFit="1" customWidth="1"/>
    <col min="6703" max="6704" width="9" bestFit="1" customWidth="1"/>
    <col min="6705" max="6705" width="6.06640625" bestFit="1" customWidth="1"/>
    <col min="6706" max="6706" width="7" bestFit="1" customWidth="1"/>
    <col min="6707" max="6707" width="4" bestFit="1" customWidth="1"/>
    <col min="6708" max="6708" width="6.06640625" bestFit="1" customWidth="1"/>
    <col min="6709" max="6709" width="9" bestFit="1" customWidth="1"/>
    <col min="6710" max="6710" width="7.9296875" bestFit="1" customWidth="1"/>
    <col min="6711" max="6711" width="7" bestFit="1" customWidth="1"/>
    <col min="6712" max="6712" width="9" bestFit="1" customWidth="1"/>
    <col min="6713" max="6713" width="7.9296875" bestFit="1" customWidth="1"/>
    <col min="6714" max="6714" width="9" bestFit="1" customWidth="1"/>
    <col min="6715" max="6715" width="7" bestFit="1" customWidth="1"/>
    <col min="6716" max="6718" width="9" bestFit="1" customWidth="1"/>
    <col min="6719" max="6719" width="7" bestFit="1" customWidth="1"/>
    <col min="6720" max="6720" width="6.06640625" bestFit="1" customWidth="1"/>
    <col min="6721" max="6721" width="7" bestFit="1" customWidth="1"/>
    <col min="6722" max="6722" width="9" bestFit="1" customWidth="1"/>
    <col min="6723" max="6723" width="6.06640625" bestFit="1" customWidth="1"/>
    <col min="6724" max="6724" width="7.9296875" bestFit="1" customWidth="1"/>
    <col min="6725" max="6726" width="9" bestFit="1" customWidth="1"/>
    <col min="6727" max="6727" width="4" bestFit="1" customWidth="1"/>
    <col min="6728" max="6728" width="7.9296875" bestFit="1" customWidth="1"/>
    <col min="6729" max="6729" width="7" bestFit="1" customWidth="1"/>
    <col min="6730" max="6730" width="9" bestFit="1" customWidth="1"/>
    <col min="6731" max="6731" width="4" bestFit="1" customWidth="1"/>
    <col min="6732" max="6732" width="7.9296875" bestFit="1" customWidth="1"/>
    <col min="6733" max="6733" width="7" bestFit="1" customWidth="1"/>
    <col min="6734" max="6734" width="7.9296875" bestFit="1" customWidth="1"/>
    <col min="6735" max="6736" width="9" bestFit="1" customWidth="1"/>
    <col min="6737" max="6737" width="7" bestFit="1" customWidth="1"/>
    <col min="6738" max="6740" width="9" bestFit="1" customWidth="1"/>
    <col min="6741" max="6742" width="7" bestFit="1" customWidth="1"/>
    <col min="6743" max="6743" width="4" bestFit="1" customWidth="1"/>
    <col min="6744" max="6744" width="6.06640625" bestFit="1" customWidth="1"/>
    <col min="6745" max="6745" width="9" bestFit="1" customWidth="1"/>
    <col min="6746" max="6746" width="4" bestFit="1" customWidth="1"/>
    <col min="6747" max="6747" width="7" bestFit="1" customWidth="1"/>
    <col min="6748" max="6748" width="9" bestFit="1" customWidth="1"/>
    <col min="6749" max="6749" width="4" bestFit="1" customWidth="1"/>
    <col min="6750" max="6750" width="7.9296875" bestFit="1" customWidth="1"/>
    <col min="6751" max="6751" width="4" bestFit="1" customWidth="1"/>
    <col min="6752" max="6752" width="9" bestFit="1" customWidth="1"/>
    <col min="6753" max="6753" width="6.06640625" bestFit="1" customWidth="1"/>
    <col min="6754" max="6754" width="9" bestFit="1" customWidth="1"/>
    <col min="6755" max="6756" width="7" bestFit="1" customWidth="1"/>
    <col min="6757" max="6757" width="4" bestFit="1" customWidth="1"/>
    <col min="6758" max="6758" width="7" bestFit="1" customWidth="1"/>
    <col min="6759" max="6759" width="6.06640625" bestFit="1" customWidth="1"/>
    <col min="6760" max="6763" width="9" bestFit="1" customWidth="1"/>
    <col min="6764" max="6764" width="6.06640625" bestFit="1" customWidth="1"/>
    <col min="6765" max="6765" width="7.9296875" bestFit="1" customWidth="1"/>
    <col min="6766" max="6768" width="9" bestFit="1" customWidth="1"/>
    <col min="6769" max="6769" width="4" bestFit="1" customWidth="1"/>
    <col min="6770" max="6771" width="9" bestFit="1" customWidth="1"/>
    <col min="6772" max="6773" width="7" bestFit="1" customWidth="1"/>
    <col min="6774" max="6774" width="4" bestFit="1" customWidth="1"/>
    <col min="6775" max="6775" width="9" bestFit="1" customWidth="1"/>
    <col min="6776" max="6776" width="6.06640625" bestFit="1" customWidth="1"/>
    <col min="6777" max="6779" width="9" bestFit="1" customWidth="1"/>
    <col min="6780" max="6780" width="7.9296875" bestFit="1" customWidth="1"/>
    <col min="6781" max="6781" width="6.06640625" bestFit="1" customWidth="1"/>
    <col min="6782" max="6782" width="9" bestFit="1" customWidth="1"/>
    <col min="6783" max="6783" width="4" bestFit="1" customWidth="1"/>
    <col min="6784" max="6784" width="9" bestFit="1" customWidth="1"/>
    <col min="6785" max="6785" width="7" bestFit="1" customWidth="1"/>
    <col min="6786" max="6787" width="4" bestFit="1" customWidth="1"/>
    <col min="6788" max="6789" width="9" bestFit="1" customWidth="1"/>
    <col min="6790" max="6790" width="7.9296875" bestFit="1" customWidth="1"/>
    <col min="6791" max="6792" width="9" bestFit="1" customWidth="1"/>
    <col min="6793" max="6793" width="7.9296875" bestFit="1" customWidth="1"/>
    <col min="6794" max="6794" width="7" bestFit="1" customWidth="1"/>
    <col min="6795" max="6795" width="7.9296875" bestFit="1" customWidth="1"/>
    <col min="6796" max="6796" width="4" bestFit="1" customWidth="1"/>
    <col min="6797" max="6797" width="7" bestFit="1" customWidth="1"/>
    <col min="6798" max="6798" width="6.06640625" bestFit="1" customWidth="1"/>
    <col min="6799" max="6800" width="9" bestFit="1" customWidth="1"/>
    <col min="6801" max="6801" width="4" bestFit="1" customWidth="1"/>
    <col min="6802" max="6802" width="9" bestFit="1" customWidth="1"/>
    <col min="6803" max="6803" width="6.06640625" bestFit="1" customWidth="1"/>
    <col min="6804" max="6804" width="9" bestFit="1" customWidth="1"/>
    <col min="6805" max="6805" width="4" bestFit="1" customWidth="1"/>
    <col min="6806" max="6807" width="6.06640625" bestFit="1" customWidth="1"/>
    <col min="6808" max="6808" width="9" bestFit="1" customWidth="1"/>
    <col min="6809" max="6809" width="7" bestFit="1" customWidth="1"/>
    <col min="6810" max="6810" width="9" bestFit="1" customWidth="1"/>
    <col min="6811" max="6812" width="7.9296875" bestFit="1" customWidth="1"/>
    <col min="6813" max="6813" width="7" bestFit="1" customWidth="1"/>
    <col min="6814" max="6814" width="9" bestFit="1" customWidth="1"/>
    <col min="6815" max="6815" width="4" bestFit="1" customWidth="1"/>
    <col min="6816" max="6816" width="7" bestFit="1" customWidth="1"/>
    <col min="6817" max="6818" width="7.9296875" bestFit="1" customWidth="1"/>
    <col min="6819" max="6819" width="7" bestFit="1" customWidth="1"/>
    <col min="6820" max="6820" width="9" bestFit="1" customWidth="1"/>
    <col min="6821" max="6822" width="4" bestFit="1" customWidth="1"/>
    <col min="6823" max="6825" width="9" bestFit="1" customWidth="1"/>
    <col min="6826" max="6827" width="7.9296875" bestFit="1" customWidth="1"/>
    <col min="6828" max="6829" width="9" bestFit="1" customWidth="1"/>
    <col min="6830" max="6830" width="6.06640625" bestFit="1" customWidth="1"/>
    <col min="6831" max="6831" width="9" bestFit="1" customWidth="1"/>
    <col min="6832" max="6832" width="4" bestFit="1" customWidth="1"/>
    <col min="6833" max="6833" width="9" bestFit="1" customWidth="1"/>
    <col min="6834" max="6834" width="6.06640625" bestFit="1" customWidth="1"/>
    <col min="6835" max="6835" width="4" bestFit="1" customWidth="1"/>
    <col min="6836" max="6836" width="9" bestFit="1" customWidth="1"/>
    <col min="6837" max="6837" width="7.9296875" bestFit="1" customWidth="1"/>
    <col min="6838" max="6840" width="7" bestFit="1" customWidth="1"/>
    <col min="6841" max="6841" width="7.9296875" bestFit="1" customWidth="1"/>
    <col min="6842" max="6843" width="9" bestFit="1" customWidth="1"/>
    <col min="6844" max="6844" width="4" bestFit="1" customWidth="1"/>
    <col min="6845" max="6845" width="7" bestFit="1" customWidth="1"/>
    <col min="6846" max="6853" width="9" bestFit="1" customWidth="1"/>
    <col min="6854" max="6854" width="7.9296875" bestFit="1" customWidth="1"/>
    <col min="6855" max="6855" width="7" bestFit="1" customWidth="1"/>
    <col min="6856" max="6856" width="9" bestFit="1" customWidth="1"/>
    <col min="6857" max="6857" width="6.06640625" bestFit="1" customWidth="1"/>
    <col min="6858" max="6858" width="7.9296875" bestFit="1" customWidth="1"/>
    <col min="6859" max="6859" width="9" bestFit="1" customWidth="1"/>
    <col min="6860" max="6860" width="6.06640625" bestFit="1" customWidth="1"/>
    <col min="6861" max="6862" width="9" bestFit="1" customWidth="1"/>
    <col min="6863" max="6865" width="7.9296875" bestFit="1" customWidth="1"/>
    <col min="6866" max="6866" width="9" bestFit="1" customWidth="1"/>
    <col min="6867" max="6867" width="6.06640625" bestFit="1" customWidth="1"/>
    <col min="6868" max="6872" width="9" bestFit="1" customWidth="1"/>
    <col min="6873" max="6873" width="4" bestFit="1" customWidth="1"/>
    <col min="6874" max="6874" width="6.06640625" bestFit="1" customWidth="1"/>
    <col min="6875" max="6875" width="7" bestFit="1" customWidth="1"/>
    <col min="6876" max="6877" width="4" bestFit="1" customWidth="1"/>
    <col min="6878" max="6878" width="9" bestFit="1" customWidth="1"/>
    <col min="6879" max="6879" width="7.9296875" bestFit="1" customWidth="1"/>
    <col min="6880" max="6880" width="9" bestFit="1" customWidth="1"/>
    <col min="6881" max="6881" width="7" bestFit="1" customWidth="1"/>
    <col min="6882" max="6883" width="9" bestFit="1" customWidth="1"/>
    <col min="6884" max="6884" width="4" bestFit="1" customWidth="1"/>
    <col min="6885" max="6885" width="6.06640625" bestFit="1" customWidth="1"/>
    <col min="6886" max="6891" width="9" bestFit="1" customWidth="1"/>
    <col min="6892" max="6892" width="7.9296875" bestFit="1" customWidth="1"/>
    <col min="6893" max="6896" width="9" bestFit="1" customWidth="1"/>
    <col min="6897" max="6897" width="4" bestFit="1" customWidth="1"/>
    <col min="6898" max="6899" width="9" bestFit="1" customWidth="1"/>
    <col min="6900" max="6900" width="6.06640625" bestFit="1" customWidth="1"/>
    <col min="6901" max="6904" width="9" bestFit="1" customWidth="1"/>
    <col min="6905" max="6905" width="7.9296875" bestFit="1" customWidth="1"/>
    <col min="6906" max="6906" width="9" bestFit="1" customWidth="1"/>
    <col min="6907" max="6907" width="7.9296875" bestFit="1" customWidth="1"/>
    <col min="6908" max="6909" width="9" bestFit="1" customWidth="1"/>
    <col min="6910" max="6910" width="4" bestFit="1" customWidth="1"/>
    <col min="6911" max="6912" width="9" bestFit="1" customWidth="1"/>
    <col min="6913" max="6913" width="7" bestFit="1" customWidth="1"/>
    <col min="6914" max="6916" width="9" bestFit="1" customWidth="1"/>
    <col min="6917" max="6917" width="7" bestFit="1" customWidth="1"/>
    <col min="6918" max="6919" width="9" bestFit="1" customWidth="1"/>
    <col min="6920" max="6920" width="7" bestFit="1" customWidth="1"/>
    <col min="6921" max="6921" width="4" bestFit="1" customWidth="1"/>
    <col min="6922" max="6923" width="9" bestFit="1" customWidth="1"/>
    <col min="6924" max="6924" width="6.06640625" bestFit="1" customWidth="1"/>
    <col min="6925" max="6925" width="7" bestFit="1" customWidth="1"/>
    <col min="6926" max="6926" width="6.06640625" bestFit="1" customWidth="1"/>
    <col min="6927" max="6927" width="7.9296875" bestFit="1" customWidth="1"/>
    <col min="6928" max="6928" width="4" bestFit="1" customWidth="1"/>
    <col min="6929" max="6929" width="9" bestFit="1" customWidth="1"/>
    <col min="6930" max="6930" width="7" bestFit="1" customWidth="1"/>
    <col min="6931" max="6931" width="4" bestFit="1" customWidth="1"/>
    <col min="6932" max="6932" width="6.06640625" bestFit="1" customWidth="1"/>
    <col min="6933" max="6933" width="9" bestFit="1" customWidth="1"/>
    <col min="6934" max="6934" width="7.9296875" bestFit="1" customWidth="1"/>
    <col min="6935" max="6935" width="4" bestFit="1" customWidth="1"/>
    <col min="6936" max="6940" width="9" bestFit="1" customWidth="1"/>
    <col min="6941" max="6941" width="7.9296875" bestFit="1" customWidth="1"/>
    <col min="6942" max="6942" width="6.06640625" bestFit="1" customWidth="1"/>
    <col min="6943" max="6943" width="4" bestFit="1" customWidth="1"/>
    <col min="6944" max="6945" width="9" bestFit="1" customWidth="1"/>
    <col min="6946" max="6947" width="7" bestFit="1" customWidth="1"/>
    <col min="6948" max="6948" width="4" bestFit="1" customWidth="1"/>
    <col min="6949" max="6949" width="6.06640625" bestFit="1" customWidth="1"/>
    <col min="6950" max="6951" width="9" bestFit="1" customWidth="1"/>
    <col min="6952" max="6952" width="6.06640625" bestFit="1" customWidth="1"/>
    <col min="6953" max="6953" width="7" bestFit="1" customWidth="1"/>
    <col min="6954" max="6956" width="9" bestFit="1" customWidth="1"/>
    <col min="6957" max="6957" width="4" bestFit="1" customWidth="1"/>
    <col min="6958" max="6958" width="7.9296875" bestFit="1" customWidth="1"/>
    <col min="6959" max="6959" width="9" bestFit="1" customWidth="1"/>
    <col min="6960" max="6960" width="4" bestFit="1" customWidth="1"/>
    <col min="6961" max="6963" width="9" bestFit="1" customWidth="1"/>
    <col min="6964" max="6964" width="7" bestFit="1" customWidth="1"/>
    <col min="6965" max="6965" width="7.9296875" bestFit="1" customWidth="1"/>
    <col min="6966" max="6966" width="9" bestFit="1" customWidth="1"/>
    <col min="6967" max="6967" width="7.9296875" bestFit="1" customWidth="1"/>
    <col min="6968" max="6968" width="9" bestFit="1" customWidth="1"/>
    <col min="6969" max="6969" width="4" bestFit="1" customWidth="1"/>
    <col min="6970" max="6970" width="9" bestFit="1" customWidth="1"/>
    <col min="6971" max="6971" width="7.9296875" bestFit="1" customWidth="1"/>
    <col min="6972" max="6972" width="4" bestFit="1" customWidth="1"/>
    <col min="6973" max="6973" width="7.9296875" bestFit="1" customWidth="1"/>
    <col min="6974" max="6974" width="9" bestFit="1" customWidth="1"/>
    <col min="6975" max="6975" width="7" bestFit="1" customWidth="1"/>
    <col min="6976" max="6976" width="9" bestFit="1" customWidth="1"/>
    <col min="6977" max="6977" width="7" bestFit="1" customWidth="1"/>
    <col min="6978" max="6978" width="7.9296875" bestFit="1" customWidth="1"/>
    <col min="6979" max="6979" width="9" bestFit="1" customWidth="1"/>
    <col min="6980" max="6980" width="4" bestFit="1" customWidth="1"/>
    <col min="6981" max="6982" width="7" bestFit="1" customWidth="1"/>
    <col min="6983" max="6983" width="6.06640625" bestFit="1" customWidth="1"/>
    <col min="6984" max="6984" width="9" bestFit="1" customWidth="1"/>
    <col min="6985" max="6985" width="4" bestFit="1" customWidth="1"/>
    <col min="6986" max="6986" width="9" bestFit="1" customWidth="1"/>
    <col min="6987" max="6987" width="6.06640625" bestFit="1" customWidth="1"/>
    <col min="6988" max="6988" width="7" bestFit="1" customWidth="1"/>
    <col min="6989" max="6990" width="6.06640625" bestFit="1" customWidth="1"/>
    <col min="6991" max="6993" width="9" bestFit="1" customWidth="1"/>
    <col min="6994" max="6995" width="7" bestFit="1" customWidth="1"/>
    <col min="6996" max="6996" width="4" bestFit="1" customWidth="1"/>
    <col min="6997" max="6997" width="7" bestFit="1" customWidth="1"/>
    <col min="6998" max="7000" width="6.06640625" bestFit="1" customWidth="1"/>
    <col min="7001" max="7001" width="4" bestFit="1" customWidth="1"/>
    <col min="7002" max="7002" width="6.06640625" bestFit="1" customWidth="1"/>
    <col min="7003" max="7003" width="7" bestFit="1" customWidth="1"/>
    <col min="7004" max="7004" width="9" bestFit="1" customWidth="1"/>
    <col min="7005" max="7005" width="7.9296875" bestFit="1" customWidth="1"/>
    <col min="7006" max="7006" width="7" bestFit="1" customWidth="1"/>
    <col min="7007" max="7007" width="4" bestFit="1" customWidth="1"/>
    <col min="7008" max="7008" width="7" bestFit="1" customWidth="1"/>
    <col min="7009" max="7009" width="6.06640625" bestFit="1" customWidth="1"/>
    <col min="7010" max="7011" width="9" bestFit="1" customWidth="1"/>
    <col min="7012" max="7012" width="6.06640625" bestFit="1" customWidth="1"/>
    <col min="7013" max="7015" width="7" bestFit="1" customWidth="1"/>
    <col min="7016" max="7016" width="4" bestFit="1" customWidth="1"/>
    <col min="7017" max="7017" width="7" bestFit="1" customWidth="1"/>
    <col min="7018" max="7018" width="9" bestFit="1" customWidth="1"/>
    <col min="7019" max="7019" width="6.06640625" bestFit="1" customWidth="1"/>
    <col min="7020" max="7020" width="7.9296875" bestFit="1" customWidth="1"/>
    <col min="7021" max="7021" width="4" bestFit="1" customWidth="1"/>
    <col min="7022" max="7023" width="9" bestFit="1" customWidth="1"/>
    <col min="7024" max="7024" width="7" bestFit="1" customWidth="1"/>
    <col min="7025" max="7025" width="4" bestFit="1" customWidth="1"/>
    <col min="7026" max="7026" width="7" bestFit="1" customWidth="1"/>
    <col min="7027" max="7028" width="9" bestFit="1" customWidth="1"/>
    <col min="7029" max="7029" width="4" bestFit="1" customWidth="1"/>
    <col min="7030" max="7030" width="7" bestFit="1" customWidth="1"/>
    <col min="7031" max="7031" width="6.06640625" bestFit="1" customWidth="1"/>
    <col min="7032" max="7033" width="9" bestFit="1" customWidth="1"/>
    <col min="7034" max="7034" width="4" bestFit="1" customWidth="1"/>
    <col min="7035" max="7035" width="9" bestFit="1" customWidth="1"/>
    <col min="7036" max="7036" width="7" bestFit="1" customWidth="1"/>
    <col min="7037" max="7037" width="4" bestFit="1" customWidth="1"/>
    <col min="7038" max="7040" width="9" bestFit="1" customWidth="1"/>
    <col min="7041" max="7041" width="4" bestFit="1" customWidth="1"/>
    <col min="7042" max="7042" width="9" bestFit="1" customWidth="1"/>
    <col min="7043" max="7043" width="7" bestFit="1" customWidth="1"/>
    <col min="7044" max="7045" width="7.9296875" bestFit="1" customWidth="1"/>
    <col min="7046" max="7046" width="4" bestFit="1" customWidth="1"/>
    <col min="7047" max="7047" width="9" bestFit="1" customWidth="1"/>
    <col min="7048" max="7048" width="7" bestFit="1" customWidth="1"/>
    <col min="7049" max="7049" width="7.9296875" bestFit="1" customWidth="1"/>
    <col min="7050" max="7050" width="7" bestFit="1" customWidth="1"/>
    <col min="7051" max="7051" width="9" bestFit="1" customWidth="1"/>
    <col min="7052" max="7052" width="4" bestFit="1" customWidth="1"/>
    <col min="7053" max="7056" width="9" bestFit="1" customWidth="1"/>
    <col min="7057" max="7057" width="6.06640625" bestFit="1" customWidth="1"/>
    <col min="7058" max="7058" width="9" bestFit="1" customWidth="1"/>
    <col min="7059" max="7059" width="7" bestFit="1" customWidth="1"/>
    <col min="7060" max="7061" width="9" bestFit="1" customWidth="1"/>
    <col min="7062" max="7063" width="4" bestFit="1" customWidth="1"/>
    <col min="7064" max="7064" width="6.06640625" bestFit="1" customWidth="1"/>
    <col min="7065" max="7065" width="4" bestFit="1" customWidth="1"/>
    <col min="7066" max="7068" width="9" bestFit="1" customWidth="1"/>
    <col min="7069" max="7070" width="7" bestFit="1" customWidth="1"/>
    <col min="7071" max="7071" width="9" bestFit="1" customWidth="1"/>
    <col min="7072" max="7072" width="4" bestFit="1" customWidth="1"/>
    <col min="7073" max="7073" width="9" bestFit="1" customWidth="1"/>
    <col min="7074" max="7074" width="4" bestFit="1" customWidth="1"/>
    <col min="7075" max="7076" width="9" bestFit="1" customWidth="1"/>
    <col min="7077" max="7077" width="6.06640625" bestFit="1" customWidth="1"/>
    <col min="7078" max="7079" width="9" bestFit="1" customWidth="1"/>
    <col min="7080" max="7080" width="4" bestFit="1" customWidth="1"/>
    <col min="7081" max="7082" width="7" bestFit="1" customWidth="1"/>
    <col min="7083" max="7083" width="9" bestFit="1" customWidth="1"/>
    <col min="7084" max="7085" width="7" bestFit="1" customWidth="1"/>
    <col min="7086" max="7086" width="9" bestFit="1" customWidth="1"/>
    <col min="7087" max="7087" width="6.06640625" bestFit="1" customWidth="1"/>
    <col min="7088" max="7088" width="7.9296875" bestFit="1" customWidth="1"/>
    <col min="7089" max="7089" width="7" bestFit="1" customWidth="1"/>
    <col min="7090" max="7091" width="9" bestFit="1" customWidth="1"/>
    <col min="7092" max="7093" width="7" bestFit="1" customWidth="1"/>
    <col min="7094" max="7094" width="4" bestFit="1" customWidth="1"/>
    <col min="7095" max="7095" width="6.06640625" bestFit="1" customWidth="1"/>
    <col min="7096" max="7096" width="4" bestFit="1" customWidth="1"/>
    <col min="7097" max="7097" width="7.9296875" bestFit="1" customWidth="1"/>
    <col min="7098" max="7098" width="9" bestFit="1" customWidth="1"/>
    <col min="7099" max="7100" width="7.9296875" bestFit="1" customWidth="1"/>
    <col min="7101" max="7101" width="7" bestFit="1" customWidth="1"/>
    <col min="7102" max="7102" width="6.06640625" bestFit="1" customWidth="1"/>
    <col min="7103" max="7103" width="9" bestFit="1" customWidth="1"/>
    <col min="7104" max="7105" width="7" bestFit="1" customWidth="1"/>
    <col min="7106" max="7108" width="9" bestFit="1" customWidth="1"/>
    <col min="7109" max="7109" width="7" bestFit="1" customWidth="1"/>
    <col min="7110" max="7111" width="9" bestFit="1" customWidth="1"/>
    <col min="7112" max="7112" width="4" bestFit="1" customWidth="1"/>
    <col min="7113" max="7113" width="7" bestFit="1" customWidth="1"/>
    <col min="7114" max="7115" width="9" bestFit="1" customWidth="1"/>
    <col min="7116" max="7116" width="7" bestFit="1" customWidth="1"/>
    <col min="7117" max="7117" width="6.06640625" bestFit="1" customWidth="1"/>
    <col min="7118" max="7119" width="9" bestFit="1" customWidth="1"/>
    <col min="7120" max="7120" width="4" bestFit="1" customWidth="1"/>
    <col min="7121" max="7121" width="9" bestFit="1" customWidth="1"/>
    <col min="7122" max="7122" width="6.06640625" bestFit="1" customWidth="1"/>
    <col min="7123" max="7123" width="9" bestFit="1" customWidth="1"/>
    <col min="7124" max="7124" width="7" bestFit="1" customWidth="1"/>
    <col min="7125" max="7125" width="9" bestFit="1" customWidth="1"/>
    <col min="7126" max="7126" width="7" bestFit="1" customWidth="1"/>
    <col min="7127" max="7127" width="6.06640625" bestFit="1" customWidth="1"/>
    <col min="7128" max="7128" width="4" bestFit="1" customWidth="1"/>
    <col min="7129" max="7130" width="9" bestFit="1" customWidth="1"/>
    <col min="7131" max="7132" width="4" bestFit="1" customWidth="1"/>
    <col min="7133" max="7133" width="7" bestFit="1" customWidth="1"/>
    <col min="7134" max="7134" width="7.9296875" bestFit="1" customWidth="1"/>
    <col min="7135" max="7135" width="4" bestFit="1" customWidth="1"/>
    <col min="7136" max="7136" width="9" bestFit="1" customWidth="1"/>
    <col min="7137" max="7137" width="7.9296875" bestFit="1" customWidth="1"/>
    <col min="7138" max="7142" width="9" bestFit="1" customWidth="1"/>
    <col min="7143" max="7143" width="7" bestFit="1" customWidth="1"/>
    <col min="7144" max="7144" width="6.06640625" bestFit="1" customWidth="1"/>
    <col min="7145" max="7145" width="9" bestFit="1" customWidth="1"/>
    <col min="7146" max="7146" width="4" bestFit="1" customWidth="1"/>
    <col min="7147" max="7147" width="9" bestFit="1" customWidth="1"/>
    <col min="7148" max="7149" width="7.9296875" bestFit="1" customWidth="1"/>
    <col min="7150" max="7151" width="9" bestFit="1" customWidth="1"/>
    <col min="7152" max="7152" width="6.06640625" bestFit="1" customWidth="1"/>
    <col min="7153" max="7155" width="9" bestFit="1" customWidth="1"/>
    <col min="7156" max="7156" width="6.06640625" bestFit="1" customWidth="1"/>
    <col min="7157" max="7157" width="7.9296875" bestFit="1" customWidth="1"/>
    <col min="7158" max="7158" width="4" bestFit="1" customWidth="1"/>
    <col min="7159" max="7159" width="7" bestFit="1" customWidth="1"/>
    <col min="7160" max="7160" width="9" bestFit="1" customWidth="1"/>
    <col min="7161" max="7161" width="4" bestFit="1" customWidth="1"/>
    <col min="7162" max="7163" width="9" bestFit="1" customWidth="1"/>
    <col min="7164" max="7165" width="7" bestFit="1" customWidth="1"/>
    <col min="7166" max="7170" width="9" bestFit="1" customWidth="1"/>
    <col min="7171" max="7171" width="6.06640625" bestFit="1" customWidth="1"/>
    <col min="7172" max="7172" width="9" bestFit="1" customWidth="1"/>
    <col min="7173" max="7173" width="4" bestFit="1" customWidth="1"/>
    <col min="7174" max="7174" width="9" bestFit="1" customWidth="1"/>
    <col min="7175" max="7175" width="7.9296875" bestFit="1" customWidth="1"/>
    <col min="7176" max="7177" width="4" bestFit="1" customWidth="1"/>
    <col min="7178" max="7180" width="9" bestFit="1" customWidth="1"/>
    <col min="7181" max="7181" width="7.9296875" bestFit="1" customWidth="1"/>
    <col min="7182" max="7183" width="6.06640625" bestFit="1" customWidth="1"/>
    <col min="7184" max="7184" width="4" bestFit="1" customWidth="1"/>
    <col min="7185" max="7185" width="7.9296875" bestFit="1" customWidth="1"/>
    <col min="7186" max="7186" width="6.06640625" bestFit="1" customWidth="1"/>
    <col min="7187" max="7189" width="9" bestFit="1" customWidth="1"/>
    <col min="7190" max="7190" width="4" bestFit="1" customWidth="1"/>
    <col min="7191" max="7191" width="9" bestFit="1" customWidth="1"/>
    <col min="7192" max="7192" width="7" bestFit="1" customWidth="1"/>
    <col min="7193" max="7193" width="4" bestFit="1" customWidth="1"/>
    <col min="7194" max="7194" width="9" bestFit="1" customWidth="1"/>
    <col min="7195" max="7195" width="7" bestFit="1" customWidth="1"/>
    <col min="7196" max="7196" width="4" bestFit="1" customWidth="1"/>
    <col min="7197" max="7198" width="9" bestFit="1" customWidth="1"/>
    <col min="7199" max="7199" width="4" bestFit="1" customWidth="1"/>
    <col min="7200" max="7200" width="7" bestFit="1" customWidth="1"/>
    <col min="7201" max="7202" width="6.06640625" bestFit="1" customWidth="1"/>
    <col min="7203" max="7203" width="4" bestFit="1" customWidth="1"/>
    <col min="7204" max="7205" width="9" bestFit="1" customWidth="1"/>
    <col min="7206" max="7206" width="7" bestFit="1" customWidth="1"/>
    <col min="7207" max="7207" width="4" bestFit="1" customWidth="1"/>
    <col min="7208" max="7208" width="9" bestFit="1" customWidth="1"/>
    <col min="7209" max="7209" width="7.9296875" bestFit="1" customWidth="1"/>
    <col min="7210" max="7210" width="6.06640625" bestFit="1" customWidth="1"/>
    <col min="7211" max="7212" width="9" bestFit="1" customWidth="1"/>
    <col min="7213" max="7213" width="4" bestFit="1" customWidth="1"/>
    <col min="7214" max="7214" width="9" bestFit="1" customWidth="1"/>
    <col min="7215" max="7215" width="6.06640625" bestFit="1" customWidth="1"/>
    <col min="7216" max="7216" width="9" bestFit="1" customWidth="1"/>
    <col min="7217" max="7217" width="4" bestFit="1" customWidth="1"/>
    <col min="7218" max="7218" width="9" bestFit="1" customWidth="1"/>
    <col min="7219" max="7220" width="7.9296875" bestFit="1" customWidth="1"/>
    <col min="7221" max="7223" width="9" bestFit="1" customWidth="1"/>
    <col min="7224" max="7224" width="6.06640625" bestFit="1" customWidth="1"/>
    <col min="7225" max="7228" width="9" bestFit="1" customWidth="1"/>
    <col min="7229" max="7230" width="7.9296875" bestFit="1" customWidth="1"/>
    <col min="7231" max="7231" width="9" bestFit="1" customWidth="1"/>
    <col min="7232" max="7232" width="4" bestFit="1" customWidth="1"/>
    <col min="7233" max="7233" width="7" bestFit="1" customWidth="1"/>
    <col min="7234" max="7234" width="9" bestFit="1" customWidth="1"/>
    <col min="7235" max="7235" width="6.06640625" bestFit="1" customWidth="1"/>
    <col min="7236" max="7236" width="4" bestFit="1" customWidth="1"/>
    <col min="7237" max="7238" width="9" bestFit="1" customWidth="1"/>
    <col min="7239" max="7239" width="4" bestFit="1" customWidth="1"/>
    <col min="7240" max="7240" width="6.06640625" bestFit="1" customWidth="1"/>
    <col min="7241" max="7241" width="9" bestFit="1" customWidth="1"/>
    <col min="7242" max="7242" width="4" bestFit="1" customWidth="1"/>
    <col min="7243" max="7243" width="9" bestFit="1" customWidth="1"/>
    <col min="7244" max="7244" width="6.06640625" bestFit="1" customWidth="1"/>
    <col min="7245" max="7245" width="9" bestFit="1" customWidth="1"/>
    <col min="7246" max="7246" width="7" bestFit="1" customWidth="1"/>
    <col min="7247" max="7248" width="9" bestFit="1" customWidth="1"/>
    <col min="7249" max="7249" width="7" bestFit="1" customWidth="1"/>
    <col min="7250" max="7250" width="6.06640625" bestFit="1" customWidth="1"/>
    <col min="7251" max="7251" width="4" bestFit="1" customWidth="1"/>
    <col min="7252" max="7252" width="7.9296875" bestFit="1" customWidth="1"/>
    <col min="7253" max="7254" width="9" bestFit="1" customWidth="1"/>
    <col min="7255" max="7255" width="7" bestFit="1" customWidth="1"/>
    <col min="7256" max="7256" width="4" bestFit="1" customWidth="1"/>
    <col min="7257" max="7257" width="9" bestFit="1" customWidth="1"/>
    <col min="7258" max="7258" width="4" bestFit="1" customWidth="1"/>
    <col min="7259" max="7259" width="9" bestFit="1" customWidth="1"/>
    <col min="7260" max="7260" width="7" bestFit="1" customWidth="1"/>
    <col min="7261" max="7263" width="9" bestFit="1" customWidth="1"/>
    <col min="7264" max="7264" width="6.06640625" bestFit="1" customWidth="1"/>
    <col min="7265" max="7267" width="9" bestFit="1" customWidth="1"/>
    <col min="7268" max="7268" width="7.9296875" bestFit="1" customWidth="1"/>
    <col min="7269" max="7269" width="9" bestFit="1" customWidth="1"/>
    <col min="7270" max="7270" width="7" bestFit="1" customWidth="1"/>
    <col min="7271" max="7271" width="7.9296875" bestFit="1" customWidth="1"/>
    <col min="7272" max="7273" width="4" bestFit="1" customWidth="1"/>
    <col min="7274" max="7275" width="9" bestFit="1" customWidth="1"/>
    <col min="7276" max="7276" width="7" bestFit="1" customWidth="1"/>
    <col min="7277" max="7277" width="4" bestFit="1" customWidth="1"/>
    <col min="7278" max="7278" width="9" bestFit="1" customWidth="1"/>
    <col min="7279" max="7279" width="7.9296875" bestFit="1" customWidth="1"/>
    <col min="7280" max="7283" width="9" bestFit="1" customWidth="1"/>
    <col min="7284" max="7284" width="7.9296875" bestFit="1" customWidth="1"/>
    <col min="7285" max="7285" width="6.06640625" bestFit="1" customWidth="1"/>
    <col min="7286" max="7286" width="9" bestFit="1" customWidth="1"/>
    <col min="7287" max="7287" width="4" bestFit="1" customWidth="1"/>
    <col min="7288" max="7288" width="9" bestFit="1" customWidth="1"/>
    <col min="7289" max="7289" width="6.06640625" bestFit="1" customWidth="1"/>
    <col min="7290" max="7290" width="7.9296875" bestFit="1" customWidth="1"/>
    <col min="7291" max="7291" width="7" bestFit="1" customWidth="1"/>
    <col min="7292" max="7292" width="9" bestFit="1" customWidth="1"/>
    <col min="7293" max="7293" width="7.9296875" bestFit="1" customWidth="1"/>
    <col min="7294" max="7296" width="9" bestFit="1" customWidth="1"/>
    <col min="7297" max="7297" width="4" bestFit="1" customWidth="1"/>
    <col min="7298" max="7298" width="7.9296875" bestFit="1" customWidth="1"/>
    <col min="7299" max="7299" width="9" bestFit="1" customWidth="1"/>
    <col min="7300" max="7300" width="7" bestFit="1" customWidth="1"/>
    <col min="7301" max="7301" width="6.06640625" bestFit="1" customWidth="1"/>
    <col min="7302" max="7302" width="9" bestFit="1" customWidth="1"/>
    <col min="7303" max="7303" width="7.9296875" bestFit="1" customWidth="1"/>
    <col min="7304" max="7305" width="7" bestFit="1" customWidth="1"/>
    <col min="7306" max="7306" width="4" bestFit="1" customWidth="1"/>
    <col min="7307" max="7307" width="7.9296875" bestFit="1" customWidth="1"/>
    <col min="7308" max="7308" width="4" bestFit="1" customWidth="1"/>
    <col min="7309" max="7311" width="9" bestFit="1" customWidth="1"/>
    <col min="7312" max="7312" width="7.9296875" bestFit="1" customWidth="1"/>
    <col min="7313" max="7314" width="9" bestFit="1" customWidth="1"/>
    <col min="7315" max="7315" width="4" bestFit="1" customWidth="1"/>
    <col min="7316" max="7316" width="9" bestFit="1" customWidth="1"/>
    <col min="7317" max="7317" width="7.9296875" bestFit="1" customWidth="1"/>
    <col min="7318" max="7318" width="4" bestFit="1" customWidth="1"/>
    <col min="7319" max="7319" width="9" bestFit="1" customWidth="1"/>
    <col min="7320" max="7320" width="6.06640625" bestFit="1" customWidth="1"/>
    <col min="7321" max="7321" width="7.9296875" bestFit="1" customWidth="1"/>
    <col min="7322" max="7323" width="7" bestFit="1" customWidth="1"/>
    <col min="7324" max="7324" width="6.06640625" bestFit="1" customWidth="1"/>
    <col min="7325" max="7325" width="7" bestFit="1" customWidth="1"/>
    <col min="7326" max="7326" width="9" bestFit="1" customWidth="1"/>
    <col min="7327" max="7327" width="6.06640625" bestFit="1" customWidth="1"/>
    <col min="7328" max="7328" width="4" bestFit="1" customWidth="1"/>
    <col min="7329" max="7329" width="6.06640625" bestFit="1" customWidth="1"/>
    <col min="7330" max="7332" width="9" bestFit="1" customWidth="1"/>
    <col min="7333" max="7333" width="4" bestFit="1" customWidth="1"/>
    <col min="7334" max="7336" width="9" bestFit="1" customWidth="1"/>
    <col min="7337" max="7337" width="7" bestFit="1" customWidth="1"/>
    <col min="7338" max="7338" width="9" bestFit="1" customWidth="1"/>
    <col min="7339" max="7340" width="7.9296875" bestFit="1" customWidth="1"/>
    <col min="7341" max="7341" width="6.06640625" bestFit="1" customWidth="1"/>
    <col min="7342" max="7342" width="4" bestFit="1" customWidth="1"/>
    <col min="7343" max="7343" width="6.06640625" bestFit="1" customWidth="1"/>
    <col min="7344" max="7345" width="7.9296875" bestFit="1" customWidth="1"/>
    <col min="7346" max="7347" width="9" bestFit="1" customWidth="1"/>
    <col min="7348" max="7348" width="6.06640625" bestFit="1" customWidth="1"/>
    <col min="7349" max="7350" width="9" bestFit="1" customWidth="1"/>
    <col min="7351" max="7351" width="7" bestFit="1" customWidth="1"/>
    <col min="7352" max="7352" width="7.9296875" bestFit="1" customWidth="1"/>
    <col min="7353" max="7354" width="9" bestFit="1" customWidth="1"/>
    <col min="7355" max="7355" width="4" bestFit="1" customWidth="1"/>
    <col min="7356" max="7361" width="9" bestFit="1" customWidth="1"/>
    <col min="7362" max="7362" width="6.06640625" bestFit="1" customWidth="1"/>
    <col min="7363" max="7363" width="4" bestFit="1" customWidth="1"/>
    <col min="7364" max="7364" width="7" bestFit="1" customWidth="1"/>
    <col min="7365" max="7365" width="9" bestFit="1" customWidth="1"/>
    <col min="7366" max="7366" width="4" bestFit="1" customWidth="1"/>
    <col min="7367" max="7367" width="9" bestFit="1" customWidth="1"/>
    <col min="7368" max="7368" width="4" bestFit="1" customWidth="1"/>
    <col min="7369" max="7372" width="9" bestFit="1" customWidth="1"/>
    <col min="7373" max="7373" width="7" bestFit="1" customWidth="1"/>
    <col min="7374" max="7374" width="9" bestFit="1" customWidth="1"/>
    <col min="7375" max="7375" width="7.9296875" bestFit="1" customWidth="1"/>
    <col min="7376" max="7376" width="9" bestFit="1" customWidth="1"/>
    <col min="7377" max="7377" width="4" bestFit="1" customWidth="1"/>
    <col min="7378" max="7378" width="7" bestFit="1" customWidth="1"/>
    <col min="7379" max="7379" width="9" bestFit="1" customWidth="1"/>
    <col min="7380" max="7380" width="6.06640625" bestFit="1" customWidth="1"/>
    <col min="7381" max="7381" width="4" bestFit="1" customWidth="1"/>
    <col min="7382" max="7383" width="9" bestFit="1" customWidth="1"/>
    <col min="7384" max="7384" width="6.06640625" bestFit="1" customWidth="1"/>
    <col min="7385" max="7385" width="7" bestFit="1" customWidth="1"/>
    <col min="7386" max="7386" width="6.06640625" bestFit="1" customWidth="1"/>
    <col min="7387" max="7387" width="9" bestFit="1" customWidth="1"/>
    <col min="7388" max="7388" width="4" bestFit="1" customWidth="1"/>
    <col min="7389" max="7389" width="9" bestFit="1" customWidth="1"/>
    <col min="7390" max="7390" width="6.06640625" bestFit="1" customWidth="1"/>
    <col min="7391" max="7391" width="7" bestFit="1" customWidth="1"/>
    <col min="7392" max="7392" width="4" bestFit="1" customWidth="1"/>
    <col min="7393" max="7393" width="9" bestFit="1" customWidth="1"/>
    <col min="7394" max="7394" width="7" bestFit="1" customWidth="1"/>
    <col min="7395" max="7395" width="7.9296875" bestFit="1" customWidth="1"/>
    <col min="7396" max="7396" width="7" bestFit="1" customWidth="1"/>
    <col min="7397" max="7397" width="4" bestFit="1" customWidth="1"/>
    <col min="7398" max="7398" width="7" bestFit="1" customWidth="1"/>
    <col min="7399" max="7400" width="9" bestFit="1" customWidth="1"/>
    <col min="7401" max="7401" width="4" bestFit="1" customWidth="1"/>
    <col min="7402" max="7402" width="7" bestFit="1" customWidth="1"/>
    <col min="7403" max="7403" width="4" bestFit="1" customWidth="1"/>
    <col min="7404" max="7405" width="9" bestFit="1" customWidth="1"/>
    <col min="7406" max="7407" width="4" bestFit="1" customWidth="1"/>
    <col min="7408" max="7408" width="7" bestFit="1" customWidth="1"/>
    <col min="7409" max="7409" width="4" bestFit="1" customWidth="1"/>
    <col min="7410" max="7410" width="7.9296875" bestFit="1" customWidth="1"/>
    <col min="7411" max="7411" width="9" bestFit="1" customWidth="1"/>
    <col min="7412" max="7412" width="4" bestFit="1" customWidth="1"/>
    <col min="7413" max="7417" width="9" bestFit="1" customWidth="1"/>
    <col min="7418" max="7418" width="4" bestFit="1" customWidth="1"/>
    <col min="7419" max="7419" width="7.9296875" bestFit="1" customWidth="1"/>
    <col min="7420" max="7420" width="4" bestFit="1" customWidth="1"/>
    <col min="7421" max="7421" width="9" bestFit="1" customWidth="1"/>
    <col min="7422" max="7422" width="7" bestFit="1" customWidth="1"/>
    <col min="7423" max="7423" width="6.06640625" bestFit="1" customWidth="1"/>
    <col min="7424" max="7424" width="4" bestFit="1" customWidth="1"/>
    <col min="7425" max="7425" width="7" bestFit="1" customWidth="1"/>
    <col min="7426" max="7426" width="4" bestFit="1" customWidth="1"/>
    <col min="7427" max="7427" width="7" bestFit="1" customWidth="1"/>
    <col min="7428" max="7428" width="6.06640625" bestFit="1" customWidth="1"/>
    <col min="7429" max="7429" width="4" bestFit="1" customWidth="1"/>
    <col min="7430" max="7431" width="9" bestFit="1" customWidth="1"/>
    <col min="7432" max="7433" width="7" bestFit="1" customWidth="1"/>
    <col min="7434" max="7434" width="7.9296875" bestFit="1" customWidth="1"/>
    <col min="7435" max="7435" width="4" bestFit="1" customWidth="1"/>
    <col min="7436" max="7438" width="9" bestFit="1" customWidth="1"/>
    <col min="7439" max="7439" width="6.06640625" bestFit="1" customWidth="1"/>
    <col min="7440" max="7440" width="7" bestFit="1" customWidth="1"/>
    <col min="7441" max="7441" width="9" bestFit="1" customWidth="1"/>
    <col min="7442" max="7442" width="6.06640625" bestFit="1" customWidth="1"/>
    <col min="7443" max="7443" width="7" bestFit="1" customWidth="1"/>
    <col min="7444" max="7445" width="9" bestFit="1" customWidth="1"/>
    <col min="7446" max="7448" width="7.9296875" bestFit="1" customWidth="1"/>
    <col min="7449" max="7449" width="4" bestFit="1" customWidth="1"/>
    <col min="7450" max="7451" width="9" bestFit="1" customWidth="1"/>
    <col min="7452" max="7453" width="7" bestFit="1" customWidth="1"/>
    <col min="7454" max="7454" width="4" bestFit="1" customWidth="1"/>
    <col min="7455" max="7455" width="6.06640625" bestFit="1" customWidth="1"/>
    <col min="7456" max="7456" width="4" bestFit="1" customWidth="1"/>
    <col min="7457" max="7457" width="6.06640625" bestFit="1" customWidth="1"/>
    <col min="7458" max="7458" width="9" bestFit="1" customWidth="1"/>
    <col min="7459" max="7459" width="4" bestFit="1" customWidth="1"/>
    <col min="7460" max="7461" width="9" bestFit="1" customWidth="1"/>
    <col min="7462" max="7462" width="7" bestFit="1" customWidth="1"/>
    <col min="7463" max="7463" width="9" bestFit="1" customWidth="1"/>
    <col min="7464" max="7464" width="6.06640625" bestFit="1" customWidth="1"/>
    <col min="7465" max="7465" width="7" bestFit="1" customWidth="1"/>
    <col min="7466" max="7466" width="7.9296875" bestFit="1" customWidth="1"/>
    <col min="7467" max="7468" width="7" bestFit="1" customWidth="1"/>
    <col min="7469" max="7469" width="7.9296875" bestFit="1" customWidth="1"/>
    <col min="7470" max="7470" width="6.06640625" bestFit="1" customWidth="1"/>
    <col min="7471" max="7471" width="9" bestFit="1" customWidth="1"/>
    <col min="7472" max="7472" width="4" bestFit="1" customWidth="1"/>
    <col min="7473" max="7474" width="9" bestFit="1" customWidth="1"/>
    <col min="7475" max="7475" width="6.06640625" bestFit="1" customWidth="1"/>
    <col min="7476" max="7476" width="4" bestFit="1" customWidth="1"/>
    <col min="7477" max="7477" width="6.06640625" bestFit="1" customWidth="1"/>
    <col min="7478" max="7479" width="9" bestFit="1" customWidth="1"/>
    <col min="7480" max="7480" width="7" bestFit="1" customWidth="1"/>
    <col min="7481" max="7481" width="9" bestFit="1" customWidth="1"/>
    <col min="7482" max="7482" width="7" bestFit="1" customWidth="1"/>
    <col min="7483" max="7483" width="9" bestFit="1" customWidth="1"/>
    <col min="7484" max="7484" width="7.9296875" bestFit="1" customWidth="1"/>
    <col min="7485" max="7486" width="9" bestFit="1" customWidth="1"/>
    <col min="7487" max="7487" width="7.9296875" bestFit="1" customWidth="1"/>
    <col min="7488" max="7488" width="9" bestFit="1" customWidth="1"/>
    <col min="7489" max="7489" width="5" bestFit="1" customWidth="1"/>
    <col min="7490" max="7491" width="9.9296875" bestFit="1" customWidth="1"/>
    <col min="7492" max="7492" width="9" bestFit="1" customWidth="1"/>
    <col min="7493" max="7494" width="9.9296875" bestFit="1" customWidth="1"/>
    <col min="7495" max="7495" width="7.9296875" bestFit="1" customWidth="1"/>
    <col min="7496" max="7497" width="5" bestFit="1" customWidth="1"/>
    <col min="7498" max="7498" width="7" bestFit="1" customWidth="1"/>
    <col min="7499" max="7499" width="5" bestFit="1" customWidth="1"/>
    <col min="7500" max="7500" width="7" bestFit="1" customWidth="1"/>
    <col min="7501" max="7502" width="7.9296875" bestFit="1" customWidth="1"/>
    <col min="7503" max="7503" width="9.9296875" bestFit="1" customWidth="1"/>
    <col min="7504" max="7504" width="9" bestFit="1" customWidth="1"/>
    <col min="7505" max="7505" width="9.9296875" bestFit="1" customWidth="1"/>
    <col min="7506" max="7506" width="9" bestFit="1" customWidth="1"/>
    <col min="7507" max="7510" width="9.9296875" bestFit="1" customWidth="1"/>
    <col min="7511" max="7512" width="5" bestFit="1" customWidth="1"/>
    <col min="7513" max="7513" width="9.9296875" bestFit="1" customWidth="1"/>
    <col min="7514" max="7514" width="5" bestFit="1" customWidth="1"/>
    <col min="7515" max="7515" width="9.9296875" bestFit="1" customWidth="1"/>
    <col min="7516" max="7517" width="5" bestFit="1" customWidth="1"/>
    <col min="7518" max="7518" width="9.9296875" bestFit="1" customWidth="1"/>
    <col min="7519" max="7519" width="7.9296875" bestFit="1" customWidth="1"/>
    <col min="7520" max="7520" width="9" bestFit="1" customWidth="1"/>
    <col min="7521" max="7521" width="9.9296875" bestFit="1" customWidth="1"/>
    <col min="7522" max="7522" width="7" bestFit="1" customWidth="1"/>
    <col min="7523" max="7523" width="9.9296875" bestFit="1" customWidth="1"/>
    <col min="7524" max="7524" width="5" bestFit="1" customWidth="1"/>
    <col min="7525" max="7525" width="9.9296875" bestFit="1" customWidth="1"/>
    <col min="7526" max="7526" width="7.9296875" bestFit="1" customWidth="1"/>
    <col min="7527" max="7527" width="9.9296875" bestFit="1" customWidth="1"/>
    <col min="7528" max="7528" width="7" bestFit="1" customWidth="1"/>
    <col min="7529" max="7529" width="7.9296875" bestFit="1" customWidth="1"/>
    <col min="7530" max="7530" width="9.9296875" bestFit="1" customWidth="1"/>
    <col min="7531" max="7531" width="7.9296875" bestFit="1" customWidth="1"/>
    <col min="7532" max="7532" width="9.9296875" bestFit="1" customWidth="1"/>
    <col min="7533" max="7533" width="7" bestFit="1" customWidth="1"/>
    <col min="7534" max="7535" width="9.9296875" bestFit="1" customWidth="1"/>
    <col min="7536" max="7536" width="5" bestFit="1" customWidth="1"/>
    <col min="7537" max="7537" width="7" bestFit="1" customWidth="1"/>
    <col min="7538" max="7538" width="9.9296875" bestFit="1" customWidth="1"/>
    <col min="7539" max="7540" width="7" bestFit="1" customWidth="1"/>
    <col min="7541" max="7544" width="9.9296875" bestFit="1" customWidth="1"/>
    <col min="7545" max="7545" width="7.9296875" bestFit="1" customWidth="1"/>
    <col min="7546" max="7546" width="7" bestFit="1" customWidth="1"/>
    <col min="7547" max="7547" width="7.9296875" bestFit="1" customWidth="1"/>
    <col min="7548" max="7548" width="9.9296875" bestFit="1" customWidth="1"/>
    <col min="7549" max="7549" width="5" bestFit="1" customWidth="1"/>
    <col min="7550" max="7550" width="7.9296875" bestFit="1" customWidth="1"/>
    <col min="7551" max="7551" width="9.9296875" bestFit="1" customWidth="1"/>
    <col min="7552" max="7552" width="7.9296875" bestFit="1" customWidth="1"/>
    <col min="7553" max="7553" width="9" bestFit="1" customWidth="1"/>
    <col min="7554" max="7554" width="5" bestFit="1" customWidth="1"/>
    <col min="7555" max="7555" width="9.9296875" bestFit="1" customWidth="1"/>
    <col min="7556" max="7556" width="5" bestFit="1" customWidth="1"/>
    <col min="7557" max="7558" width="7.9296875" bestFit="1" customWidth="1"/>
    <col min="7559" max="7561" width="9.9296875" bestFit="1" customWidth="1"/>
    <col min="7562" max="7562" width="5" bestFit="1" customWidth="1"/>
    <col min="7563" max="7563" width="7.9296875" bestFit="1" customWidth="1"/>
    <col min="7564" max="7564" width="7" bestFit="1" customWidth="1"/>
    <col min="7565" max="7567" width="9.9296875" bestFit="1" customWidth="1"/>
    <col min="7568" max="7568" width="5" bestFit="1" customWidth="1"/>
    <col min="7569" max="7569" width="9.9296875" bestFit="1" customWidth="1"/>
    <col min="7570" max="7570" width="9" bestFit="1" customWidth="1"/>
    <col min="7571" max="7572" width="9.9296875" bestFit="1" customWidth="1"/>
    <col min="7573" max="7573" width="5" bestFit="1" customWidth="1"/>
    <col min="7574" max="7574" width="9" bestFit="1" customWidth="1"/>
    <col min="7575" max="7578" width="9.9296875" bestFit="1" customWidth="1"/>
    <col min="7579" max="7582" width="7" bestFit="1" customWidth="1"/>
    <col min="7583" max="7583" width="9.9296875" bestFit="1" customWidth="1"/>
    <col min="7584" max="7584" width="7.9296875" bestFit="1" customWidth="1"/>
    <col min="7585" max="7585" width="5" bestFit="1" customWidth="1"/>
    <col min="7586" max="7586" width="9.9296875" bestFit="1" customWidth="1"/>
    <col min="7587" max="7587" width="7.9296875" bestFit="1" customWidth="1"/>
    <col min="7588" max="7588" width="9.9296875" bestFit="1" customWidth="1"/>
    <col min="7589" max="7589" width="5" bestFit="1" customWidth="1"/>
    <col min="7590" max="7590" width="9.9296875" bestFit="1" customWidth="1"/>
    <col min="7591" max="7591" width="7" bestFit="1" customWidth="1"/>
    <col min="7592" max="7592" width="7.9296875" bestFit="1" customWidth="1"/>
    <col min="7593" max="7599" width="9.9296875" bestFit="1" customWidth="1"/>
    <col min="7600" max="7600" width="7.9296875" bestFit="1" customWidth="1"/>
    <col min="7601" max="7601" width="5" bestFit="1" customWidth="1"/>
    <col min="7602" max="7602" width="7.9296875" bestFit="1" customWidth="1"/>
    <col min="7603" max="7603" width="9.9296875" bestFit="1" customWidth="1"/>
    <col min="7604" max="7605" width="7" bestFit="1" customWidth="1"/>
    <col min="7606" max="7607" width="5" bestFit="1" customWidth="1"/>
    <col min="7608" max="7608" width="9.9296875" bestFit="1" customWidth="1"/>
    <col min="7609" max="7610" width="5" bestFit="1" customWidth="1"/>
    <col min="7611" max="7611" width="9.9296875" bestFit="1" customWidth="1"/>
    <col min="7612" max="7612" width="5" bestFit="1" customWidth="1"/>
    <col min="7613" max="7613" width="7" bestFit="1" customWidth="1"/>
    <col min="7614" max="7614" width="9.9296875" bestFit="1" customWidth="1"/>
    <col min="7615" max="7615" width="5" bestFit="1" customWidth="1"/>
    <col min="7616" max="7619" width="9.9296875" bestFit="1" customWidth="1"/>
    <col min="7620" max="7620" width="5" bestFit="1" customWidth="1"/>
    <col min="7621" max="7623" width="9.9296875" bestFit="1" customWidth="1"/>
    <col min="7624" max="7624" width="7" bestFit="1" customWidth="1"/>
    <col min="7625" max="7625" width="9" bestFit="1" customWidth="1"/>
    <col min="7626" max="7627" width="7.9296875" bestFit="1" customWidth="1"/>
    <col min="7628" max="7628" width="9.9296875" bestFit="1" customWidth="1"/>
    <col min="7629" max="7629" width="7.9296875" bestFit="1" customWidth="1"/>
    <col min="7630" max="7630" width="5" bestFit="1" customWidth="1"/>
    <col min="7631" max="7632" width="9.9296875" bestFit="1" customWidth="1"/>
    <col min="7633" max="7634" width="7.9296875" bestFit="1" customWidth="1"/>
    <col min="7635" max="7639" width="9.9296875" bestFit="1" customWidth="1"/>
    <col min="7640" max="7640" width="9" bestFit="1" customWidth="1"/>
    <col min="7641" max="7643" width="9.9296875" bestFit="1" customWidth="1"/>
    <col min="7644" max="7644" width="7" bestFit="1" customWidth="1"/>
    <col min="7645" max="7645" width="5" bestFit="1" customWidth="1"/>
    <col min="7646" max="7647" width="9" bestFit="1" customWidth="1"/>
    <col min="7648" max="7651" width="9.9296875" bestFit="1" customWidth="1"/>
    <col min="7652" max="7652" width="5" bestFit="1" customWidth="1"/>
    <col min="7653" max="7653" width="9" bestFit="1" customWidth="1"/>
    <col min="7654" max="7654" width="7" bestFit="1" customWidth="1"/>
    <col min="7655" max="7655" width="7.9296875" bestFit="1" customWidth="1"/>
    <col min="7656" max="7656" width="9.9296875" bestFit="1" customWidth="1"/>
    <col min="7657" max="7657" width="5" bestFit="1" customWidth="1"/>
    <col min="7658" max="7658" width="9.9296875" bestFit="1" customWidth="1"/>
    <col min="7659" max="7659" width="7.9296875" bestFit="1" customWidth="1"/>
    <col min="7660" max="7660" width="9.9296875" bestFit="1" customWidth="1"/>
    <col min="7661" max="7661" width="9" bestFit="1" customWidth="1"/>
    <col min="7662" max="7662" width="7" bestFit="1" customWidth="1"/>
    <col min="7663" max="7663" width="5" bestFit="1" customWidth="1"/>
    <col min="7664" max="7664" width="7.9296875" bestFit="1" customWidth="1"/>
    <col min="7665" max="7665" width="9.9296875" bestFit="1" customWidth="1"/>
    <col min="7666" max="7666" width="9" bestFit="1" customWidth="1"/>
    <col min="7667" max="7667" width="9.9296875" bestFit="1" customWidth="1"/>
    <col min="7668" max="7668" width="7.9296875" bestFit="1" customWidth="1"/>
    <col min="7669" max="7669" width="5" bestFit="1" customWidth="1"/>
    <col min="7670" max="7670" width="7.9296875" bestFit="1" customWidth="1"/>
    <col min="7671" max="7671" width="9.9296875" bestFit="1" customWidth="1"/>
    <col min="7672" max="7672" width="5" bestFit="1" customWidth="1"/>
    <col min="7673" max="7673" width="9" bestFit="1" customWidth="1"/>
    <col min="7674" max="7675" width="7.9296875" bestFit="1" customWidth="1"/>
    <col min="7676" max="7676" width="7" bestFit="1" customWidth="1"/>
    <col min="7677" max="7678" width="9" bestFit="1" customWidth="1"/>
    <col min="7679" max="7680" width="9.9296875" bestFit="1" customWidth="1"/>
    <col min="7681" max="7681" width="5" bestFit="1" customWidth="1"/>
    <col min="7682" max="7682" width="9.9296875" bestFit="1" customWidth="1"/>
    <col min="7683" max="7683" width="5" bestFit="1" customWidth="1"/>
    <col min="7684" max="7685" width="9.9296875" bestFit="1" customWidth="1"/>
    <col min="7686" max="7687" width="7.9296875" bestFit="1" customWidth="1"/>
    <col min="7688" max="7688" width="9.9296875" bestFit="1" customWidth="1"/>
    <col min="7689" max="7690" width="7.9296875" bestFit="1" customWidth="1"/>
    <col min="7691" max="7692" width="5" bestFit="1" customWidth="1"/>
    <col min="7693" max="7693" width="9.9296875" bestFit="1" customWidth="1"/>
    <col min="7694" max="7694" width="7.9296875" bestFit="1" customWidth="1"/>
    <col min="7695" max="7695" width="9.9296875" bestFit="1" customWidth="1"/>
    <col min="7696" max="7696" width="9" bestFit="1" customWidth="1"/>
    <col min="7697" max="7697" width="9.9296875" bestFit="1" customWidth="1"/>
    <col min="7698" max="7700" width="5" bestFit="1" customWidth="1"/>
    <col min="7701" max="7701" width="7.9296875" bestFit="1" customWidth="1"/>
    <col min="7702" max="7702" width="7" bestFit="1" customWidth="1"/>
    <col min="7703" max="7703" width="9.9296875" bestFit="1" customWidth="1"/>
    <col min="7704" max="7704" width="9" bestFit="1" customWidth="1"/>
    <col min="7705" max="7705" width="9.9296875" bestFit="1" customWidth="1"/>
    <col min="7706" max="7706" width="7.9296875" bestFit="1" customWidth="1"/>
    <col min="7707" max="7710" width="9.9296875" bestFit="1" customWidth="1"/>
    <col min="7711" max="7711" width="5" bestFit="1" customWidth="1"/>
    <col min="7712" max="7712" width="7.9296875" bestFit="1" customWidth="1"/>
    <col min="7713" max="7713" width="7" bestFit="1" customWidth="1"/>
    <col min="7714" max="7716" width="9.9296875" bestFit="1" customWidth="1"/>
    <col min="7717" max="7719" width="7.9296875" bestFit="1" customWidth="1"/>
    <col min="7720" max="7720" width="5" bestFit="1" customWidth="1"/>
    <col min="7721" max="7722" width="9.9296875" bestFit="1" customWidth="1"/>
    <col min="7723" max="7724" width="7.9296875" bestFit="1" customWidth="1"/>
    <col min="7725" max="7725" width="9.9296875" bestFit="1" customWidth="1"/>
    <col min="7726" max="7726" width="5" bestFit="1" customWidth="1"/>
    <col min="7727" max="7727" width="9" bestFit="1" customWidth="1"/>
    <col min="7728" max="7732" width="9.9296875" bestFit="1" customWidth="1"/>
    <col min="7733" max="7733" width="9" bestFit="1" customWidth="1"/>
    <col min="7734" max="7734" width="5" bestFit="1" customWidth="1"/>
    <col min="7735" max="7735" width="9.9296875" bestFit="1" customWidth="1"/>
    <col min="7736" max="7736" width="7.9296875" bestFit="1" customWidth="1"/>
    <col min="7737" max="7737" width="9.9296875" bestFit="1" customWidth="1"/>
    <col min="7738" max="7738" width="5" bestFit="1" customWidth="1"/>
    <col min="7739" max="7740" width="9" bestFit="1" customWidth="1"/>
    <col min="7741" max="7741" width="9.9296875" bestFit="1" customWidth="1"/>
    <col min="7742" max="7742" width="7.9296875" bestFit="1" customWidth="1"/>
    <col min="7743" max="7743" width="9.9296875" bestFit="1" customWidth="1"/>
    <col min="7744" max="7745" width="9" bestFit="1" customWidth="1"/>
    <col min="7746" max="7746" width="9.9296875" bestFit="1" customWidth="1"/>
    <col min="7747" max="7747" width="7.9296875" bestFit="1" customWidth="1"/>
    <col min="7748" max="7748" width="5" bestFit="1" customWidth="1"/>
    <col min="7749" max="7749" width="9.9296875" bestFit="1" customWidth="1"/>
    <col min="7750" max="7750" width="9" bestFit="1" customWidth="1"/>
    <col min="7751" max="7751" width="7.9296875" bestFit="1" customWidth="1"/>
    <col min="7752" max="7753" width="9.9296875" bestFit="1" customWidth="1"/>
    <col min="7754" max="7754" width="7.9296875" bestFit="1" customWidth="1"/>
    <col min="7755" max="7755" width="5" bestFit="1" customWidth="1"/>
    <col min="7756" max="7756" width="9.9296875" bestFit="1" customWidth="1"/>
    <col min="7757" max="7757" width="5" bestFit="1" customWidth="1"/>
    <col min="7758" max="7758" width="7.9296875" bestFit="1" customWidth="1"/>
    <col min="7759" max="7759" width="7" bestFit="1" customWidth="1"/>
    <col min="7760" max="7760" width="9.9296875" bestFit="1" customWidth="1"/>
    <col min="7761" max="7761" width="9" bestFit="1" customWidth="1"/>
    <col min="7762" max="7762" width="5" bestFit="1" customWidth="1"/>
    <col min="7763" max="7763" width="9.9296875" bestFit="1" customWidth="1"/>
    <col min="7764" max="7764" width="7" bestFit="1" customWidth="1"/>
    <col min="7765" max="7769" width="9.9296875" bestFit="1" customWidth="1"/>
    <col min="7770" max="7770" width="5" bestFit="1" customWidth="1"/>
    <col min="7771" max="7771" width="9.9296875" bestFit="1" customWidth="1"/>
    <col min="7772" max="7772" width="9" bestFit="1" customWidth="1"/>
    <col min="7773" max="7773" width="5" bestFit="1" customWidth="1"/>
    <col min="7774" max="7776" width="9.9296875" bestFit="1" customWidth="1"/>
    <col min="7777" max="7777" width="5" bestFit="1" customWidth="1"/>
    <col min="7778" max="7780" width="9.9296875" bestFit="1" customWidth="1"/>
    <col min="7781" max="7781" width="5" bestFit="1" customWidth="1"/>
    <col min="7782" max="7782" width="9.9296875" bestFit="1" customWidth="1"/>
    <col min="7783" max="7783" width="7" bestFit="1" customWidth="1"/>
    <col min="7784" max="7786" width="9.9296875" bestFit="1" customWidth="1"/>
    <col min="7787" max="7787" width="5" bestFit="1" customWidth="1"/>
    <col min="7788" max="7789" width="9.9296875" bestFit="1" customWidth="1"/>
    <col min="7790" max="7790" width="9" bestFit="1" customWidth="1"/>
    <col min="7791" max="7791" width="5" bestFit="1" customWidth="1"/>
    <col min="7792" max="7793" width="9.9296875" bestFit="1" customWidth="1"/>
    <col min="7794" max="7794" width="7" bestFit="1" customWidth="1"/>
    <col min="7795" max="7797" width="9.9296875" bestFit="1" customWidth="1"/>
    <col min="7798" max="7798" width="5" bestFit="1" customWidth="1"/>
    <col min="7799" max="7799" width="7.9296875" bestFit="1" customWidth="1"/>
    <col min="7800" max="7802" width="9.9296875" bestFit="1" customWidth="1"/>
    <col min="7803" max="7803" width="7" bestFit="1" customWidth="1"/>
    <col min="7804" max="7804" width="7.9296875" bestFit="1" customWidth="1"/>
    <col min="7805" max="7805" width="9.9296875" bestFit="1" customWidth="1"/>
    <col min="7806" max="7806" width="7" bestFit="1" customWidth="1"/>
    <col min="7807" max="7808" width="9.9296875" bestFit="1" customWidth="1"/>
    <col min="7809" max="7809" width="5" bestFit="1" customWidth="1"/>
    <col min="7810" max="7810" width="7.9296875" bestFit="1" customWidth="1"/>
    <col min="7811" max="7812" width="7" bestFit="1" customWidth="1"/>
    <col min="7813" max="7813" width="9.9296875" bestFit="1" customWidth="1"/>
    <col min="7814" max="7815" width="7.9296875" bestFit="1" customWidth="1"/>
    <col min="7816" max="7816" width="9.9296875" bestFit="1" customWidth="1"/>
    <col min="7817" max="7817" width="7.9296875" bestFit="1" customWidth="1"/>
    <col min="7818" max="7818" width="9.9296875" bestFit="1" customWidth="1"/>
    <col min="7819" max="7820" width="9" bestFit="1" customWidth="1"/>
    <col min="7821" max="7822" width="9.9296875" bestFit="1" customWidth="1"/>
    <col min="7823" max="7823" width="9" bestFit="1" customWidth="1"/>
    <col min="7824" max="7825" width="9.9296875" bestFit="1" customWidth="1"/>
    <col min="7826" max="7827" width="5" bestFit="1" customWidth="1"/>
    <col min="7828" max="7829" width="9.9296875" bestFit="1" customWidth="1"/>
    <col min="7830" max="7830" width="5" bestFit="1" customWidth="1"/>
    <col min="7831" max="7831" width="9" bestFit="1" customWidth="1"/>
    <col min="7832" max="7832" width="9.9296875" bestFit="1" customWidth="1"/>
    <col min="7833" max="7833" width="9" bestFit="1" customWidth="1"/>
    <col min="7834" max="7835" width="9.9296875" bestFit="1" customWidth="1"/>
    <col min="7836" max="7837" width="5" bestFit="1" customWidth="1"/>
    <col min="7838" max="7839" width="7.9296875" bestFit="1" customWidth="1"/>
    <col min="7840" max="7840" width="9" bestFit="1" customWidth="1"/>
    <col min="7841" max="7842" width="9.9296875" bestFit="1" customWidth="1"/>
    <col min="7843" max="7845" width="5" bestFit="1" customWidth="1"/>
    <col min="7846" max="7847" width="9.9296875" bestFit="1" customWidth="1"/>
    <col min="7848" max="7849" width="7" bestFit="1" customWidth="1"/>
    <col min="7850" max="7850" width="7.9296875" bestFit="1" customWidth="1"/>
    <col min="7851" max="7851" width="9.9296875" bestFit="1" customWidth="1"/>
    <col min="7852" max="7852" width="7" bestFit="1" customWidth="1"/>
    <col min="7853" max="7853" width="7.9296875" bestFit="1" customWidth="1"/>
    <col min="7854" max="7854" width="9.9296875" bestFit="1" customWidth="1"/>
    <col min="7855" max="7855" width="7.9296875" bestFit="1" customWidth="1"/>
    <col min="7856" max="7856" width="7" bestFit="1" customWidth="1"/>
    <col min="7857" max="7858" width="9.9296875" bestFit="1" customWidth="1"/>
    <col min="7859" max="7860" width="5" bestFit="1" customWidth="1"/>
    <col min="7861" max="7861" width="9.9296875" bestFit="1" customWidth="1"/>
    <col min="7862" max="7862" width="5" bestFit="1" customWidth="1"/>
    <col min="7863" max="7863" width="7.9296875" bestFit="1" customWidth="1"/>
    <col min="7864" max="7864" width="9.9296875" bestFit="1" customWidth="1"/>
    <col min="7865" max="7865" width="7.9296875" bestFit="1" customWidth="1"/>
    <col min="7866" max="7867" width="9.9296875" bestFit="1" customWidth="1"/>
    <col min="7868" max="7868" width="5" bestFit="1" customWidth="1"/>
    <col min="7869" max="7869" width="9" bestFit="1" customWidth="1"/>
    <col min="7870" max="7870" width="5" bestFit="1" customWidth="1"/>
    <col min="7871" max="7871" width="9.9296875" bestFit="1" customWidth="1"/>
    <col min="7872" max="7872" width="7.9296875" bestFit="1" customWidth="1"/>
    <col min="7873" max="7873" width="9.9296875" bestFit="1" customWidth="1"/>
    <col min="7874" max="7874" width="9" bestFit="1" customWidth="1"/>
    <col min="7875" max="7875" width="5" bestFit="1" customWidth="1"/>
    <col min="7876" max="7876" width="7" bestFit="1" customWidth="1"/>
    <col min="7877" max="7877" width="9.9296875" bestFit="1" customWidth="1"/>
    <col min="7878" max="7878" width="7" bestFit="1" customWidth="1"/>
    <col min="7879" max="7879" width="9.9296875" bestFit="1" customWidth="1"/>
    <col min="7880" max="7880" width="7.9296875" bestFit="1" customWidth="1"/>
    <col min="7881" max="7881" width="5" bestFit="1" customWidth="1"/>
    <col min="7882" max="7882" width="7.9296875" bestFit="1" customWidth="1"/>
    <col min="7883" max="7883" width="9.9296875" bestFit="1" customWidth="1"/>
    <col min="7884" max="7884" width="7" bestFit="1" customWidth="1"/>
    <col min="7885" max="7885" width="5" bestFit="1" customWidth="1"/>
    <col min="7886" max="7886" width="7.9296875" bestFit="1" customWidth="1"/>
    <col min="7887" max="7888" width="9.9296875" bestFit="1" customWidth="1"/>
    <col min="7889" max="7889" width="7" bestFit="1" customWidth="1"/>
    <col min="7890" max="7890" width="5" bestFit="1" customWidth="1"/>
    <col min="7891" max="7892" width="7.9296875" bestFit="1" customWidth="1"/>
    <col min="7893" max="7893" width="5" bestFit="1" customWidth="1"/>
    <col min="7894" max="7894" width="9.9296875" bestFit="1" customWidth="1"/>
    <col min="7895" max="7895" width="7.9296875" bestFit="1" customWidth="1"/>
    <col min="7896" max="7897" width="9.9296875" bestFit="1" customWidth="1"/>
    <col min="7898" max="7898" width="7.9296875" bestFit="1" customWidth="1"/>
    <col min="7899" max="7899" width="5" bestFit="1" customWidth="1"/>
    <col min="7900" max="7904" width="9.9296875" bestFit="1" customWidth="1"/>
    <col min="7905" max="7905" width="7" bestFit="1" customWidth="1"/>
    <col min="7906" max="7906" width="9.9296875" bestFit="1" customWidth="1"/>
    <col min="7907" max="7907" width="5" bestFit="1" customWidth="1"/>
    <col min="7908" max="7908" width="9.9296875" bestFit="1" customWidth="1"/>
    <col min="7909" max="7909" width="7.9296875" bestFit="1" customWidth="1"/>
    <col min="7910" max="7910" width="5" bestFit="1" customWidth="1"/>
    <col min="7911" max="7911" width="9.9296875" bestFit="1" customWidth="1"/>
    <col min="7912" max="7912" width="5" bestFit="1" customWidth="1"/>
    <col min="7913" max="7913" width="9.9296875" bestFit="1" customWidth="1"/>
    <col min="7914" max="7914" width="7.9296875" bestFit="1" customWidth="1"/>
    <col min="7915" max="7916" width="9.9296875" bestFit="1" customWidth="1"/>
    <col min="7917" max="7917" width="7.9296875" bestFit="1" customWidth="1"/>
    <col min="7918" max="7918" width="5" bestFit="1" customWidth="1"/>
    <col min="7919" max="7919" width="7" bestFit="1" customWidth="1"/>
    <col min="7920" max="7920" width="7.9296875" bestFit="1" customWidth="1"/>
    <col min="7921" max="7924" width="5" bestFit="1" customWidth="1"/>
    <col min="7925" max="7925" width="7.9296875" bestFit="1" customWidth="1"/>
    <col min="7926" max="7926" width="7" bestFit="1" customWidth="1"/>
    <col min="7927" max="7927" width="5" bestFit="1" customWidth="1"/>
    <col min="7928" max="7928" width="9" bestFit="1" customWidth="1"/>
    <col min="7929" max="7929" width="7.9296875" bestFit="1" customWidth="1"/>
    <col min="7930" max="7930" width="5" bestFit="1" customWidth="1"/>
    <col min="7931" max="7931" width="9.9296875" bestFit="1" customWidth="1"/>
    <col min="7932" max="7932" width="7" bestFit="1" customWidth="1"/>
    <col min="7933" max="7935" width="7.9296875" bestFit="1" customWidth="1"/>
    <col min="7936" max="7936" width="9.9296875" bestFit="1" customWidth="1"/>
    <col min="7937" max="7937" width="5" bestFit="1" customWidth="1"/>
    <col min="7938" max="7939" width="7.9296875" bestFit="1" customWidth="1"/>
    <col min="7940" max="7942" width="9.9296875" bestFit="1" customWidth="1"/>
    <col min="7943" max="7943" width="7" bestFit="1" customWidth="1"/>
    <col min="7944" max="7944" width="9.9296875" bestFit="1" customWidth="1"/>
    <col min="7945" max="7945" width="5" bestFit="1" customWidth="1"/>
    <col min="7946" max="7946" width="9" bestFit="1" customWidth="1"/>
    <col min="7947" max="7947" width="5" bestFit="1" customWidth="1"/>
    <col min="7948" max="7948" width="7.9296875" bestFit="1" customWidth="1"/>
    <col min="7949" max="7950" width="9.9296875" bestFit="1" customWidth="1"/>
    <col min="7951" max="7952" width="5" bestFit="1" customWidth="1"/>
    <col min="7953" max="7955" width="9.9296875" bestFit="1" customWidth="1"/>
    <col min="7956" max="7956" width="5" bestFit="1" customWidth="1"/>
    <col min="7957" max="7957" width="9.9296875" bestFit="1" customWidth="1"/>
    <col min="7958" max="7958" width="9" bestFit="1" customWidth="1"/>
    <col min="7959" max="7959" width="5" bestFit="1" customWidth="1"/>
    <col min="7960" max="7960" width="9.9296875" bestFit="1" customWidth="1"/>
    <col min="7961" max="7961" width="7" bestFit="1" customWidth="1"/>
    <col min="7962" max="7962" width="7.9296875" bestFit="1" customWidth="1"/>
    <col min="7963" max="7963" width="7" bestFit="1" customWidth="1"/>
    <col min="7964" max="7964" width="5" bestFit="1" customWidth="1"/>
    <col min="7965" max="7966" width="9.9296875" bestFit="1" customWidth="1"/>
    <col min="7967" max="7967" width="7" bestFit="1" customWidth="1"/>
    <col min="7968" max="7969" width="7.9296875" bestFit="1" customWidth="1"/>
    <col min="7970" max="7970" width="9.9296875" bestFit="1" customWidth="1"/>
    <col min="7971" max="7971" width="7" bestFit="1" customWidth="1"/>
    <col min="7972" max="7972" width="9.9296875" bestFit="1" customWidth="1"/>
    <col min="7973" max="7973" width="7.9296875" bestFit="1" customWidth="1"/>
    <col min="7974" max="7974" width="5" bestFit="1" customWidth="1"/>
    <col min="7975" max="7975" width="9" bestFit="1" customWidth="1"/>
    <col min="7976" max="7977" width="7.9296875" bestFit="1" customWidth="1"/>
    <col min="7978" max="7978" width="5" bestFit="1" customWidth="1"/>
    <col min="7979" max="7979" width="9.9296875" bestFit="1" customWidth="1"/>
    <col min="7980" max="7980" width="7" bestFit="1" customWidth="1"/>
    <col min="7981" max="7982" width="5" bestFit="1" customWidth="1"/>
    <col min="7983" max="7983" width="9.9296875" bestFit="1" customWidth="1"/>
    <col min="7984" max="7984" width="9" bestFit="1" customWidth="1"/>
    <col min="7985" max="7985" width="5" bestFit="1" customWidth="1"/>
    <col min="7986" max="7986" width="9.9296875" bestFit="1" customWidth="1"/>
    <col min="7987" max="7989" width="7.9296875" bestFit="1" customWidth="1"/>
    <col min="7990" max="7991" width="5" bestFit="1" customWidth="1"/>
    <col min="7992" max="7992" width="7" bestFit="1" customWidth="1"/>
    <col min="7993" max="7993" width="5" bestFit="1" customWidth="1"/>
    <col min="7994" max="7994" width="9.9296875" bestFit="1" customWidth="1"/>
    <col min="7995" max="7995" width="5" bestFit="1" customWidth="1"/>
    <col min="7996" max="7996" width="7" bestFit="1" customWidth="1"/>
    <col min="7997" max="7997" width="9.9296875" bestFit="1" customWidth="1"/>
    <col min="7998" max="7998" width="5" bestFit="1" customWidth="1"/>
    <col min="7999" max="8002" width="9.9296875" bestFit="1" customWidth="1"/>
    <col min="8003" max="8003" width="7.9296875" bestFit="1" customWidth="1"/>
    <col min="8004" max="8004" width="9.9296875" bestFit="1" customWidth="1"/>
    <col min="8005" max="8005" width="5" bestFit="1" customWidth="1"/>
    <col min="8006" max="8007" width="7.9296875" bestFit="1" customWidth="1"/>
    <col min="8008" max="8008" width="5" bestFit="1" customWidth="1"/>
    <col min="8009" max="8009" width="9.9296875" bestFit="1" customWidth="1"/>
    <col min="8010" max="8011" width="7.9296875" bestFit="1" customWidth="1"/>
    <col min="8012" max="8012" width="7" bestFit="1" customWidth="1"/>
    <col min="8013" max="8013" width="5" bestFit="1" customWidth="1"/>
    <col min="8014" max="8014" width="9.9296875" bestFit="1" customWidth="1"/>
    <col min="8015" max="8016" width="5" bestFit="1" customWidth="1"/>
    <col min="8017" max="8019" width="9.9296875" bestFit="1" customWidth="1"/>
    <col min="8020" max="8020" width="9" bestFit="1" customWidth="1"/>
    <col min="8021" max="8021" width="5" bestFit="1" customWidth="1"/>
    <col min="8022" max="8022" width="9.9296875" bestFit="1" customWidth="1"/>
    <col min="8023" max="8023" width="5" bestFit="1" customWidth="1"/>
    <col min="8024" max="8025" width="9.9296875" bestFit="1" customWidth="1"/>
    <col min="8026" max="8026" width="7.9296875" bestFit="1" customWidth="1"/>
    <col min="8027" max="8028" width="9.9296875" bestFit="1" customWidth="1"/>
    <col min="8029" max="8029" width="7" bestFit="1" customWidth="1"/>
    <col min="8030" max="8030" width="5" bestFit="1" customWidth="1"/>
    <col min="8031" max="8033" width="9.9296875" bestFit="1" customWidth="1"/>
    <col min="8034" max="8035" width="7.9296875" bestFit="1" customWidth="1"/>
    <col min="8036" max="8036" width="5" bestFit="1" customWidth="1"/>
    <col min="8037" max="8037" width="9.9296875" bestFit="1" customWidth="1"/>
    <col min="8038" max="8038" width="7" bestFit="1" customWidth="1"/>
    <col min="8039" max="8039" width="5" bestFit="1" customWidth="1"/>
    <col min="8040" max="8040" width="9.9296875" bestFit="1" customWidth="1"/>
    <col min="8041" max="8041" width="5" bestFit="1" customWidth="1"/>
    <col min="8042" max="8043" width="9.9296875" bestFit="1" customWidth="1"/>
    <col min="8044" max="8046" width="7.9296875" bestFit="1" customWidth="1"/>
    <col min="8047" max="8047" width="5" bestFit="1" customWidth="1"/>
    <col min="8048" max="8048" width="7.9296875" bestFit="1" customWidth="1"/>
    <col min="8049" max="8049" width="5" bestFit="1" customWidth="1"/>
    <col min="8050" max="8050" width="9.9296875" bestFit="1" customWidth="1"/>
    <col min="8051" max="8051" width="7" bestFit="1" customWidth="1"/>
    <col min="8052" max="8052" width="5" bestFit="1" customWidth="1"/>
    <col min="8053" max="8054" width="9.9296875" bestFit="1" customWidth="1"/>
    <col min="8055" max="8055" width="5" bestFit="1" customWidth="1"/>
    <col min="8056" max="8056" width="9" bestFit="1" customWidth="1"/>
    <col min="8057" max="8057" width="7.9296875" bestFit="1" customWidth="1"/>
    <col min="8058" max="8059" width="7" bestFit="1" customWidth="1"/>
    <col min="8060" max="8063" width="9.9296875" bestFit="1" customWidth="1"/>
    <col min="8064" max="8065" width="7.9296875" bestFit="1" customWidth="1"/>
    <col min="8066" max="8066" width="9.9296875" bestFit="1" customWidth="1"/>
    <col min="8067" max="8067" width="7.9296875" bestFit="1" customWidth="1"/>
    <col min="8068" max="8069" width="9.9296875" bestFit="1" customWidth="1"/>
    <col min="8070" max="8071" width="7" bestFit="1" customWidth="1"/>
    <col min="8072" max="8072" width="7.9296875" bestFit="1" customWidth="1"/>
    <col min="8073" max="8073" width="7" bestFit="1" customWidth="1"/>
    <col min="8074" max="8074" width="5" bestFit="1" customWidth="1"/>
    <col min="8075" max="8075" width="7" bestFit="1" customWidth="1"/>
    <col min="8076" max="8076" width="5" bestFit="1" customWidth="1"/>
    <col min="8077" max="8078" width="7.9296875" bestFit="1" customWidth="1"/>
    <col min="8079" max="8079" width="5" bestFit="1" customWidth="1"/>
    <col min="8080" max="8080" width="7" bestFit="1" customWidth="1"/>
    <col min="8081" max="8081" width="9.9296875" bestFit="1" customWidth="1"/>
    <col min="8082" max="8082" width="5" bestFit="1" customWidth="1"/>
    <col min="8083" max="8083" width="9" bestFit="1" customWidth="1"/>
    <col min="8084" max="8084" width="9.9296875" bestFit="1" customWidth="1"/>
    <col min="8085" max="8085" width="7.9296875" bestFit="1" customWidth="1"/>
    <col min="8086" max="8086" width="9.9296875" bestFit="1" customWidth="1"/>
    <col min="8087" max="8087" width="5" bestFit="1" customWidth="1"/>
    <col min="8088" max="8091" width="9.9296875" bestFit="1" customWidth="1"/>
    <col min="8092" max="8092" width="5" bestFit="1" customWidth="1"/>
    <col min="8093" max="8093" width="9.9296875" bestFit="1" customWidth="1"/>
    <col min="8094" max="8095" width="5" bestFit="1" customWidth="1"/>
    <col min="8096" max="8096" width="7" bestFit="1" customWidth="1"/>
    <col min="8097" max="8097" width="9.9296875" bestFit="1" customWidth="1"/>
    <col min="8098" max="8098" width="5" bestFit="1" customWidth="1"/>
    <col min="8099" max="8100" width="9.9296875" bestFit="1" customWidth="1"/>
    <col min="8101" max="8101" width="9" bestFit="1" customWidth="1"/>
    <col min="8102" max="8104" width="9.9296875" bestFit="1" customWidth="1"/>
    <col min="8105" max="8105" width="7.9296875" bestFit="1" customWidth="1"/>
    <col min="8106" max="8106" width="9.9296875" bestFit="1" customWidth="1"/>
    <col min="8107" max="8107" width="7" bestFit="1" customWidth="1"/>
    <col min="8108" max="8108" width="5" bestFit="1" customWidth="1"/>
    <col min="8109" max="8109" width="7" bestFit="1" customWidth="1"/>
    <col min="8110" max="8111" width="9.9296875" bestFit="1" customWidth="1"/>
    <col min="8112" max="8112" width="9" bestFit="1" customWidth="1"/>
    <col min="8113" max="8113" width="9.9296875" bestFit="1" customWidth="1"/>
    <col min="8114" max="8114" width="9" bestFit="1" customWidth="1"/>
    <col min="8115" max="8117" width="9.9296875" bestFit="1" customWidth="1"/>
    <col min="8118" max="8118" width="7" bestFit="1" customWidth="1"/>
    <col min="8119" max="8120" width="9.9296875" bestFit="1" customWidth="1"/>
    <col min="8121" max="8121" width="9" bestFit="1" customWidth="1"/>
    <col min="8122" max="8122" width="9.9296875" bestFit="1" customWidth="1"/>
    <col min="8123" max="8123" width="5" bestFit="1" customWidth="1"/>
    <col min="8124" max="8124" width="9.9296875" bestFit="1" customWidth="1"/>
    <col min="8125" max="8125" width="7" bestFit="1" customWidth="1"/>
    <col min="8126" max="8128" width="9.9296875" bestFit="1" customWidth="1"/>
    <col min="8129" max="8129" width="7" bestFit="1" customWidth="1"/>
    <col min="8130" max="8130" width="9" bestFit="1" customWidth="1"/>
    <col min="8131" max="8131" width="5" bestFit="1" customWidth="1"/>
    <col min="8132" max="8132" width="9" bestFit="1" customWidth="1"/>
    <col min="8133" max="8133" width="5" bestFit="1" customWidth="1"/>
    <col min="8134" max="8134" width="9.9296875" bestFit="1" customWidth="1"/>
    <col min="8135" max="8135" width="9" bestFit="1" customWidth="1"/>
    <col min="8136" max="8136" width="5" bestFit="1" customWidth="1"/>
    <col min="8137" max="8137" width="9.9296875" bestFit="1" customWidth="1"/>
    <col min="8138" max="8138" width="7" bestFit="1" customWidth="1"/>
    <col min="8139" max="8139" width="5" bestFit="1" customWidth="1"/>
    <col min="8140" max="8140" width="9" bestFit="1" customWidth="1"/>
    <col min="8141" max="8141" width="5" bestFit="1" customWidth="1"/>
    <col min="8142" max="8143" width="9.9296875" bestFit="1" customWidth="1"/>
    <col min="8144" max="8144" width="5" bestFit="1" customWidth="1"/>
    <col min="8145" max="8145" width="9" bestFit="1" customWidth="1"/>
    <col min="8146" max="8146" width="7.9296875" bestFit="1" customWidth="1"/>
    <col min="8147" max="8150" width="9.9296875" bestFit="1" customWidth="1"/>
    <col min="8151" max="8151" width="5" bestFit="1" customWidth="1"/>
    <col min="8152" max="8152" width="9.9296875" bestFit="1" customWidth="1"/>
    <col min="8153" max="8153" width="7.9296875" bestFit="1" customWidth="1"/>
    <col min="8154" max="8154" width="9.9296875" bestFit="1" customWidth="1"/>
    <col min="8155" max="8155" width="5" bestFit="1" customWidth="1"/>
    <col min="8156" max="8156" width="7.9296875" bestFit="1" customWidth="1"/>
    <col min="8157" max="8157" width="5" bestFit="1" customWidth="1"/>
    <col min="8158" max="8158" width="7" bestFit="1" customWidth="1"/>
    <col min="8159" max="8159" width="9" bestFit="1" customWidth="1"/>
    <col min="8160" max="8161" width="9.9296875" bestFit="1" customWidth="1"/>
    <col min="8162" max="8162" width="5" bestFit="1" customWidth="1"/>
    <col min="8163" max="8163" width="9.9296875" bestFit="1" customWidth="1"/>
    <col min="8164" max="8164" width="7.9296875" bestFit="1" customWidth="1"/>
    <col min="8165" max="8165" width="5" bestFit="1" customWidth="1"/>
    <col min="8166" max="8166" width="7" bestFit="1" customWidth="1"/>
    <col min="8167" max="8167" width="5" bestFit="1" customWidth="1"/>
    <col min="8168" max="8168" width="9.9296875" bestFit="1" customWidth="1"/>
    <col min="8169" max="8170" width="7" bestFit="1" customWidth="1"/>
    <col min="8171" max="8171" width="5" bestFit="1" customWidth="1"/>
    <col min="8172" max="8173" width="9.9296875" bestFit="1" customWidth="1"/>
    <col min="8174" max="8175" width="5" bestFit="1" customWidth="1"/>
    <col min="8176" max="8176" width="9.9296875" bestFit="1" customWidth="1"/>
    <col min="8177" max="8177" width="9" bestFit="1" customWidth="1"/>
    <col min="8178" max="8178" width="9.9296875" bestFit="1" customWidth="1"/>
    <col min="8179" max="8179" width="5" bestFit="1" customWidth="1"/>
    <col min="8180" max="8180" width="9.9296875" bestFit="1" customWidth="1"/>
    <col min="8181" max="8181" width="7.9296875" bestFit="1" customWidth="1"/>
    <col min="8182" max="8182" width="5" bestFit="1" customWidth="1"/>
    <col min="8183" max="8184" width="9.9296875" bestFit="1" customWidth="1"/>
    <col min="8185" max="8185" width="5" bestFit="1" customWidth="1"/>
    <col min="8186" max="8186" width="7" bestFit="1" customWidth="1"/>
    <col min="8187" max="8191" width="9.9296875" bestFit="1" customWidth="1"/>
    <col min="8192" max="8192" width="7.9296875" bestFit="1" customWidth="1"/>
    <col min="8193" max="8193" width="9.9296875" bestFit="1" customWidth="1"/>
    <col min="8194" max="8194" width="5" bestFit="1" customWidth="1"/>
    <col min="8195" max="8195" width="9" bestFit="1" customWidth="1"/>
    <col min="8196" max="8197" width="9.9296875" bestFit="1" customWidth="1"/>
    <col min="8198" max="8198" width="5" bestFit="1" customWidth="1"/>
    <col min="8199" max="8199" width="9.9296875" bestFit="1" customWidth="1"/>
    <col min="8200" max="8200" width="9" bestFit="1" customWidth="1"/>
    <col min="8201" max="8203" width="9.9296875" bestFit="1" customWidth="1"/>
    <col min="8204" max="8204" width="9" bestFit="1" customWidth="1"/>
    <col min="8205" max="8205" width="5" bestFit="1" customWidth="1"/>
    <col min="8206" max="8206" width="9.9296875" bestFit="1" customWidth="1"/>
    <col min="8207" max="8207" width="9" bestFit="1" customWidth="1"/>
    <col min="8208" max="8208" width="5" bestFit="1" customWidth="1"/>
    <col min="8209" max="8209" width="9" bestFit="1" customWidth="1"/>
    <col min="8210" max="8210" width="9.9296875" bestFit="1" customWidth="1"/>
    <col min="8211" max="8211" width="5" bestFit="1" customWidth="1"/>
    <col min="8212" max="8212" width="7.9296875" bestFit="1" customWidth="1"/>
    <col min="8213" max="8214" width="9.9296875" bestFit="1" customWidth="1"/>
    <col min="8215" max="8216" width="7.9296875" bestFit="1" customWidth="1"/>
    <col min="8217" max="8217" width="9.9296875" bestFit="1" customWidth="1"/>
    <col min="8218" max="8218" width="5" bestFit="1" customWidth="1"/>
    <col min="8219" max="8220" width="9.9296875" bestFit="1" customWidth="1"/>
    <col min="8221" max="8221" width="7.9296875" bestFit="1" customWidth="1"/>
    <col min="8222" max="8223" width="9.9296875" bestFit="1" customWidth="1"/>
    <col min="8224" max="8224" width="7.9296875" bestFit="1" customWidth="1"/>
    <col min="8225" max="8225" width="9.9296875" bestFit="1" customWidth="1"/>
    <col min="8226" max="8226" width="5" bestFit="1" customWidth="1"/>
    <col min="8227" max="8227" width="7" bestFit="1" customWidth="1"/>
    <col min="8228" max="8228" width="7.9296875" bestFit="1" customWidth="1"/>
    <col min="8229" max="8229" width="5" bestFit="1" customWidth="1"/>
    <col min="8230" max="8231" width="9.9296875" bestFit="1" customWidth="1"/>
    <col min="8232" max="8232" width="9" bestFit="1" customWidth="1"/>
    <col min="8233" max="8233" width="7.9296875" bestFit="1" customWidth="1"/>
    <col min="8234" max="8234" width="7" bestFit="1" customWidth="1"/>
    <col min="8235" max="8235" width="5" bestFit="1" customWidth="1"/>
    <col min="8236" max="8236" width="9.9296875" bestFit="1" customWidth="1"/>
    <col min="8237" max="8237" width="9" bestFit="1" customWidth="1"/>
    <col min="8238" max="8238" width="7" bestFit="1" customWidth="1"/>
    <col min="8239" max="8239" width="9.9296875" bestFit="1" customWidth="1"/>
    <col min="8240" max="8241" width="5" bestFit="1" customWidth="1"/>
    <col min="8242" max="8242" width="7.9296875" bestFit="1" customWidth="1"/>
    <col min="8243" max="8243" width="5" bestFit="1" customWidth="1"/>
    <col min="8244" max="8244" width="7.9296875" bestFit="1" customWidth="1"/>
    <col min="8245" max="8245" width="9.9296875" bestFit="1" customWidth="1"/>
    <col min="8246" max="8246" width="7" bestFit="1" customWidth="1"/>
    <col min="8247" max="8247" width="7.9296875" bestFit="1" customWidth="1"/>
    <col min="8248" max="8248" width="7" bestFit="1" customWidth="1"/>
    <col min="8249" max="8249" width="7.9296875" bestFit="1" customWidth="1"/>
    <col min="8250" max="8250" width="5" bestFit="1" customWidth="1"/>
    <col min="8251" max="8251" width="9.9296875" bestFit="1" customWidth="1"/>
    <col min="8252" max="8252" width="5" bestFit="1" customWidth="1"/>
    <col min="8253" max="8256" width="9.9296875" bestFit="1" customWidth="1"/>
    <col min="8257" max="8258" width="9" bestFit="1" customWidth="1"/>
    <col min="8259" max="8260" width="9.9296875" bestFit="1" customWidth="1"/>
    <col min="8261" max="8261" width="7.9296875" bestFit="1" customWidth="1"/>
    <col min="8262" max="8262" width="9.9296875" bestFit="1" customWidth="1"/>
    <col min="8263" max="8263" width="7" bestFit="1" customWidth="1"/>
    <col min="8264" max="8264" width="5" bestFit="1" customWidth="1"/>
    <col min="8265" max="8265" width="7.9296875" bestFit="1" customWidth="1"/>
    <col min="8266" max="8268" width="9.9296875" bestFit="1" customWidth="1"/>
    <col min="8269" max="8269" width="5" bestFit="1" customWidth="1"/>
    <col min="8270" max="8270" width="9.9296875" bestFit="1" customWidth="1"/>
    <col min="8271" max="8274" width="7.9296875" bestFit="1" customWidth="1"/>
    <col min="8275" max="8275" width="5" bestFit="1" customWidth="1"/>
    <col min="8276" max="8276" width="7.9296875" bestFit="1" customWidth="1"/>
    <col min="8277" max="8277" width="7" bestFit="1" customWidth="1"/>
    <col min="8278" max="8278" width="9.9296875" bestFit="1" customWidth="1"/>
    <col min="8279" max="8279" width="7.9296875" bestFit="1" customWidth="1"/>
    <col min="8280" max="8280" width="5" bestFit="1" customWidth="1"/>
    <col min="8281" max="8282" width="9.9296875" bestFit="1" customWidth="1"/>
    <col min="8283" max="8283" width="7.9296875" bestFit="1" customWidth="1"/>
    <col min="8284" max="8284" width="5" bestFit="1" customWidth="1"/>
    <col min="8285" max="8287" width="9.9296875" bestFit="1" customWidth="1"/>
    <col min="8288" max="8288" width="7.9296875" bestFit="1" customWidth="1"/>
    <col min="8289" max="8290" width="9.9296875" bestFit="1" customWidth="1"/>
    <col min="8291" max="8291" width="7.9296875" bestFit="1" customWidth="1"/>
    <col min="8292" max="8292" width="9.9296875" bestFit="1" customWidth="1"/>
    <col min="8293" max="8293" width="9" bestFit="1" customWidth="1"/>
    <col min="8294" max="8294" width="7.9296875" bestFit="1" customWidth="1"/>
    <col min="8295" max="8295" width="9.9296875" bestFit="1" customWidth="1"/>
    <col min="8296" max="8296" width="7.9296875" bestFit="1" customWidth="1"/>
    <col min="8297" max="8297" width="7" bestFit="1" customWidth="1"/>
    <col min="8298" max="8298" width="9" bestFit="1" customWidth="1"/>
    <col min="8299" max="8299" width="5" bestFit="1" customWidth="1"/>
    <col min="8300" max="8300" width="9.9296875" bestFit="1" customWidth="1"/>
    <col min="8301" max="8301" width="7" bestFit="1" customWidth="1"/>
    <col min="8302" max="8302" width="7.9296875" bestFit="1" customWidth="1"/>
    <col min="8303" max="8303" width="5" bestFit="1" customWidth="1"/>
    <col min="8304" max="8307" width="9.9296875" bestFit="1" customWidth="1"/>
    <col min="8308" max="8309" width="5" bestFit="1" customWidth="1"/>
    <col min="8310" max="8310" width="7" bestFit="1" customWidth="1"/>
    <col min="8311" max="8311" width="9.9296875" bestFit="1" customWidth="1"/>
    <col min="8312" max="8312" width="5" bestFit="1" customWidth="1"/>
    <col min="8313" max="8313" width="7.9296875" bestFit="1" customWidth="1"/>
    <col min="8314" max="8314" width="7" bestFit="1" customWidth="1"/>
    <col min="8315" max="8316" width="7.9296875" bestFit="1" customWidth="1"/>
    <col min="8317" max="8317" width="5" bestFit="1" customWidth="1"/>
    <col min="8318" max="8318" width="7.9296875" bestFit="1" customWidth="1"/>
    <col min="8319" max="8319" width="7" bestFit="1" customWidth="1"/>
    <col min="8320" max="8320" width="5" bestFit="1" customWidth="1"/>
    <col min="8321" max="8323" width="9.9296875" bestFit="1" customWidth="1"/>
    <col min="8324" max="8324" width="5" bestFit="1" customWidth="1"/>
    <col min="8325" max="8326" width="7.9296875" bestFit="1" customWidth="1"/>
    <col min="8327" max="8330" width="9.9296875" bestFit="1" customWidth="1"/>
    <col min="8331" max="8331" width="7.9296875" bestFit="1" customWidth="1"/>
    <col min="8332" max="8332" width="9.9296875" bestFit="1" customWidth="1"/>
    <col min="8333" max="8333" width="5" bestFit="1" customWidth="1"/>
    <col min="8334" max="8335" width="7" bestFit="1" customWidth="1"/>
    <col min="8336" max="8340" width="9.9296875" bestFit="1" customWidth="1"/>
    <col min="8341" max="8341" width="7.9296875" bestFit="1" customWidth="1"/>
    <col min="8342" max="8342" width="5" bestFit="1" customWidth="1"/>
    <col min="8343" max="8343" width="9.9296875" bestFit="1" customWidth="1"/>
    <col min="8344" max="8344" width="7.9296875" bestFit="1" customWidth="1"/>
    <col min="8345" max="8345" width="9.9296875" bestFit="1" customWidth="1"/>
    <col min="8346" max="8346" width="5" bestFit="1" customWidth="1"/>
    <col min="8347" max="8349" width="9.9296875" bestFit="1" customWidth="1"/>
    <col min="8350" max="8350" width="7" bestFit="1" customWidth="1"/>
    <col min="8351" max="8351" width="9.9296875" bestFit="1" customWidth="1"/>
    <col min="8352" max="8352" width="5" bestFit="1" customWidth="1"/>
    <col min="8353" max="8353" width="9.9296875" bestFit="1" customWidth="1"/>
    <col min="8354" max="8354" width="7.9296875" bestFit="1" customWidth="1"/>
    <col min="8355" max="8355" width="7" bestFit="1" customWidth="1"/>
    <col min="8356" max="8356" width="5" bestFit="1" customWidth="1"/>
    <col min="8357" max="8357" width="9" bestFit="1" customWidth="1"/>
    <col min="8358" max="8358" width="5" bestFit="1" customWidth="1"/>
    <col min="8359" max="8359" width="7" bestFit="1" customWidth="1"/>
    <col min="8360" max="8361" width="9.9296875" bestFit="1" customWidth="1"/>
    <col min="8362" max="8362" width="9" bestFit="1" customWidth="1"/>
    <col min="8363" max="8363" width="5" bestFit="1" customWidth="1"/>
    <col min="8364" max="8365" width="9.9296875" bestFit="1" customWidth="1"/>
    <col min="8366" max="8366" width="9" bestFit="1" customWidth="1"/>
    <col min="8367" max="8367" width="5" bestFit="1" customWidth="1"/>
    <col min="8368" max="8368" width="7.9296875" bestFit="1" customWidth="1"/>
    <col min="8369" max="8370" width="9.9296875" bestFit="1" customWidth="1"/>
    <col min="8371" max="8371" width="9" bestFit="1" customWidth="1"/>
    <col min="8372" max="8372" width="7.9296875" bestFit="1" customWidth="1"/>
    <col min="8373" max="8373" width="7" bestFit="1" customWidth="1"/>
    <col min="8374" max="8374" width="5" bestFit="1" customWidth="1"/>
    <col min="8375" max="8375" width="7.9296875" bestFit="1" customWidth="1"/>
    <col min="8376" max="8377" width="9.9296875" bestFit="1" customWidth="1"/>
    <col min="8378" max="8378" width="5" bestFit="1" customWidth="1"/>
    <col min="8379" max="8379" width="7.9296875" bestFit="1" customWidth="1"/>
    <col min="8380" max="8380" width="5" bestFit="1" customWidth="1"/>
    <col min="8381" max="8381" width="9" bestFit="1" customWidth="1"/>
    <col min="8382" max="8382" width="7.9296875" bestFit="1" customWidth="1"/>
    <col min="8383" max="8383" width="9.9296875" bestFit="1" customWidth="1"/>
    <col min="8384" max="8384" width="7.9296875" bestFit="1" customWidth="1"/>
    <col min="8385" max="8385" width="9" bestFit="1" customWidth="1"/>
    <col min="8386" max="8386" width="9.9296875" bestFit="1" customWidth="1"/>
    <col min="8387" max="8387" width="5" bestFit="1" customWidth="1"/>
    <col min="8388" max="8389" width="9.9296875" bestFit="1" customWidth="1"/>
    <col min="8390" max="8391" width="5" bestFit="1" customWidth="1"/>
    <col min="8392" max="8392" width="9.9296875" bestFit="1" customWidth="1"/>
    <col min="8393" max="8393" width="5" bestFit="1" customWidth="1"/>
    <col min="8394" max="8394" width="7.9296875" bestFit="1" customWidth="1"/>
    <col min="8395" max="8396" width="9.9296875" bestFit="1" customWidth="1"/>
    <col min="8397" max="8397" width="5" bestFit="1" customWidth="1"/>
    <col min="8398" max="8398" width="9.9296875" bestFit="1" customWidth="1"/>
    <col min="8399" max="8399" width="5" bestFit="1" customWidth="1"/>
    <col min="8400" max="8400" width="7.9296875" bestFit="1" customWidth="1"/>
    <col min="8401" max="8401" width="9.9296875" bestFit="1" customWidth="1"/>
    <col min="8402" max="8402" width="5" bestFit="1" customWidth="1"/>
    <col min="8403" max="8403" width="7.9296875" bestFit="1" customWidth="1"/>
    <col min="8404" max="8404" width="7" bestFit="1" customWidth="1"/>
    <col min="8405" max="8405" width="9.9296875" bestFit="1" customWidth="1"/>
    <col min="8406" max="8406" width="5" bestFit="1" customWidth="1"/>
    <col min="8407" max="8408" width="9" bestFit="1" customWidth="1"/>
    <col min="8409" max="8409" width="9.9296875" bestFit="1" customWidth="1"/>
    <col min="8410" max="8410" width="5" bestFit="1" customWidth="1"/>
    <col min="8411" max="8411" width="9" bestFit="1" customWidth="1"/>
    <col min="8412" max="8412" width="7" bestFit="1" customWidth="1"/>
    <col min="8413" max="8414" width="9.9296875" bestFit="1" customWidth="1"/>
    <col min="8415" max="8417" width="5" bestFit="1" customWidth="1"/>
    <col min="8418" max="8420" width="9" bestFit="1" customWidth="1"/>
    <col min="8421" max="8422" width="7.9296875" bestFit="1" customWidth="1"/>
    <col min="8423" max="8423" width="9" bestFit="1" customWidth="1"/>
    <col min="8424" max="8424" width="5" bestFit="1" customWidth="1"/>
    <col min="8425" max="8425" width="9" bestFit="1" customWidth="1"/>
    <col min="8426" max="8426" width="7" bestFit="1" customWidth="1"/>
    <col min="8427" max="8427" width="5" bestFit="1" customWidth="1"/>
    <col min="8428" max="8428" width="9.9296875" bestFit="1" customWidth="1"/>
    <col min="8429" max="8429" width="9" bestFit="1" customWidth="1"/>
    <col min="8430" max="8430" width="9.9296875" bestFit="1" customWidth="1"/>
    <col min="8431" max="8431" width="9" bestFit="1" customWidth="1"/>
    <col min="8432" max="8432" width="9.9296875" bestFit="1" customWidth="1"/>
    <col min="8433" max="8433" width="7" bestFit="1" customWidth="1"/>
    <col min="8434" max="8434" width="5" bestFit="1" customWidth="1"/>
    <col min="8435" max="8435" width="7.9296875" bestFit="1" customWidth="1"/>
    <col min="8436" max="8437" width="9" bestFit="1" customWidth="1"/>
    <col min="8438" max="8438" width="5" bestFit="1" customWidth="1"/>
    <col min="8439" max="8439" width="7" bestFit="1" customWidth="1"/>
    <col min="8440" max="8440" width="5" bestFit="1" customWidth="1"/>
    <col min="8441" max="8445" width="9.9296875" bestFit="1" customWidth="1"/>
    <col min="8446" max="8446" width="9" bestFit="1" customWidth="1"/>
    <col min="8447" max="8448" width="7.9296875" bestFit="1" customWidth="1"/>
    <col min="8449" max="8449" width="5" bestFit="1" customWidth="1"/>
    <col min="8450" max="8450" width="7.9296875" bestFit="1" customWidth="1"/>
    <col min="8451" max="8451" width="9.9296875" bestFit="1" customWidth="1"/>
    <col min="8452" max="8453" width="7.9296875" bestFit="1" customWidth="1"/>
    <col min="8454" max="8455" width="9.9296875" bestFit="1" customWidth="1"/>
    <col min="8456" max="8456" width="7" bestFit="1" customWidth="1"/>
    <col min="8457" max="8457" width="7.9296875" bestFit="1" customWidth="1"/>
    <col min="8458" max="8458" width="9.9296875" bestFit="1" customWidth="1"/>
    <col min="8459" max="8460" width="5" bestFit="1" customWidth="1"/>
    <col min="8461" max="8461" width="7" bestFit="1" customWidth="1"/>
    <col min="8462" max="8462" width="9.9296875" bestFit="1" customWidth="1"/>
    <col min="8463" max="8463" width="7" bestFit="1" customWidth="1"/>
    <col min="8464" max="8464" width="7.9296875" bestFit="1" customWidth="1"/>
    <col min="8465" max="8465" width="7" bestFit="1" customWidth="1"/>
    <col min="8466" max="8466" width="7.9296875" bestFit="1" customWidth="1"/>
    <col min="8467" max="8467" width="9" bestFit="1" customWidth="1"/>
    <col min="8468" max="8468" width="5" bestFit="1" customWidth="1"/>
    <col min="8469" max="8471" width="9.9296875" bestFit="1" customWidth="1"/>
    <col min="8472" max="8472" width="5" bestFit="1" customWidth="1"/>
    <col min="8473" max="8473" width="9.9296875" bestFit="1" customWidth="1"/>
    <col min="8474" max="8474" width="7.9296875" bestFit="1" customWidth="1"/>
    <col min="8475" max="8475" width="9.9296875" bestFit="1" customWidth="1"/>
    <col min="8476" max="8482" width="5" bestFit="1" customWidth="1"/>
    <col min="8483" max="8484" width="7.9296875" bestFit="1" customWidth="1"/>
    <col min="8485" max="8485" width="9.9296875" bestFit="1" customWidth="1"/>
    <col min="8486" max="8486" width="7" bestFit="1" customWidth="1"/>
    <col min="8487" max="8490" width="9.9296875" bestFit="1" customWidth="1"/>
    <col min="8491" max="8491" width="5" bestFit="1" customWidth="1"/>
    <col min="8492" max="8493" width="7.9296875" bestFit="1" customWidth="1"/>
    <col min="8494" max="8496" width="9.9296875" bestFit="1" customWidth="1"/>
    <col min="8497" max="8497" width="7" bestFit="1" customWidth="1"/>
    <col min="8498" max="8498" width="7.9296875" bestFit="1" customWidth="1"/>
    <col min="8499" max="8500" width="9.9296875" bestFit="1" customWidth="1"/>
    <col min="8501" max="8502" width="5" bestFit="1" customWidth="1"/>
    <col min="8503" max="8507" width="9.9296875" bestFit="1" customWidth="1"/>
    <col min="8508" max="8508" width="7.9296875" bestFit="1" customWidth="1"/>
    <col min="8509" max="8509" width="5" bestFit="1" customWidth="1"/>
    <col min="8510" max="8510" width="7.9296875" bestFit="1" customWidth="1"/>
    <col min="8511" max="8511" width="9" bestFit="1" customWidth="1"/>
    <col min="8512" max="8512" width="9.9296875" bestFit="1" customWidth="1"/>
    <col min="8513" max="8513" width="5" bestFit="1" customWidth="1"/>
    <col min="8514" max="8514" width="7.9296875" bestFit="1" customWidth="1"/>
    <col min="8515" max="8516" width="9.9296875" bestFit="1" customWidth="1"/>
    <col min="8517" max="8517" width="5" bestFit="1" customWidth="1"/>
    <col min="8518" max="8519" width="9.9296875" bestFit="1" customWidth="1"/>
    <col min="8520" max="8520" width="7" bestFit="1" customWidth="1"/>
    <col min="8521" max="8521" width="9" bestFit="1" customWidth="1"/>
    <col min="8522" max="8522" width="9.9296875" bestFit="1" customWidth="1"/>
    <col min="8523" max="8523" width="7" bestFit="1" customWidth="1"/>
    <col min="8524" max="8524" width="9.9296875" bestFit="1" customWidth="1"/>
    <col min="8525" max="8525" width="7.9296875" bestFit="1" customWidth="1"/>
    <col min="8526" max="8526" width="9" bestFit="1" customWidth="1"/>
    <col min="8527" max="8527" width="7.9296875" bestFit="1" customWidth="1"/>
    <col min="8528" max="8528" width="9.9296875" bestFit="1" customWidth="1"/>
    <col min="8529" max="8530" width="5" bestFit="1" customWidth="1"/>
    <col min="8531" max="8531" width="9.9296875" bestFit="1" customWidth="1"/>
    <col min="8532" max="8532" width="5" bestFit="1" customWidth="1"/>
    <col min="8533" max="8533" width="9.9296875" bestFit="1" customWidth="1"/>
    <col min="8534" max="8534" width="7" bestFit="1" customWidth="1"/>
    <col min="8535" max="8535" width="9.9296875" bestFit="1" customWidth="1"/>
    <col min="8536" max="8536" width="9" bestFit="1" customWidth="1"/>
    <col min="8537" max="8537" width="9.9296875" bestFit="1" customWidth="1"/>
    <col min="8538" max="8538" width="5" bestFit="1" customWidth="1"/>
    <col min="8539" max="8539" width="9" bestFit="1" customWidth="1"/>
    <col min="8540" max="8540" width="9.9296875" bestFit="1" customWidth="1"/>
    <col min="8541" max="8541" width="7" bestFit="1" customWidth="1"/>
    <col min="8542" max="8542" width="5" bestFit="1" customWidth="1"/>
    <col min="8543" max="8543" width="7" bestFit="1" customWidth="1"/>
    <col min="8544" max="8544" width="9.9296875" bestFit="1" customWidth="1"/>
    <col min="8545" max="8545" width="5" bestFit="1" customWidth="1"/>
    <col min="8546" max="8546" width="7.9296875" bestFit="1" customWidth="1"/>
    <col min="8547" max="8547" width="7" bestFit="1" customWidth="1"/>
    <col min="8548" max="8548" width="5" bestFit="1" customWidth="1"/>
    <col min="8549" max="8549" width="9.9296875" bestFit="1" customWidth="1"/>
    <col min="8550" max="8550" width="7" bestFit="1" customWidth="1"/>
    <col min="8551" max="8551" width="5" bestFit="1" customWidth="1"/>
    <col min="8552" max="8552" width="9" bestFit="1" customWidth="1"/>
    <col min="8553" max="8553" width="5" bestFit="1" customWidth="1"/>
    <col min="8554" max="8554" width="9.9296875" bestFit="1" customWidth="1"/>
    <col min="8555" max="8555" width="5" bestFit="1" customWidth="1"/>
    <col min="8556" max="8556" width="9.9296875" bestFit="1" customWidth="1"/>
    <col min="8557" max="8557" width="7.9296875" bestFit="1" customWidth="1"/>
    <col min="8558" max="8559" width="9.9296875" bestFit="1" customWidth="1"/>
    <col min="8560" max="8560" width="7.9296875" bestFit="1" customWidth="1"/>
    <col min="8561" max="8561" width="5" bestFit="1" customWidth="1"/>
    <col min="8562" max="8563" width="9.9296875" bestFit="1" customWidth="1"/>
    <col min="8564" max="8564" width="5" bestFit="1" customWidth="1"/>
    <col min="8565" max="8565" width="7.9296875" bestFit="1" customWidth="1"/>
    <col min="8566" max="8566" width="9.9296875" bestFit="1" customWidth="1"/>
    <col min="8567" max="8567" width="7" bestFit="1" customWidth="1"/>
    <col min="8568" max="8569" width="9.9296875" bestFit="1" customWidth="1"/>
    <col min="8570" max="8570" width="5" bestFit="1" customWidth="1"/>
    <col min="8571" max="8571" width="9" bestFit="1" customWidth="1"/>
    <col min="8572" max="8572" width="5" bestFit="1" customWidth="1"/>
    <col min="8573" max="8573" width="7" bestFit="1" customWidth="1"/>
    <col min="8574" max="8574" width="5" bestFit="1" customWidth="1"/>
    <col min="8575" max="8575" width="7" bestFit="1" customWidth="1"/>
    <col min="8576" max="8576" width="7.9296875" bestFit="1" customWidth="1"/>
    <col min="8577" max="8578" width="9.9296875" bestFit="1" customWidth="1"/>
    <col min="8579" max="8579" width="9" bestFit="1" customWidth="1"/>
    <col min="8580" max="8580" width="9.9296875" bestFit="1" customWidth="1"/>
    <col min="8581" max="8581" width="5" bestFit="1" customWidth="1"/>
    <col min="8582" max="8582" width="7.9296875" bestFit="1" customWidth="1"/>
    <col min="8583" max="8583" width="5" bestFit="1" customWidth="1"/>
    <col min="8584" max="8586" width="7.9296875" bestFit="1" customWidth="1"/>
    <col min="8587" max="8587" width="5" bestFit="1" customWidth="1"/>
    <col min="8588" max="8588" width="9" bestFit="1" customWidth="1"/>
    <col min="8589" max="8589" width="7.9296875" bestFit="1" customWidth="1"/>
    <col min="8590" max="8591" width="9" bestFit="1" customWidth="1"/>
    <col min="8592" max="8592" width="7" bestFit="1" customWidth="1"/>
    <col min="8593" max="8593" width="7.9296875" bestFit="1" customWidth="1"/>
    <col min="8594" max="8594" width="9.9296875" bestFit="1" customWidth="1"/>
    <col min="8595" max="8595" width="5" bestFit="1" customWidth="1"/>
    <col min="8596" max="8596" width="9.9296875" bestFit="1" customWidth="1"/>
    <col min="8597" max="8597" width="5" bestFit="1" customWidth="1"/>
    <col min="8598" max="8598" width="9.9296875" bestFit="1" customWidth="1"/>
    <col min="8599" max="8599" width="5" bestFit="1" customWidth="1"/>
    <col min="8600" max="8600" width="9.9296875" bestFit="1" customWidth="1"/>
    <col min="8601" max="8602" width="9" bestFit="1" customWidth="1"/>
    <col min="8603" max="8604" width="5" bestFit="1" customWidth="1"/>
    <col min="8605" max="8606" width="7.9296875" bestFit="1" customWidth="1"/>
    <col min="8607" max="8607" width="7" bestFit="1" customWidth="1"/>
    <col min="8608" max="8608" width="9" bestFit="1" customWidth="1"/>
    <col min="8609" max="8609" width="5" bestFit="1" customWidth="1"/>
    <col min="8610" max="8610" width="9.9296875" bestFit="1" customWidth="1"/>
    <col min="8611" max="8611" width="9" bestFit="1" customWidth="1"/>
    <col min="8612" max="8612" width="9.9296875" bestFit="1" customWidth="1"/>
    <col min="8613" max="8613" width="5" bestFit="1" customWidth="1"/>
    <col min="8614" max="8614" width="9.9296875" bestFit="1" customWidth="1"/>
    <col min="8615" max="8615" width="5" bestFit="1" customWidth="1"/>
    <col min="8616" max="8616" width="7" bestFit="1" customWidth="1"/>
    <col min="8617" max="8617" width="7.9296875" bestFit="1" customWidth="1"/>
    <col min="8618" max="8618" width="9" bestFit="1" customWidth="1"/>
    <col min="8619" max="8619" width="9.9296875" bestFit="1" customWidth="1"/>
    <col min="8620" max="8620" width="5" bestFit="1" customWidth="1"/>
    <col min="8621" max="8621" width="7.9296875" bestFit="1" customWidth="1"/>
    <col min="8622" max="8622" width="9.9296875" bestFit="1" customWidth="1"/>
    <col min="8623" max="8623" width="7" bestFit="1" customWidth="1"/>
    <col min="8624" max="8625" width="5" bestFit="1" customWidth="1"/>
    <col min="8626" max="8626" width="9" bestFit="1" customWidth="1"/>
    <col min="8627" max="8628" width="9.9296875" bestFit="1" customWidth="1"/>
    <col min="8629" max="8630" width="5" bestFit="1" customWidth="1"/>
    <col min="8631" max="8631" width="7" bestFit="1" customWidth="1"/>
    <col min="8632" max="8632" width="9.9296875" bestFit="1" customWidth="1"/>
    <col min="8633" max="8633" width="7.9296875" bestFit="1" customWidth="1"/>
    <col min="8634" max="8634" width="9" bestFit="1" customWidth="1"/>
    <col min="8635" max="8635" width="9.9296875" bestFit="1" customWidth="1"/>
    <col min="8636" max="8636" width="7" bestFit="1" customWidth="1"/>
    <col min="8637" max="8637" width="9.9296875" bestFit="1" customWidth="1"/>
    <col min="8638" max="8639" width="5" bestFit="1" customWidth="1"/>
    <col min="8640" max="8640" width="7.9296875" bestFit="1" customWidth="1"/>
    <col min="8641" max="8641" width="9" bestFit="1" customWidth="1"/>
    <col min="8642" max="8642" width="5" bestFit="1" customWidth="1"/>
    <col min="8643" max="8645" width="9.9296875" bestFit="1" customWidth="1"/>
    <col min="8646" max="8648" width="5" bestFit="1" customWidth="1"/>
    <col min="8649" max="8649" width="9.9296875" bestFit="1" customWidth="1"/>
    <col min="8650" max="8650" width="9" bestFit="1" customWidth="1"/>
    <col min="8651" max="8651" width="9.9296875" bestFit="1" customWidth="1"/>
    <col min="8652" max="8652" width="7.9296875" bestFit="1" customWidth="1"/>
    <col min="8653" max="8655" width="9.9296875" bestFit="1" customWidth="1"/>
    <col min="8656" max="8658" width="9" bestFit="1" customWidth="1"/>
    <col min="8659" max="8659" width="5" bestFit="1" customWidth="1"/>
    <col min="8660" max="8660" width="7.9296875" bestFit="1" customWidth="1"/>
    <col min="8661" max="8661" width="5" bestFit="1" customWidth="1"/>
    <col min="8662" max="8662" width="7" bestFit="1" customWidth="1"/>
    <col min="8663" max="8663" width="7.9296875" bestFit="1" customWidth="1"/>
    <col min="8664" max="8665" width="7" bestFit="1" customWidth="1"/>
    <col min="8666" max="8666" width="9" bestFit="1" customWidth="1"/>
    <col min="8667" max="8667" width="5" bestFit="1" customWidth="1"/>
    <col min="8668" max="8668" width="9.9296875" bestFit="1" customWidth="1"/>
    <col min="8669" max="8669" width="7" bestFit="1" customWidth="1"/>
    <col min="8670" max="8670" width="9.9296875" bestFit="1" customWidth="1"/>
    <col min="8671" max="8671" width="9" bestFit="1" customWidth="1"/>
    <col min="8672" max="8672" width="5" bestFit="1" customWidth="1"/>
    <col min="8673" max="8673" width="9" bestFit="1" customWidth="1"/>
    <col min="8674" max="8676" width="7.9296875" bestFit="1" customWidth="1"/>
    <col min="8677" max="8677" width="9.9296875" bestFit="1" customWidth="1"/>
    <col min="8678" max="8681" width="5" bestFit="1" customWidth="1"/>
    <col min="8682" max="8685" width="9.9296875" bestFit="1" customWidth="1"/>
    <col min="8686" max="8686" width="9" bestFit="1" customWidth="1"/>
    <col min="8687" max="8687" width="7.9296875" bestFit="1" customWidth="1"/>
    <col min="8688" max="8688" width="5" bestFit="1" customWidth="1"/>
    <col min="8689" max="8690" width="9.9296875" bestFit="1" customWidth="1"/>
    <col min="8691" max="8691" width="5" bestFit="1" customWidth="1"/>
    <col min="8692" max="8692" width="9" bestFit="1" customWidth="1"/>
    <col min="8693" max="8693" width="5" bestFit="1" customWidth="1"/>
    <col min="8694" max="8696" width="9.9296875" bestFit="1" customWidth="1"/>
    <col min="8697" max="8697" width="5" bestFit="1" customWidth="1"/>
    <col min="8698" max="8698" width="7.9296875" bestFit="1" customWidth="1"/>
    <col min="8699" max="8701" width="5" bestFit="1" customWidth="1"/>
    <col min="8702" max="8702" width="7.9296875" bestFit="1" customWidth="1"/>
    <col min="8703" max="8703" width="9.9296875" bestFit="1" customWidth="1"/>
    <col min="8704" max="8704" width="7.9296875" bestFit="1" customWidth="1"/>
    <col min="8705" max="8707" width="9.9296875" bestFit="1" customWidth="1"/>
    <col min="8708" max="8709" width="7.9296875" bestFit="1" customWidth="1"/>
    <col min="8710" max="8710" width="9" bestFit="1" customWidth="1"/>
    <col min="8711" max="8711" width="9.9296875" bestFit="1" customWidth="1"/>
    <col min="8712" max="8713" width="5" bestFit="1" customWidth="1"/>
    <col min="8714" max="8714" width="7" bestFit="1" customWidth="1"/>
    <col min="8715" max="8715" width="9.9296875" bestFit="1" customWidth="1"/>
    <col min="8716" max="8717" width="7" bestFit="1" customWidth="1"/>
    <col min="8718" max="8718" width="9.9296875" bestFit="1" customWidth="1"/>
    <col min="8719" max="8719" width="5" bestFit="1" customWidth="1"/>
    <col min="8720" max="8722" width="9.9296875" bestFit="1" customWidth="1"/>
    <col min="8723" max="8723" width="5" bestFit="1" customWidth="1"/>
    <col min="8724" max="8724" width="7.9296875" bestFit="1" customWidth="1"/>
    <col min="8725" max="8725" width="5" bestFit="1" customWidth="1"/>
    <col min="8726" max="8726" width="7" bestFit="1" customWidth="1"/>
    <col min="8727" max="8728" width="5" bestFit="1" customWidth="1"/>
    <col min="8729" max="8729" width="7.9296875" bestFit="1" customWidth="1"/>
    <col min="8730" max="8730" width="9.9296875" bestFit="1" customWidth="1"/>
    <col min="8731" max="8731" width="9" bestFit="1" customWidth="1"/>
    <col min="8732" max="8732" width="9.9296875" bestFit="1" customWidth="1"/>
    <col min="8733" max="8733" width="9" bestFit="1" customWidth="1"/>
    <col min="8734" max="8735" width="9.9296875" bestFit="1" customWidth="1"/>
    <col min="8736" max="8736" width="9" bestFit="1" customWidth="1"/>
    <col min="8737" max="8737" width="5" bestFit="1" customWidth="1"/>
    <col min="8738" max="8739" width="9.9296875" bestFit="1" customWidth="1"/>
    <col min="8740" max="8740" width="5" bestFit="1" customWidth="1"/>
    <col min="8741" max="8741" width="9.9296875" bestFit="1" customWidth="1"/>
    <col min="8742" max="8742" width="7" bestFit="1" customWidth="1"/>
    <col min="8743" max="8743" width="9" bestFit="1" customWidth="1"/>
    <col min="8744" max="8744" width="5" bestFit="1" customWidth="1"/>
    <col min="8745" max="8745" width="9" bestFit="1" customWidth="1"/>
    <col min="8746" max="8748" width="9.9296875" bestFit="1" customWidth="1"/>
    <col min="8749" max="8749" width="5" bestFit="1" customWidth="1"/>
    <col min="8750" max="8750" width="7.9296875" bestFit="1" customWidth="1"/>
    <col min="8751" max="8751" width="9.9296875" bestFit="1" customWidth="1"/>
    <col min="8752" max="8752" width="5" bestFit="1" customWidth="1"/>
    <col min="8753" max="8753" width="7" bestFit="1" customWidth="1"/>
    <col min="8754" max="8754" width="7.9296875" bestFit="1" customWidth="1"/>
    <col min="8755" max="8755" width="9.9296875" bestFit="1" customWidth="1"/>
    <col min="8756" max="8756" width="7" bestFit="1" customWidth="1"/>
    <col min="8757" max="8758" width="9" bestFit="1" customWidth="1"/>
    <col min="8759" max="8759" width="7.9296875" bestFit="1" customWidth="1"/>
    <col min="8760" max="8760" width="5" bestFit="1" customWidth="1"/>
    <col min="8761" max="8761" width="7.9296875" bestFit="1" customWidth="1"/>
    <col min="8762" max="8763" width="9.9296875" bestFit="1" customWidth="1"/>
    <col min="8764" max="8764" width="9" bestFit="1" customWidth="1"/>
    <col min="8765" max="8765" width="7.9296875" bestFit="1" customWidth="1"/>
    <col min="8766" max="8766" width="9" bestFit="1" customWidth="1"/>
    <col min="8767" max="8767" width="9.9296875" bestFit="1" customWidth="1"/>
    <col min="8768" max="8768" width="7" bestFit="1" customWidth="1"/>
    <col min="8769" max="8769" width="9" bestFit="1" customWidth="1"/>
    <col min="8770" max="8770" width="9.9296875" bestFit="1" customWidth="1"/>
    <col min="8771" max="8771" width="9" bestFit="1" customWidth="1"/>
    <col min="8772" max="8773" width="5" bestFit="1" customWidth="1"/>
    <col min="8774" max="8774" width="7" bestFit="1" customWidth="1"/>
    <col min="8775" max="8775" width="9.9296875" bestFit="1" customWidth="1"/>
    <col min="8776" max="8776" width="5" bestFit="1" customWidth="1"/>
    <col min="8777" max="8778" width="7.9296875" bestFit="1" customWidth="1"/>
    <col min="8779" max="8779" width="9.9296875" bestFit="1" customWidth="1"/>
    <col min="8780" max="8781" width="7" bestFit="1" customWidth="1"/>
    <col min="8782" max="8782" width="9.9296875" bestFit="1" customWidth="1"/>
    <col min="8783" max="8783" width="5" bestFit="1" customWidth="1"/>
    <col min="8784" max="8784" width="9.9296875" bestFit="1" customWidth="1"/>
    <col min="8785" max="8785" width="5" bestFit="1" customWidth="1"/>
    <col min="8786" max="8786" width="7" bestFit="1" customWidth="1"/>
    <col min="8787" max="8787" width="9.9296875" bestFit="1" customWidth="1"/>
    <col min="8788" max="8788" width="9" bestFit="1" customWidth="1"/>
    <col min="8789" max="8789" width="7" bestFit="1" customWidth="1"/>
    <col min="8790" max="8790" width="5" bestFit="1" customWidth="1"/>
    <col min="8791" max="8792" width="9.9296875" bestFit="1" customWidth="1"/>
    <col min="8793" max="8795" width="7" bestFit="1" customWidth="1"/>
    <col min="8796" max="8797" width="9.9296875" bestFit="1" customWidth="1"/>
    <col min="8798" max="8800" width="5" bestFit="1" customWidth="1"/>
    <col min="8801" max="8803" width="9.9296875" bestFit="1" customWidth="1"/>
    <col min="8804" max="8804" width="7.9296875" bestFit="1" customWidth="1"/>
    <col min="8805" max="8805" width="5" bestFit="1" customWidth="1"/>
    <col min="8806" max="8806" width="7" bestFit="1" customWidth="1"/>
    <col min="8807" max="8807" width="7.9296875" bestFit="1" customWidth="1"/>
    <col min="8808" max="8808" width="9.9296875" bestFit="1" customWidth="1"/>
    <col min="8809" max="8809" width="7.9296875" bestFit="1" customWidth="1"/>
    <col min="8810" max="8810" width="5" bestFit="1" customWidth="1"/>
    <col min="8811" max="8811" width="7.9296875" bestFit="1" customWidth="1"/>
    <col min="8812" max="8812" width="7" bestFit="1" customWidth="1"/>
    <col min="8813" max="8813" width="5" bestFit="1" customWidth="1"/>
    <col min="8814" max="8814" width="7" bestFit="1" customWidth="1"/>
    <col min="8815" max="8815" width="9.9296875" bestFit="1" customWidth="1"/>
    <col min="8816" max="8816" width="7" bestFit="1" customWidth="1"/>
    <col min="8817" max="8820" width="5" bestFit="1" customWidth="1"/>
    <col min="8821" max="8821" width="9.9296875" bestFit="1" customWidth="1"/>
    <col min="8822" max="8822" width="7" bestFit="1" customWidth="1"/>
    <col min="8823" max="8823" width="9.9296875" bestFit="1" customWidth="1"/>
    <col min="8824" max="8824" width="5" bestFit="1" customWidth="1"/>
    <col min="8825" max="8825" width="7.9296875" bestFit="1" customWidth="1"/>
    <col min="8826" max="8826" width="9" bestFit="1" customWidth="1"/>
    <col min="8827" max="8827" width="9.9296875" bestFit="1" customWidth="1"/>
    <col min="8828" max="8828" width="7" bestFit="1" customWidth="1"/>
    <col min="8829" max="8829" width="9.9296875" bestFit="1" customWidth="1"/>
    <col min="8830" max="8830" width="9" bestFit="1" customWidth="1"/>
    <col min="8831" max="8831" width="7" bestFit="1" customWidth="1"/>
    <col min="8832" max="8832" width="5" bestFit="1" customWidth="1"/>
    <col min="8833" max="8833" width="7" bestFit="1" customWidth="1"/>
    <col min="8834" max="8834" width="9.9296875" bestFit="1" customWidth="1"/>
    <col min="8835" max="8836" width="9" bestFit="1" customWidth="1"/>
    <col min="8837" max="8837" width="5" bestFit="1" customWidth="1"/>
    <col min="8838" max="8838" width="7.9296875" bestFit="1" customWidth="1"/>
    <col min="8839" max="8839" width="5" bestFit="1" customWidth="1"/>
    <col min="8840" max="8842" width="9.9296875" bestFit="1" customWidth="1"/>
    <col min="8843" max="8843" width="5" bestFit="1" customWidth="1"/>
    <col min="8844" max="8844" width="9" bestFit="1" customWidth="1"/>
    <col min="8845" max="8845" width="5" bestFit="1" customWidth="1"/>
    <col min="8846" max="8846" width="9.9296875" bestFit="1" customWidth="1"/>
    <col min="8847" max="8847" width="5" bestFit="1" customWidth="1"/>
    <col min="8848" max="8848" width="9" bestFit="1" customWidth="1"/>
    <col min="8849" max="8849" width="7.9296875" bestFit="1" customWidth="1"/>
    <col min="8850" max="8851" width="5" bestFit="1" customWidth="1"/>
    <col min="8852" max="8852" width="9.9296875" bestFit="1" customWidth="1"/>
    <col min="8853" max="8854" width="5" bestFit="1" customWidth="1"/>
    <col min="8855" max="8855" width="9" bestFit="1" customWidth="1"/>
    <col min="8856" max="8857" width="9.9296875" bestFit="1" customWidth="1"/>
    <col min="8858" max="8858" width="5" bestFit="1" customWidth="1"/>
    <col min="8859" max="8859" width="9.9296875" bestFit="1" customWidth="1"/>
    <col min="8860" max="8860" width="7.9296875" bestFit="1" customWidth="1"/>
    <col min="8861" max="8862" width="9.9296875" bestFit="1" customWidth="1"/>
    <col min="8863" max="8863" width="7" bestFit="1" customWidth="1"/>
    <col min="8864" max="8864" width="9.9296875" bestFit="1" customWidth="1"/>
    <col min="8865" max="8865" width="5" bestFit="1" customWidth="1"/>
    <col min="8866" max="8866" width="9.9296875" bestFit="1" customWidth="1"/>
    <col min="8867" max="8867" width="5" bestFit="1" customWidth="1"/>
    <col min="8868" max="8868" width="9" bestFit="1" customWidth="1"/>
    <col min="8869" max="8869" width="7" bestFit="1" customWidth="1"/>
    <col min="8870" max="8870" width="5" bestFit="1" customWidth="1"/>
    <col min="8871" max="8871" width="9.9296875" bestFit="1" customWidth="1"/>
    <col min="8872" max="8872" width="7.9296875" bestFit="1" customWidth="1"/>
    <col min="8873" max="8873" width="5" bestFit="1" customWidth="1"/>
    <col min="8874" max="8874" width="9.9296875" bestFit="1" customWidth="1"/>
    <col min="8875" max="8875" width="7.9296875" bestFit="1" customWidth="1"/>
    <col min="8876" max="8877" width="9.9296875" bestFit="1" customWidth="1"/>
    <col min="8878" max="8878" width="5" bestFit="1" customWidth="1"/>
    <col min="8879" max="8879" width="9.9296875" bestFit="1" customWidth="1"/>
    <col min="8880" max="8880" width="7.9296875" bestFit="1" customWidth="1"/>
    <col min="8881" max="8881" width="9.9296875" bestFit="1" customWidth="1"/>
    <col min="8882" max="8882" width="7.9296875" bestFit="1" customWidth="1"/>
    <col min="8883" max="8883" width="5" bestFit="1" customWidth="1"/>
    <col min="8884" max="8887" width="9" bestFit="1" customWidth="1"/>
    <col min="8888" max="8890" width="5" bestFit="1" customWidth="1"/>
    <col min="8891" max="8891" width="9.9296875" bestFit="1" customWidth="1"/>
    <col min="8892" max="8892" width="7.9296875" bestFit="1" customWidth="1"/>
    <col min="8893" max="8893" width="9" bestFit="1" customWidth="1"/>
    <col min="8894" max="8894" width="7" bestFit="1" customWidth="1"/>
    <col min="8895" max="8895" width="5" bestFit="1" customWidth="1"/>
    <col min="8896" max="8896" width="9.9296875" bestFit="1" customWidth="1"/>
    <col min="8897" max="8897" width="5" bestFit="1" customWidth="1"/>
    <col min="8898" max="8898" width="7" bestFit="1" customWidth="1"/>
    <col min="8899" max="8899" width="9" bestFit="1" customWidth="1"/>
    <col min="8900" max="8900" width="5" bestFit="1" customWidth="1"/>
    <col min="8901" max="8901" width="7.9296875" bestFit="1" customWidth="1"/>
    <col min="8902" max="8902" width="9.9296875" bestFit="1" customWidth="1"/>
    <col min="8903" max="8904" width="9" bestFit="1" customWidth="1"/>
    <col min="8905" max="8905" width="7" bestFit="1" customWidth="1"/>
    <col min="8906" max="8907" width="9.9296875" bestFit="1" customWidth="1"/>
    <col min="8908" max="8909" width="7.9296875" bestFit="1" customWidth="1"/>
    <col min="8910" max="8910" width="9.9296875" bestFit="1" customWidth="1"/>
    <col min="8911" max="8911" width="5" bestFit="1" customWidth="1"/>
    <col min="8912" max="8912" width="9" bestFit="1" customWidth="1"/>
    <col min="8913" max="8914" width="9.9296875" bestFit="1" customWidth="1"/>
    <col min="8915" max="8916" width="5" bestFit="1" customWidth="1"/>
    <col min="8917" max="8917" width="9.9296875" bestFit="1" customWidth="1"/>
    <col min="8918" max="8918" width="9" bestFit="1" customWidth="1"/>
    <col min="8919" max="8920" width="9.9296875" bestFit="1" customWidth="1"/>
    <col min="8921" max="8921" width="7" bestFit="1" customWidth="1"/>
    <col min="8922" max="8922" width="9.9296875" bestFit="1" customWidth="1"/>
    <col min="8923" max="8923" width="5" bestFit="1" customWidth="1"/>
    <col min="8924" max="8924" width="9.9296875" bestFit="1" customWidth="1"/>
    <col min="8925" max="8925" width="7" bestFit="1" customWidth="1"/>
    <col min="8926" max="8926" width="7.9296875" bestFit="1" customWidth="1"/>
    <col min="8927" max="8927" width="9.9296875" bestFit="1" customWidth="1"/>
    <col min="8928" max="8928" width="5" bestFit="1" customWidth="1"/>
    <col min="8929" max="8929" width="9.9296875" bestFit="1" customWidth="1"/>
    <col min="8930" max="8930" width="7.9296875" bestFit="1" customWidth="1"/>
    <col min="8931" max="8931" width="9.9296875" bestFit="1" customWidth="1"/>
    <col min="8932" max="8932" width="9" bestFit="1" customWidth="1"/>
    <col min="8933" max="8933" width="7" bestFit="1" customWidth="1"/>
    <col min="8934" max="8934" width="7.9296875" bestFit="1" customWidth="1"/>
    <col min="8935" max="8935" width="5" bestFit="1" customWidth="1"/>
    <col min="8936" max="8936" width="9.9296875" bestFit="1" customWidth="1"/>
    <col min="8937" max="8937" width="9" bestFit="1" customWidth="1"/>
    <col min="8938" max="8939" width="5" bestFit="1" customWidth="1"/>
    <col min="8940" max="8940" width="9.9296875" bestFit="1" customWidth="1"/>
    <col min="8941" max="8941" width="9" bestFit="1" customWidth="1"/>
    <col min="8942" max="8942" width="5" bestFit="1" customWidth="1"/>
    <col min="8943" max="8943" width="9.9296875" bestFit="1" customWidth="1"/>
    <col min="8944" max="8944" width="5" bestFit="1" customWidth="1"/>
    <col min="8945" max="8945" width="7.9296875" bestFit="1" customWidth="1"/>
    <col min="8946" max="8946" width="5" bestFit="1" customWidth="1"/>
    <col min="8947" max="8947" width="9" bestFit="1" customWidth="1"/>
    <col min="8948" max="8948" width="9.9296875" bestFit="1" customWidth="1"/>
    <col min="8949" max="8949" width="7.9296875" bestFit="1" customWidth="1"/>
    <col min="8950" max="8950" width="9.9296875" bestFit="1" customWidth="1"/>
    <col min="8951" max="8951" width="5" bestFit="1" customWidth="1"/>
    <col min="8952" max="8952" width="9.9296875" bestFit="1" customWidth="1"/>
    <col min="8953" max="8953" width="5" bestFit="1" customWidth="1"/>
    <col min="8954" max="8955" width="9.9296875" bestFit="1" customWidth="1"/>
    <col min="8956" max="8956" width="7.9296875" bestFit="1" customWidth="1"/>
    <col min="8957" max="8959" width="5" bestFit="1" customWidth="1"/>
    <col min="8960" max="8960" width="9.9296875" bestFit="1" customWidth="1"/>
    <col min="8961" max="8961" width="5" bestFit="1" customWidth="1"/>
    <col min="8962" max="8962" width="9" bestFit="1" customWidth="1"/>
    <col min="8963" max="8963" width="7.9296875" bestFit="1" customWidth="1"/>
    <col min="8964" max="8965" width="9.9296875" bestFit="1" customWidth="1"/>
    <col min="8966" max="8967" width="5" bestFit="1" customWidth="1"/>
    <col min="8968" max="8969" width="9.9296875" bestFit="1" customWidth="1"/>
    <col min="8970" max="8970" width="7.9296875" bestFit="1" customWidth="1"/>
    <col min="8971" max="8972" width="9.9296875" bestFit="1" customWidth="1"/>
    <col min="8973" max="8973" width="5" bestFit="1" customWidth="1"/>
    <col min="8974" max="8975" width="9.9296875" bestFit="1" customWidth="1"/>
    <col min="8976" max="8976" width="5" bestFit="1" customWidth="1"/>
    <col min="8977" max="8978" width="9.9296875" bestFit="1" customWidth="1"/>
    <col min="8979" max="8979" width="7.9296875" bestFit="1" customWidth="1"/>
    <col min="8980" max="8981" width="5" bestFit="1" customWidth="1"/>
    <col min="8982" max="8982" width="9.9296875" bestFit="1" customWidth="1"/>
    <col min="8983" max="8983" width="7" bestFit="1" customWidth="1"/>
    <col min="8984" max="8984" width="9.9296875" bestFit="1" customWidth="1"/>
    <col min="8985" max="8985" width="5" bestFit="1" customWidth="1"/>
    <col min="8986" max="8986" width="9" bestFit="1" customWidth="1"/>
    <col min="8987" max="8987" width="7.9296875" bestFit="1" customWidth="1"/>
    <col min="8988" max="8988" width="9.9296875" bestFit="1" customWidth="1"/>
    <col min="8989" max="8989" width="5" bestFit="1" customWidth="1"/>
    <col min="8990" max="8990" width="7" bestFit="1" customWidth="1"/>
    <col min="8991" max="8991" width="9.9296875" bestFit="1" customWidth="1"/>
    <col min="8992" max="8993" width="5" bestFit="1" customWidth="1"/>
    <col min="8994" max="8994" width="9.9296875" bestFit="1" customWidth="1"/>
    <col min="8995" max="8996" width="5" bestFit="1" customWidth="1"/>
    <col min="8997" max="8998" width="9.9296875" bestFit="1" customWidth="1"/>
    <col min="8999" max="8999" width="5" bestFit="1" customWidth="1"/>
    <col min="9000" max="9000" width="9" bestFit="1" customWidth="1"/>
    <col min="9001" max="9002" width="9.9296875" bestFit="1" customWidth="1"/>
    <col min="9003" max="9003" width="5" bestFit="1" customWidth="1"/>
    <col min="9004" max="9004" width="9.9296875" bestFit="1" customWidth="1"/>
    <col min="9005" max="9006" width="7" bestFit="1" customWidth="1"/>
    <col min="9007" max="9007" width="5" bestFit="1" customWidth="1"/>
    <col min="9008" max="9008" width="9.9296875" bestFit="1" customWidth="1"/>
    <col min="9009" max="9009" width="7.9296875" bestFit="1" customWidth="1"/>
    <col min="9010" max="9010" width="9.9296875" bestFit="1" customWidth="1"/>
    <col min="9011" max="9011" width="9" bestFit="1" customWidth="1"/>
    <col min="9012" max="9012" width="9.9296875" bestFit="1" customWidth="1"/>
    <col min="9013" max="9013" width="5" bestFit="1" customWidth="1"/>
    <col min="9014" max="9014" width="9.9296875" bestFit="1" customWidth="1"/>
    <col min="9015" max="9015" width="9" bestFit="1" customWidth="1"/>
    <col min="9016" max="9016" width="5" bestFit="1" customWidth="1"/>
    <col min="9017" max="9017" width="9.9296875" bestFit="1" customWidth="1"/>
    <col min="9018" max="9018" width="9" bestFit="1" customWidth="1"/>
    <col min="9019" max="9020" width="9.9296875" bestFit="1" customWidth="1"/>
    <col min="9021" max="9021" width="9" bestFit="1" customWidth="1"/>
    <col min="9022" max="9022" width="5" bestFit="1" customWidth="1"/>
    <col min="9023" max="9023" width="7.9296875" bestFit="1" customWidth="1"/>
    <col min="9024" max="9024" width="9.9296875" bestFit="1" customWidth="1"/>
    <col min="9025" max="9028" width="5" bestFit="1" customWidth="1"/>
    <col min="9029" max="9029" width="7.9296875" bestFit="1" customWidth="1"/>
    <col min="9030" max="9031" width="5" bestFit="1" customWidth="1"/>
    <col min="9032" max="9032" width="9.9296875" bestFit="1" customWidth="1"/>
    <col min="9033" max="9033" width="5" bestFit="1" customWidth="1"/>
    <col min="9034" max="9034" width="6.06640625" bestFit="1" customWidth="1"/>
    <col min="9035" max="9035" width="11" bestFit="1" customWidth="1"/>
    <col min="9036" max="9036" width="9.9296875" bestFit="1" customWidth="1"/>
    <col min="9037" max="9037" width="11" bestFit="1" customWidth="1"/>
    <col min="9038" max="9038" width="6.06640625" bestFit="1" customWidth="1"/>
    <col min="9039" max="9039" width="11" bestFit="1" customWidth="1"/>
    <col min="9040" max="9040" width="7.9296875" bestFit="1" customWidth="1"/>
    <col min="9041" max="9041" width="6.06640625" bestFit="1" customWidth="1"/>
    <col min="9042" max="9042" width="9.9296875" bestFit="1" customWidth="1"/>
    <col min="9043" max="9043" width="7.9296875" bestFit="1" customWidth="1"/>
    <col min="9044" max="9044" width="9" bestFit="1" customWidth="1"/>
    <col min="9045" max="9045" width="11" bestFit="1" customWidth="1"/>
    <col min="9046" max="9046" width="9" bestFit="1" customWidth="1"/>
    <col min="9047" max="9048" width="6.06640625" bestFit="1" customWidth="1"/>
    <col min="9049" max="9049" width="11" bestFit="1" customWidth="1"/>
    <col min="9050" max="9051" width="6.06640625" bestFit="1" customWidth="1"/>
    <col min="9052" max="9052" width="7.9296875" bestFit="1" customWidth="1"/>
    <col min="9053" max="9053" width="11" bestFit="1" customWidth="1"/>
    <col min="9054" max="9054" width="9.9296875" bestFit="1" customWidth="1"/>
    <col min="9055" max="9055" width="6.06640625" bestFit="1" customWidth="1"/>
    <col min="9056" max="9056" width="7.9296875" bestFit="1" customWidth="1"/>
    <col min="9057" max="9057" width="11" bestFit="1" customWidth="1"/>
    <col min="9058" max="9060" width="6.06640625" bestFit="1" customWidth="1"/>
    <col min="9061" max="9061" width="11" bestFit="1" customWidth="1"/>
    <col min="9062" max="9063" width="6.06640625" bestFit="1" customWidth="1"/>
    <col min="9064" max="9064" width="11" bestFit="1" customWidth="1"/>
    <col min="9065" max="9065" width="9" bestFit="1" customWidth="1"/>
    <col min="9066" max="9067" width="6.06640625" bestFit="1" customWidth="1"/>
    <col min="9068" max="9068" width="9.9296875" bestFit="1" customWidth="1"/>
    <col min="9069" max="9069" width="11" bestFit="1" customWidth="1"/>
    <col min="9070" max="9070" width="6.06640625" bestFit="1" customWidth="1"/>
    <col min="9071" max="9072" width="11" bestFit="1" customWidth="1"/>
    <col min="9073" max="9074" width="6.06640625" bestFit="1" customWidth="1"/>
    <col min="9075" max="9075" width="11" bestFit="1" customWidth="1"/>
    <col min="9076" max="9078" width="6.06640625" bestFit="1" customWidth="1"/>
    <col min="9079" max="9081" width="11" bestFit="1" customWidth="1"/>
    <col min="9082" max="9082" width="6.06640625" bestFit="1" customWidth="1"/>
    <col min="9083" max="9083" width="9" bestFit="1" customWidth="1"/>
    <col min="9084" max="9084" width="6.06640625" bestFit="1" customWidth="1"/>
    <col min="9085" max="9086" width="11" bestFit="1" customWidth="1"/>
    <col min="9087" max="9087" width="9.9296875" bestFit="1" customWidth="1"/>
    <col min="9088" max="9088" width="6.06640625" bestFit="1" customWidth="1"/>
    <col min="9089" max="9089" width="9.9296875" bestFit="1" customWidth="1"/>
    <col min="9090" max="9090" width="11" bestFit="1" customWidth="1"/>
    <col min="9091" max="9091" width="9.9296875" bestFit="1" customWidth="1"/>
    <col min="9092" max="9092" width="11" bestFit="1" customWidth="1"/>
    <col min="9093" max="9093" width="9" bestFit="1" customWidth="1"/>
    <col min="9094" max="9095" width="6.06640625" bestFit="1" customWidth="1"/>
    <col min="9096" max="9097" width="11" bestFit="1" customWidth="1"/>
    <col min="9098" max="9098" width="9.9296875" bestFit="1" customWidth="1"/>
    <col min="9099" max="9099" width="9" bestFit="1" customWidth="1"/>
    <col min="9100" max="9101" width="11" bestFit="1" customWidth="1"/>
    <col min="9102" max="9102" width="9" bestFit="1" customWidth="1"/>
    <col min="9103" max="9103" width="6.06640625" bestFit="1" customWidth="1"/>
    <col min="9104" max="9104" width="9.9296875" bestFit="1" customWidth="1"/>
    <col min="9105" max="9106" width="6.06640625" bestFit="1" customWidth="1"/>
    <col min="9107" max="9108" width="11" bestFit="1" customWidth="1"/>
    <col min="9109" max="9109" width="9" bestFit="1" customWidth="1"/>
    <col min="9110" max="9110" width="6.06640625" bestFit="1" customWidth="1"/>
    <col min="9111" max="9111" width="11" bestFit="1" customWidth="1"/>
    <col min="9112" max="9113" width="6.06640625" bestFit="1" customWidth="1"/>
    <col min="9114" max="9114" width="11" bestFit="1" customWidth="1"/>
    <col min="9115" max="9115" width="6.06640625" bestFit="1" customWidth="1"/>
    <col min="9116" max="9116" width="9" bestFit="1" customWidth="1"/>
    <col min="9117" max="9117" width="9.9296875" bestFit="1" customWidth="1"/>
    <col min="9118" max="9118" width="7.9296875" bestFit="1" customWidth="1"/>
    <col min="9119" max="9119" width="11" bestFit="1" customWidth="1"/>
    <col min="9120" max="9120" width="9" bestFit="1" customWidth="1"/>
    <col min="9121" max="9121" width="6.06640625" bestFit="1" customWidth="1"/>
    <col min="9122" max="9122" width="11" bestFit="1" customWidth="1"/>
    <col min="9123" max="9125" width="6.06640625" bestFit="1" customWidth="1"/>
    <col min="9126" max="9126" width="11" bestFit="1" customWidth="1"/>
    <col min="9127" max="9127" width="6.06640625" bestFit="1" customWidth="1"/>
    <col min="9128" max="9128" width="9.9296875" bestFit="1" customWidth="1"/>
    <col min="9129" max="9129" width="6.06640625" bestFit="1" customWidth="1"/>
    <col min="9130" max="9130" width="11" bestFit="1" customWidth="1"/>
    <col min="9131" max="9131" width="9.9296875" bestFit="1" customWidth="1"/>
    <col min="9132" max="9132" width="9" bestFit="1" customWidth="1"/>
    <col min="9133" max="9133" width="9.9296875" bestFit="1" customWidth="1"/>
    <col min="9134" max="9134" width="11" bestFit="1" customWidth="1"/>
    <col min="9135" max="9135" width="9.9296875" bestFit="1" customWidth="1"/>
    <col min="9136" max="9136" width="6.06640625" bestFit="1" customWidth="1"/>
    <col min="9137" max="9137" width="11" bestFit="1" customWidth="1"/>
    <col min="9138" max="9138" width="6.06640625" bestFit="1" customWidth="1"/>
    <col min="9139" max="9139" width="11" bestFit="1" customWidth="1"/>
    <col min="9140" max="9140" width="9" bestFit="1" customWidth="1"/>
    <col min="9141" max="9142" width="9.9296875" bestFit="1" customWidth="1"/>
    <col min="9143" max="9143" width="11" bestFit="1" customWidth="1"/>
    <col min="9144" max="9144" width="6.06640625" bestFit="1" customWidth="1"/>
    <col min="9145" max="9145" width="11" bestFit="1" customWidth="1"/>
    <col min="9146" max="9147" width="9.9296875" bestFit="1" customWidth="1"/>
    <col min="9148" max="9148" width="6.06640625" bestFit="1" customWidth="1"/>
    <col min="9149" max="9149" width="7.9296875" bestFit="1" customWidth="1"/>
    <col min="9150" max="9150" width="9" bestFit="1" customWidth="1"/>
    <col min="9151" max="9151" width="11" bestFit="1" customWidth="1"/>
    <col min="9152" max="9152" width="9.9296875" bestFit="1" customWidth="1"/>
    <col min="9153" max="9154" width="11" bestFit="1" customWidth="1"/>
    <col min="9155" max="9155" width="7.9296875" bestFit="1" customWidth="1"/>
    <col min="9156" max="9156" width="6.06640625" bestFit="1" customWidth="1"/>
    <col min="9157" max="9157" width="7.9296875" bestFit="1" customWidth="1"/>
    <col min="9158" max="9158" width="11" bestFit="1" customWidth="1"/>
    <col min="9159" max="9159" width="6.06640625" bestFit="1" customWidth="1"/>
    <col min="9160" max="9160" width="9" bestFit="1" customWidth="1"/>
    <col min="9161" max="9161" width="11" bestFit="1" customWidth="1"/>
    <col min="9162" max="9163" width="9.9296875" bestFit="1" customWidth="1"/>
    <col min="9164" max="9164" width="11" bestFit="1" customWidth="1"/>
    <col min="9165" max="9165" width="9.9296875" bestFit="1" customWidth="1"/>
    <col min="9166" max="9166" width="6.06640625" bestFit="1" customWidth="1"/>
    <col min="9167" max="9167" width="9" bestFit="1" customWidth="1"/>
    <col min="9168" max="9168" width="11" bestFit="1" customWidth="1"/>
    <col min="9169" max="9169" width="9.9296875" bestFit="1" customWidth="1"/>
    <col min="9170" max="9170" width="11" bestFit="1" customWidth="1"/>
    <col min="9171" max="9171" width="6.06640625" bestFit="1" customWidth="1"/>
    <col min="9172" max="9172" width="9" bestFit="1" customWidth="1"/>
    <col min="9173" max="9174" width="6.06640625" bestFit="1" customWidth="1"/>
    <col min="9175" max="9175" width="7.9296875" bestFit="1" customWidth="1"/>
    <col min="9176" max="9176" width="9.9296875" bestFit="1" customWidth="1"/>
    <col min="9177" max="9177" width="7.9296875" bestFit="1" customWidth="1"/>
    <col min="9178" max="9178" width="6.06640625" bestFit="1" customWidth="1"/>
    <col min="9179" max="9179" width="11" bestFit="1" customWidth="1"/>
    <col min="9180" max="9180" width="6.06640625" bestFit="1" customWidth="1"/>
    <col min="9181" max="9181" width="9.9296875" bestFit="1" customWidth="1"/>
    <col min="9182" max="9182" width="11" bestFit="1" customWidth="1"/>
    <col min="9183" max="9183" width="9" bestFit="1" customWidth="1"/>
    <col min="9184" max="9186" width="6.06640625" bestFit="1" customWidth="1"/>
    <col min="9187" max="9187" width="11" bestFit="1" customWidth="1"/>
    <col min="9188" max="9190" width="6.06640625" bestFit="1" customWidth="1"/>
    <col min="9191" max="9191" width="9" bestFit="1" customWidth="1"/>
    <col min="9192" max="9192" width="11" bestFit="1" customWidth="1"/>
    <col min="9193" max="9193" width="9.9296875" bestFit="1" customWidth="1"/>
    <col min="9194" max="9196" width="11" bestFit="1" customWidth="1"/>
    <col min="9197" max="9197" width="7.9296875" bestFit="1" customWidth="1"/>
    <col min="9198" max="9198" width="6.06640625" bestFit="1" customWidth="1"/>
    <col min="9199" max="9199" width="11" bestFit="1" customWidth="1"/>
    <col min="9200" max="9200" width="9" bestFit="1" customWidth="1"/>
    <col min="9201" max="9201" width="6.06640625" bestFit="1" customWidth="1"/>
    <col min="9202" max="9202" width="9.9296875" bestFit="1" customWidth="1"/>
    <col min="9203" max="9203" width="9" bestFit="1" customWidth="1"/>
    <col min="9204" max="9206" width="11" bestFit="1" customWidth="1"/>
    <col min="9207" max="9207" width="9" bestFit="1" customWidth="1"/>
    <col min="9208" max="9209" width="9.9296875" bestFit="1" customWidth="1"/>
    <col min="9210" max="9210" width="6.06640625" bestFit="1" customWidth="1"/>
    <col min="9211" max="9211" width="11" bestFit="1" customWidth="1"/>
    <col min="9212" max="9212" width="9.9296875" bestFit="1" customWidth="1"/>
    <col min="9213" max="9214" width="11" bestFit="1" customWidth="1"/>
    <col min="9215" max="9215" width="9.9296875" bestFit="1" customWidth="1"/>
    <col min="9216" max="9216" width="7.9296875" bestFit="1" customWidth="1"/>
    <col min="9217" max="9218" width="11" bestFit="1" customWidth="1"/>
    <col min="9219" max="9219" width="7.9296875" bestFit="1" customWidth="1"/>
    <col min="9220" max="9220" width="9.9296875" bestFit="1" customWidth="1"/>
    <col min="9221" max="9221" width="7.9296875" bestFit="1" customWidth="1"/>
    <col min="9222" max="9222" width="6.06640625" bestFit="1" customWidth="1"/>
    <col min="9223" max="9223" width="9" bestFit="1" customWidth="1"/>
    <col min="9224" max="9224" width="7.9296875" bestFit="1" customWidth="1"/>
    <col min="9225" max="9225" width="9" bestFit="1" customWidth="1"/>
    <col min="9226" max="9229" width="9.9296875" bestFit="1" customWidth="1"/>
    <col min="9230" max="9230" width="11" bestFit="1" customWidth="1"/>
    <col min="9231" max="9232" width="9.9296875" bestFit="1" customWidth="1"/>
    <col min="9233" max="9234" width="11" bestFit="1" customWidth="1"/>
    <col min="9235" max="9235" width="9" bestFit="1" customWidth="1"/>
    <col min="9236" max="9237" width="6.06640625" bestFit="1" customWidth="1"/>
    <col min="9238" max="9238" width="9.9296875" bestFit="1" customWidth="1"/>
    <col min="9239" max="9242" width="11" bestFit="1" customWidth="1"/>
    <col min="9243" max="9243" width="9.9296875" bestFit="1" customWidth="1"/>
    <col min="9244" max="9244" width="6.06640625" bestFit="1" customWidth="1"/>
    <col min="9245" max="9245" width="11" bestFit="1" customWidth="1"/>
    <col min="9246" max="9246" width="9" bestFit="1" customWidth="1"/>
    <col min="9247" max="9247" width="6.06640625" bestFit="1" customWidth="1"/>
    <col min="9248" max="9248" width="9" bestFit="1" customWidth="1"/>
    <col min="9249" max="9249" width="6.06640625" bestFit="1" customWidth="1"/>
    <col min="9250" max="9251" width="7.9296875" bestFit="1" customWidth="1"/>
    <col min="9252" max="9252" width="9.9296875" bestFit="1" customWidth="1"/>
    <col min="9253" max="9253" width="9" bestFit="1" customWidth="1"/>
    <col min="9254" max="9254" width="6.06640625" bestFit="1" customWidth="1"/>
    <col min="9255" max="9256" width="9" bestFit="1" customWidth="1"/>
    <col min="9257" max="9257" width="11" bestFit="1" customWidth="1"/>
    <col min="9258" max="9259" width="6.06640625" bestFit="1" customWidth="1"/>
    <col min="9260" max="9260" width="9.9296875" bestFit="1" customWidth="1"/>
    <col min="9261" max="9261" width="11" bestFit="1" customWidth="1"/>
    <col min="9262" max="9263" width="9" bestFit="1" customWidth="1"/>
    <col min="9264" max="9265" width="11" bestFit="1" customWidth="1"/>
    <col min="9266" max="9266" width="6.06640625" bestFit="1" customWidth="1"/>
    <col min="9267" max="9267" width="11" bestFit="1" customWidth="1"/>
    <col min="9268" max="9268" width="6.06640625" bestFit="1" customWidth="1"/>
    <col min="9269" max="9269" width="11" bestFit="1" customWidth="1"/>
    <col min="9270" max="9270" width="9.9296875" bestFit="1" customWidth="1"/>
    <col min="9271" max="9271" width="11" bestFit="1" customWidth="1"/>
    <col min="9272" max="9272" width="9" bestFit="1" customWidth="1"/>
    <col min="9273" max="9273" width="6.06640625" bestFit="1" customWidth="1"/>
    <col min="9274" max="9274" width="7.9296875" bestFit="1" customWidth="1"/>
    <col min="9275" max="9275" width="9" bestFit="1" customWidth="1"/>
    <col min="9276" max="9276" width="11" bestFit="1" customWidth="1"/>
    <col min="9277" max="9277" width="6.06640625" bestFit="1" customWidth="1"/>
    <col min="9278" max="9278" width="11" bestFit="1" customWidth="1"/>
    <col min="9279" max="9279" width="12" bestFit="1" customWidth="1"/>
    <col min="9280" max="9280" width="9.9296875" bestFit="1" customWidth="1"/>
    <col min="9281" max="9281" width="7" bestFit="1" customWidth="1"/>
    <col min="9282" max="9283" width="12" bestFit="1" customWidth="1"/>
    <col min="9284" max="9284" width="7.265625" bestFit="1" customWidth="1"/>
    <col min="9285" max="9285" width="11.265625" bestFit="1" customWidth="1"/>
  </cols>
  <sheetData>
    <row r="1" spans="1:18" ht="25.5" customHeight="1" x14ac:dyDescent="0.45">
      <c r="A1" s="18" t="s">
        <v>3659</v>
      </c>
      <c r="B1" s="18"/>
      <c r="C1" s="19" t="s">
        <v>3987</v>
      </c>
      <c r="E1" s="18" t="s">
        <v>3988</v>
      </c>
    </row>
    <row r="2" spans="1:18" ht="18" x14ac:dyDescent="0.55000000000000004">
      <c r="A2" t="s">
        <v>3989</v>
      </c>
      <c r="B2" t="e">
        <f>VLOOKUP(A2,Register!$B$4:$F$738,10)</f>
        <v>#REF!</v>
      </c>
      <c r="C2" s="20">
        <v>655285.80350000027</v>
      </c>
      <c r="E2" s="35">
        <f>SUM(C2:C566)</f>
        <v>13259175.606299989</v>
      </c>
      <c r="F2" s="36" t="s">
        <v>3990</v>
      </c>
      <c r="G2" s="21" t="s">
        <v>3991</v>
      </c>
      <c r="H2">
        <f>COUNTIFS($C$2:$C$566, "&gt;0", $C$2:$C$566, "&lt;100")</f>
        <v>33</v>
      </c>
      <c r="I2" s="20">
        <f>SUMIFS($C$2:$C$566,$C$2:$C$566, "&gt;0", $C$2:$C$566, "&lt;100")</f>
        <v>1811.1209999999999</v>
      </c>
    </row>
    <row r="3" spans="1:18" x14ac:dyDescent="0.45">
      <c r="A3" t="s">
        <v>1804</v>
      </c>
      <c r="B3" t="e">
        <f>VLOOKUP(A3,Register!$B$4:$F$738,10)</f>
        <v>#REF!</v>
      </c>
      <c r="C3" s="20">
        <v>577628.88000000012</v>
      </c>
      <c r="G3" s="21" t="s">
        <v>3992</v>
      </c>
      <c r="H3">
        <f>COUNTIFS($C$2:$C$566, "&gt;100", $C$2:$C$566, "&lt;1000")</f>
        <v>134</v>
      </c>
      <c r="I3" s="20">
        <f>SUMIFS($C$2:$C$566,$C$2:$C$566, "&gt;100", $C$2:$C$566, "&lt;1000")</f>
        <v>60038.901299999983</v>
      </c>
    </row>
    <row r="4" spans="1:18" x14ac:dyDescent="0.45">
      <c r="A4" t="s">
        <v>3993</v>
      </c>
      <c r="B4" t="e">
        <f>VLOOKUP(A4,Register!$B$4:$F$738,10)</f>
        <v>#REF!</v>
      </c>
      <c r="C4" s="20">
        <v>519851.25</v>
      </c>
      <c r="E4" s="18" t="s">
        <v>3994</v>
      </c>
      <c r="G4" s="21" t="s">
        <v>3995</v>
      </c>
      <c r="H4">
        <f>COUNTIFS($C$2:$C$566, "&gt;1000", $C$2:$C$566, "&lt;10000")</f>
        <v>231</v>
      </c>
      <c r="I4" s="20">
        <f>SUMIFS($C$2:$C$566,$C$2:$C$566, "&gt;1000", $C$2:$C$566, "&lt;10000")</f>
        <v>973511.40539999993</v>
      </c>
    </row>
    <row r="5" spans="1:18" x14ac:dyDescent="0.45">
      <c r="A5" t="s">
        <v>3996</v>
      </c>
      <c r="B5" t="e">
        <f>VLOOKUP(A5,Register!$B$4:$F$738,10)</f>
        <v>#REF!</v>
      </c>
      <c r="C5" s="20">
        <v>490934.97450000024</v>
      </c>
      <c r="E5">
        <f>COUNTA(A2:A566)</f>
        <v>565</v>
      </c>
      <c r="G5" s="21" t="s">
        <v>3997</v>
      </c>
      <c r="H5">
        <f>COUNTIFS($C$2:$C$566, "&gt;10000", $C$2:$C$566, "&lt;50000")</f>
        <v>104</v>
      </c>
      <c r="I5" s="20">
        <f>SUMIFS($C$2:$C$566,$C$2:$C$566, "&gt;10000", $C$2:$C$566, "&lt;50000")</f>
        <v>2366229.3909</v>
      </c>
    </row>
    <row r="6" spans="1:18" x14ac:dyDescent="0.45">
      <c r="A6" t="s">
        <v>3998</v>
      </c>
      <c r="B6" t="e">
        <f>VLOOKUP(A6,Register!$B$4:$F$738,10)</f>
        <v>#REF!</v>
      </c>
      <c r="C6" s="20">
        <v>405660.07000000076</v>
      </c>
      <c r="G6" s="21" t="s">
        <v>3999</v>
      </c>
      <c r="H6">
        <f>COUNTIFS($C$2:$C$566, "&gt;50000", $C$2:$C$566, "&lt;100000")</f>
        <v>29</v>
      </c>
      <c r="I6" s="20">
        <f>SUMIFS($C$2:$C$566,$C$2:$C$566, "&gt;50000", $C$2:$C$566, "&lt;100000")</f>
        <v>2037575.0036999998</v>
      </c>
    </row>
    <row r="7" spans="1:18" x14ac:dyDescent="0.45">
      <c r="A7" t="s">
        <v>775</v>
      </c>
      <c r="B7" t="e">
        <f>VLOOKUP(A7,Register!$B$4:$F$738,10)</f>
        <v>#REF!</v>
      </c>
      <c r="C7" s="20">
        <v>369623.28880000004</v>
      </c>
      <c r="G7" s="21" t="s">
        <v>4000</v>
      </c>
      <c r="H7">
        <f>COUNTIFS($C$2:$C$566, "&gt;100000")</f>
        <v>34</v>
      </c>
      <c r="I7" s="20">
        <f>SUMIFS($C$2:$C$566,$C$2:$C$566, "&gt;100000")</f>
        <v>7820009.7840000028</v>
      </c>
    </row>
    <row r="8" spans="1:18" x14ac:dyDescent="0.45">
      <c r="A8" t="s">
        <v>2762</v>
      </c>
      <c r="B8" t="e">
        <f>VLOOKUP(A8,Register!$B$4:$F$738,10)</f>
        <v>#REF!</v>
      </c>
      <c r="C8" s="20">
        <v>356503.30729999999</v>
      </c>
    </row>
    <row r="9" spans="1:18" x14ac:dyDescent="0.45">
      <c r="A9" t="s">
        <v>4001</v>
      </c>
      <c r="B9" t="e">
        <f>VLOOKUP(A9,Register!$B$4:$F$738,10)</f>
        <v>#REF!</v>
      </c>
      <c r="C9" s="20">
        <v>336617</v>
      </c>
      <c r="E9" s="155"/>
      <c r="F9" s="155"/>
      <c r="G9" s="155"/>
      <c r="H9" s="155"/>
      <c r="I9" s="155"/>
      <c r="J9" s="155"/>
      <c r="K9" s="155"/>
      <c r="L9" s="155"/>
      <c r="M9" s="155"/>
      <c r="N9" s="155"/>
      <c r="O9" s="155"/>
      <c r="P9" s="155"/>
      <c r="Q9" s="155"/>
      <c r="R9" s="155"/>
    </row>
    <row r="10" spans="1:18" x14ac:dyDescent="0.45">
      <c r="A10" t="s">
        <v>4002</v>
      </c>
      <c r="B10" t="e">
        <f>VLOOKUP(A10,Register!$B$4:$F$738,10)</f>
        <v>#REF!</v>
      </c>
      <c r="C10" s="20">
        <v>302519.74120000011</v>
      </c>
      <c r="E10" s="155"/>
      <c r="F10" s="155"/>
      <c r="G10" s="155"/>
      <c r="H10" s="155"/>
      <c r="I10" s="155"/>
      <c r="J10" s="155"/>
      <c r="K10" s="155"/>
      <c r="L10" s="155"/>
      <c r="M10" s="155"/>
      <c r="N10" s="155"/>
      <c r="O10" s="155"/>
      <c r="P10" s="155"/>
      <c r="Q10" s="155"/>
      <c r="R10" s="155"/>
    </row>
    <row r="11" spans="1:18" x14ac:dyDescent="0.45">
      <c r="A11" t="s">
        <v>4003</v>
      </c>
      <c r="B11" t="e">
        <f>VLOOKUP(A11,Register!$B$4:$F$738,10)</f>
        <v>#REF!</v>
      </c>
      <c r="C11" s="20">
        <v>282357.72739999997</v>
      </c>
      <c r="E11" s="155"/>
      <c r="F11" s="155"/>
      <c r="G11" s="155"/>
      <c r="H11" s="155"/>
      <c r="I11" s="155"/>
      <c r="J11" s="155"/>
      <c r="K11" s="155"/>
      <c r="L11" s="155"/>
      <c r="M11" s="155"/>
      <c r="N11" s="155"/>
      <c r="O11" s="155"/>
      <c r="P11" s="155"/>
      <c r="Q11" s="155"/>
      <c r="R11" s="155"/>
    </row>
    <row r="12" spans="1:18" x14ac:dyDescent="0.45">
      <c r="A12" t="s">
        <v>2103</v>
      </c>
      <c r="B12" t="e">
        <f>VLOOKUP(A12,Register!$B$4:$F$738,10)</f>
        <v>#REF!</v>
      </c>
      <c r="C12" s="20">
        <v>269294.10869999946</v>
      </c>
      <c r="E12" s="155"/>
      <c r="F12" s="155"/>
      <c r="G12" s="155"/>
      <c r="H12" s="155"/>
      <c r="I12" s="155"/>
      <c r="J12" s="155"/>
      <c r="K12" s="155"/>
      <c r="L12" s="155"/>
      <c r="M12" s="155"/>
      <c r="N12" s="155"/>
      <c r="O12" s="155"/>
      <c r="P12" s="155"/>
      <c r="Q12" s="155"/>
      <c r="R12" s="155"/>
    </row>
    <row r="13" spans="1:18" x14ac:dyDescent="0.45">
      <c r="A13" t="s">
        <v>4004</v>
      </c>
      <c r="B13" t="e">
        <f>VLOOKUP(A13,Register!$B$4:$F$738,10)</f>
        <v>#REF!</v>
      </c>
      <c r="C13" s="20">
        <v>266362.82</v>
      </c>
      <c r="E13" s="155"/>
      <c r="F13" s="155"/>
      <c r="G13" s="155"/>
      <c r="H13" s="155"/>
      <c r="I13" s="155"/>
      <c r="J13" s="155"/>
      <c r="K13" s="155"/>
      <c r="L13" s="155"/>
      <c r="M13" s="155"/>
      <c r="N13" s="155"/>
      <c r="O13" s="155"/>
      <c r="P13" s="155"/>
      <c r="Q13" s="155"/>
      <c r="R13" s="155"/>
    </row>
    <row r="14" spans="1:18" x14ac:dyDescent="0.45">
      <c r="A14" t="s">
        <v>4005</v>
      </c>
      <c r="B14" t="e">
        <f>VLOOKUP(A14,Register!$B$4:$F$738,10)</f>
        <v>#REF!</v>
      </c>
      <c r="C14" s="20">
        <v>207798.57</v>
      </c>
      <c r="E14" s="155"/>
      <c r="F14" s="155"/>
      <c r="G14" s="155"/>
      <c r="H14" s="155"/>
      <c r="I14" s="155"/>
      <c r="J14" s="155"/>
      <c r="K14" s="155"/>
      <c r="L14" s="155"/>
      <c r="M14" s="155"/>
      <c r="N14" s="155"/>
      <c r="O14" s="155"/>
      <c r="P14" s="155"/>
      <c r="Q14" s="155"/>
      <c r="R14" s="155"/>
    </row>
    <row r="15" spans="1:18" x14ac:dyDescent="0.45">
      <c r="A15" t="s">
        <v>1800</v>
      </c>
      <c r="B15" t="e">
        <f>VLOOKUP(A15,Register!$B$4:$F$738,10)</f>
        <v>#REF!</v>
      </c>
      <c r="C15" s="20">
        <v>186491</v>
      </c>
      <c r="E15" s="155"/>
      <c r="F15" s="155"/>
      <c r="G15" s="155"/>
      <c r="H15" s="155"/>
      <c r="I15" s="155"/>
      <c r="J15" s="155"/>
      <c r="K15" s="155"/>
      <c r="L15" s="155"/>
      <c r="M15" s="155"/>
      <c r="N15" s="155"/>
      <c r="O15" s="155"/>
      <c r="P15" s="155"/>
      <c r="Q15" s="155"/>
      <c r="R15" s="155"/>
    </row>
    <row r="16" spans="1:18" x14ac:dyDescent="0.45">
      <c r="A16" t="s">
        <v>1928</v>
      </c>
      <c r="B16" t="e">
        <f>VLOOKUP(A16,Register!$B$4:$F$738,10)</f>
        <v>#REF!</v>
      </c>
      <c r="C16" s="20">
        <v>169946.4</v>
      </c>
      <c r="E16" s="155"/>
      <c r="F16" s="155"/>
      <c r="G16" s="155"/>
      <c r="H16" s="155"/>
      <c r="I16" s="155"/>
      <c r="J16" s="155"/>
      <c r="K16" s="155"/>
      <c r="L16" s="155"/>
      <c r="M16" s="155"/>
      <c r="N16" s="155"/>
      <c r="O16" s="155"/>
      <c r="P16" s="155"/>
      <c r="Q16" s="155"/>
      <c r="R16" s="155"/>
    </row>
    <row r="17" spans="1:18" x14ac:dyDescent="0.45">
      <c r="A17" t="s">
        <v>1377</v>
      </c>
      <c r="B17" t="e">
        <f>VLOOKUP(A17,Register!$B$4:$F$738,10)</f>
        <v>#REF!</v>
      </c>
      <c r="C17" s="20">
        <v>163867.45000000001</v>
      </c>
      <c r="E17" s="155"/>
      <c r="F17" s="155"/>
      <c r="G17" s="155"/>
      <c r="H17" s="155"/>
      <c r="I17" s="155"/>
      <c r="J17" s="155"/>
      <c r="K17" s="155"/>
      <c r="L17" s="155"/>
      <c r="M17" s="155"/>
      <c r="N17" s="155"/>
      <c r="O17" s="155"/>
      <c r="P17" s="155"/>
      <c r="Q17" s="155"/>
      <c r="R17" s="155"/>
    </row>
    <row r="18" spans="1:18" x14ac:dyDescent="0.45">
      <c r="A18" t="s">
        <v>772</v>
      </c>
      <c r="B18" t="e">
        <f>VLOOKUP(A18,Register!$B$4:$F$738,10)</f>
        <v>#REF!</v>
      </c>
      <c r="C18" s="20">
        <v>154511.70000000001</v>
      </c>
      <c r="E18" s="155"/>
      <c r="F18" s="155"/>
      <c r="G18" s="155"/>
      <c r="H18" s="155"/>
      <c r="I18" s="155"/>
      <c r="J18" s="155"/>
      <c r="K18" s="155"/>
      <c r="L18" s="155"/>
      <c r="M18" s="155"/>
      <c r="N18" s="155"/>
      <c r="O18" s="155"/>
      <c r="P18" s="155"/>
      <c r="Q18" s="155"/>
      <c r="R18" s="155"/>
    </row>
    <row r="19" spans="1:18" x14ac:dyDescent="0.45">
      <c r="A19" t="s">
        <v>4006</v>
      </c>
      <c r="B19" t="e">
        <f>VLOOKUP(A19,Register!$B$4:$F$738,10)</f>
        <v>#REF!</v>
      </c>
      <c r="C19" s="20">
        <v>142772.16169999997</v>
      </c>
      <c r="E19" s="155"/>
      <c r="F19" s="155"/>
      <c r="G19" s="155"/>
      <c r="H19" s="155"/>
      <c r="I19" s="155"/>
      <c r="J19" s="155"/>
      <c r="K19" s="155"/>
      <c r="L19" s="155"/>
      <c r="M19" s="155"/>
      <c r="N19" s="155"/>
      <c r="O19" s="155"/>
      <c r="P19" s="155"/>
      <c r="Q19" s="155"/>
      <c r="R19" s="155"/>
    </row>
    <row r="20" spans="1:18" x14ac:dyDescent="0.45">
      <c r="A20" t="s">
        <v>4007</v>
      </c>
      <c r="B20" t="e">
        <f>VLOOKUP(A20,Register!$B$4:$F$738,10)</f>
        <v>#REF!</v>
      </c>
      <c r="C20" s="20">
        <v>141941.6599999998</v>
      </c>
      <c r="E20" s="155"/>
      <c r="F20" s="155"/>
      <c r="G20" s="155"/>
      <c r="H20" s="155"/>
      <c r="I20" s="155"/>
      <c r="J20" s="155"/>
      <c r="K20" s="155"/>
      <c r="L20" s="155"/>
      <c r="M20" s="155"/>
      <c r="N20" s="155"/>
      <c r="O20" s="155"/>
      <c r="P20" s="155"/>
      <c r="Q20" s="155"/>
      <c r="R20" s="155"/>
    </row>
    <row r="21" spans="1:18" x14ac:dyDescent="0.45">
      <c r="A21" t="s">
        <v>4008</v>
      </c>
      <c r="B21" t="e">
        <f>VLOOKUP(A21,Register!$B$4:$F$738,10)</f>
        <v>#REF!</v>
      </c>
      <c r="C21" s="20">
        <v>140064.38000000003</v>
      </c>
      <c r="E21" s="155"/>
      <c r="F21" s="155"/>
      <c r="G21" s="155"/>
      <c r="H21" s="155"/>
      <c r="I21" s="155"/>
      <c r="J21" s="155"/>
      <c r="K21" s="155"/>
      <c r="L21" s="155"/>
      <c r="M21" s="155"/>
      <c r="N21" s="155"/>
      <c r="O21" s="155"/>
      <c r="P21" s="155"/>
      <c r="Q21" s="155"/>
      <c r="R21" s="155"/>
    </row>
    <row r="22" spans="1:18" x14ac:dyDescent="0.45">
      <c r="A22" t="s">
        <v>3652</v>
      </c>
      <c r="B22" t="e">
        <f>VLOOKUP(A22,Register!$B$4:$F$738,10)</f>
        <v>#REF!</v>
      </c>
      <c r="C22" s="20">
        <v>135540.65160000001</v>
      </c>
      <c r="E22" s="155"/>
      <c r="F22" s="155"/>
      <c r="G22" s="155"/>
      <c r="H22" s="155"/>
      <c r="I22" s="155"/>
      <c r="J22" s="155"/>
      <c r="K22" s="155"/>
      <c r="L22" s="155"/>
      <c r="M22" s="155"/>
      <c r="N22" s="155"/>
      <c r="O22" s="155"/>
      <c r="P22" s="155"/>
      <c r="Q22" s="155"/>
      <c r="R22" s="155"/>
    </row>
    <row r="23" spans="1:18" x14ac:dyDescent="0.45">
      <c r="A23" t="s">
        <v>1402</v>
      </c>
      <c r="B23" t="e">
        <f>VLOOKUP(A23,Register!$B$4:$F$738,10)</f>
        <v>#REF!</v>
      </c>
      <c r="C23" s="20">
        <v>135510.28589999999</v>
      </c>
      <c r="E23" s="155"/>
      <c r="F23" s="155"/>
      <c r="G23" s="155"/>
      <c r="H23" s="155"/>
      <c r="I23" s="155"/>
      <c r="J23" s="155"/>
      <c r="K23" s="155"/>
      <c r="L23" s="155"/>
      <c r="M23" s="155"/>
      <c r="N23" s="155"/>
      <c r="O23" s="155"/>
      <c r="P23" s="155"/>
      <c r="Q23" s="155"/>
      <c r="R23" s="155"/>
    </row>
    <row r="24" spans="1:18" x14ac:dyDescent="0.45">
      <c r="A24" t="s">
        <v>3063</v>
      </c>
      <c r="B24" t="e">
        <f>VLOOKUP(A24,Register!$B$4:$F$738,10)</f>
        <v>#REF!</v>
      </c>
      <c r="C24" s="20">
        <v>131572.06480000005</v>
      </c>
      <c r="E24" s="155"/>
      <c r="F24" s="155"/>
      <c r="G24" s="155"/>
      <c r="H24" s="155"/>
      <c r="I24" s="155"/>
      <c r="J24" s="155"/>
      <c r="K24" s="155"/>
      <c r="L24" s="155"/>
      <c r="M24" s="155"/>
      <c r="N24" s="155"/>
      <c r="O24" s="155"/>
      <c r="P24" s="155"/>
      <c r="Q24" s="155"/>
      <c r="R24" s="155"/>
    </row>
    <row r="25" spans="1:18" x14ac:dyDescent="0.45">
      <c r="A25" t="s">
        <v>4009</v>
      </c>
      <c r="B25" t="e">
        <f>VLOOKUP(A25,Register!$B$4:$F$738,10)</f>
        <v>#REF!</v>
      </c>
      <c r="C25" s="20">
        <v>129018.75</v>
      </c>
      <c r="E25" s="155"/>
      <c r="F25" s="155"/>
      <c r="G25" s="155"/>
      <c r="H25" s="155"/>
      <c r="I25" s="155"/>
      <c r="J25" s="155"/>
      <c r="K25" s="155"/>
      <c r="L25" s="155"/>
      <c r="M25" s="155"/>
      <c r="N25" s="155"/>
      <c r="O25" s="155"/>
      <c r="P25" s="155"/>
      <c r="Q25" s="155"/>
      <c r="R25" s="155"/>
    </row>
    <row r="26" spans="1:18" x14ac:dyDescent="0.45">
      <c r="A26" t="s">
        <v>2990</v>
      </c>
      <c r="B26" t="e">
        <f>VLOOKUP(A26,Register!$B$4:$F$738,10)</f>
        <v>#REF!</v>
      </c>
      <c r="C26" s="20">
        <v>125680.28789999998</v>
      </c>
      <c r="E26" s="155"/>
      <c r="F26" s="155"/>
      <c r="G26" s="155"/>
      <c r="H26" s="155"/>
      <c r="I26" s="155"/>
      <c r="J26" s="155"/>
      <c r="K26" s="155"/>
      <c r="L26" s="155"/>
      <c r="M26" s="155"/>
      <c r="N26" s="155"/>
      <c r="O26" s="155"/>
      <c r="P26" s="155"/>
      <c r="Q26" s="155"/>
      <c r="R26" s="155"/>
    </row>
    <row r="27" spans="1:18" x14ac:dyDescent="0.45">
      <c r="A27" t="s">
        <v>3026</v>
      </c>
      <c r="B27" t="e">
        <f>VLOOKUP(A27,Register!$B$4:$F$738,10)</f>
        <v>#REF!</v>
      </c>
      <c r="C27" s="20">
        <v>123214.65589999997</v>
      </c>
      <c r="E27" s="155"/>
      <c r="F27" s="155"/>
      <c r="G27" s="155"/>
      <c r="H27" s="155"/>
      <c r="I27" s="155"/>
      <c r="J27" s="155"/>
      <c r="K27" s="155"/>
      <c r="L27" s="155"/>
      <c r="M27" s="155"/>
      <c r="N27" s="155"/>
      <c r="O27" s="155"/>
      <c r="P27" s="155"/>
      <c r="Q27" s="155"/>
      <c r="R27" s="155"/>
    </row>
    <row r="28" spans="1:18" x14ac:dyDescent="0.45">
      <c r="A28" t="s">
        <v>4010</v>
      </c>
      <c r="B28" t="e">
        <f>VLOOKUP(A28,Register!$B$4:$F$738,10)</f>
        <v>#REF!</v>
      </c>
      <c r="C28" s="20">
        <v>119340.79429999998</v>
      </c>
      <c r="E28" s="155"/>
      <c r="F28" s="155"/>
      <c r="G28" s="155"/>
      <c r="H28" s="155"/>
      <c r="I28" s="155"/>
      <c r="J28" s="155"/>
      <c r="K28" s="155"/>
      <c r="L28" s="155"/>
      <c r="M28" s="155"/>
      <c r="N28" s="155"/>
      <c r="O28" s="155"/>
      <c r="P28" s="155"/>
      <c r="Q28" s="155"/>
      <c r="R28" s="155"/>
    </row>
    <row r="29" spans="1:18" x14ac:dyDescent="0.45">
      <c r="A29" t="s">
        <v>2114</v>
      </c>
      <c r="B29" t="e">
        <f>VLOOKUP(A29,Register!$B$4:$F$738,10)</f>
        <v>#REF!</v>
      </c>
      <c r="C29" s="20">
        <v>118033.7163</v>
      </c>
      <c r="E29" s="155"/>
      <c r="F29" s="155"/>
      <c r="G29" s="155"/>
      <c r="H29" s="155"/>
      <c r="I29" s="155"/>
      <c r="J29" s="155"/>
      <c r="K29" s="155"/>
      <c r="L29" s="155"/>
      <c r="M29" s="155"/>
      <c r="N29" s="155"/>
      <c r="O29" s="155"/>
      <c r="P29" s="155"/>
      <c r="Q29" s="155"/>
      <c r="R29" s="155"/>
    </row>
    <row r="30" spans="1:18" x14ac:dyDescent="0.45">
      <c r="A30" t="s">
        <v>2342</v>
      </c>
      <c r="B30" t="e">
        <f>VLOOKUP(A30,Register!$B$4:$F$738,10)</f>
        <v>#REF!</v>
      </c>
      <c r="C30" s="20">
        <v>117160.06660000001</v>
      </c>
      <c r="E30" s="155"/>
      <c r="F30" s="155"/>
      <c r="G30" s="155"/>
      <c r="H30" s="155"/>
      <c r="I30" s="155"/>
      <c r="J30" s="155"/>
      <c r="K30" s="155"/>
      <c r="L30" s="155"/>
      <c r="M30" s="155"/>
      <c r="N30" s="155"/>
      <c r="O30" s="155"/>
      <c r="P30" s="155"/>
      <c r="Q30" s="155"/>
      <c r="R30" s="155"/>
    </row>
    <row r="31" spans="1:18" x14ac:dyDescent="0.45">
      <c r="A31" t="s">
        <v>2099</v>
      </c>
      <c r="B31" t="e">
        <f>VLOOKUP(A31,Register!$B$4:$F$738,10)</f>
        <v>#REF!</v>
      </c>
      <c r="C31" s="20">
        <v>116150.61979999999</v>
      </c>
      <c r="E31" s="155"/>
      <c r="F31" s="155"/>
      <c r="G31" s="155"/>
      <c r="H31" s="155"/>
      <c r="I31" s="155"/>
      <c r="J31" s="155"/>
      <c r="K31" s="155"/>
      <c r="L31" s="155"/>
      <c r="M31" s="155"/>
      <c r="N31" s="155"/>
      <c r="O31" s="155"/>
      <c r="P31" s="155"/>
      <c r="Q31" s="155"/>
      <c r="R31" s="155"/>
    </row>
    <row r="32" spans="1:18" x14ac:dyDescent="0.45">
      <c r="A32" t="s">
        <v>4011</v>
      </c>
      <c r="B32" t="e">
        <f>VLOOKUP(A32,Register!$B$4:$F$738,10)</f>
        <v>#REF!</v>
      </c>
      <c r="C32" s="20">
        <v>115760.64999999995</v>
      </c>
      <c r="E32" s="155"/>
      <c r="F32" s="155"/>
      <c r="G32" s="155"/>
      <c r="H32" s="155"/>
      <c r="I32" s="155"/>
      <c r="J32" s="155"/>
      <c r="K32" s="155"/>
      <c r="L32" s="155"/>
      <c r="M32" s="155"/>
      <c r="N32" s="155"/>
      <c r="O32" s="155"/>
      <c r="P32" s="155"/>
      <c r="Q32" s="155"/>
      <c r="R32" s="155"/>
    </row>
    <row r="33" spans="1:18" x14ac:dyDescent="0.45">
      <c r="A33" t="s">
        <v>4012</v>
      </c>
      <c r="B33" t="e">
        <f>VLOOKUP(A33,Register!$B$4:$F$738,10)</f>
        <v>#REF!</v>
      </c>
      <c r="C33" s="20">
        <v>107345.5904</v>
      </c>
      <c r="E33" s="155"/>
      <c r="F33" s="155"/>
      <c r="G33" s="155"/>
      <c r="H33" s="155"/>
      <c r="I33" s="155"/>
      <c r="J33" s="155"/>
      <c r="K33" s="155"/>
      <c r="L33" s="155"/>
      <c r="M33" s="155"/>
      <c r="N33" s="155"/>
      <c r="O33" s="155"/>
      <c r="P33" s="155"/>
      <c r="Q33" s="155"/>
      <c r="R33" s="155"/>
    </row>
    <row r="34" spans="1:18" x14ac:dyDescent="0.45">
      <c r="A34" t="s">
        <v>4013</v>
      </c>
      <c r="B34" t="e">
        <f>VLOOKUP(A34,Register!$B$4:$F$738,10)</f>
        <v>#REF!</v>
      </c>
      <c r="C34" s="20">
        <v>105237.00589999997</v>
      </c>
      <c r="E34" s="155"/>
      <c r="F34" s="155"/>
      <c r="G34" s="155"/>
      <c r="H34" s="155"/>
      <c r="I34" s="155"/>
      <c r="J34" s="155"/>
      <c r="K34" s="155"/>
      <c r="L34" s="155"/>
      <c r="M34" s="155"/>
      <c r="N34" s="155"/>
      <c r="O34" s="155"/>
      <c r="P34" s="155"/>
      <c r="Q34" s="155"/>
      <c r="R34" s="155"/>
    </row>
    <row r="35" spans="1:18" x14ac:dyDescent="0.45">
      <c r="A35" t="s">
        <v>1139</v>
      </c>
      <c r="B35" t="e">
        <f>VLOOKUP(A35,Register!$B$4:$F$738,10)</f>
        <v>#REF!</v>
      </c>
      <c r="C35" s="20">
        <v>100412.35149999999</v>
      </c>
      <c r="E35" s="155"/>
      <c r="F35" s="155"/>
      <c r="G35" s="155"/>
      <c r="H35" s="155"/>
      <c r="I35" s="155"/>
      <c r="J35" s="155"/>
      <c r="K35" s="155"/>
      <c r="L35" s="155"/>
      <c r="M35" s="155"/>
      <c r="N35" s="155"/>
      <c r="O35" s="155"/>
      <c r="P35" s="155"/>
      <c r="Q35" s="155"/>
      <c r="R35" s="155"/>
    </row>
    <row r="36" spans="1:18" x14ac:dyDescent="0.45">
      <c r="A36" t="s">
        <v>888</v>
      </c>
      <c r="B36" t="e">
        <f>VLOOKUP(A36,Register!$B$4:$F$738,10)</f>
        <v>#REF!</v>
      </c>
      <c r="C36" s="20">
        <v>93859.410999999993</v>
      </c>
      <c r="E36" s="155"/>
      <c r="F36" s="155"/>
      <c r="G36" s="155"/>
      <c r="H36" s="155"/>
      <c r="I36" s="155"/>
      <c r="J36" s="155"/>
      <c r="K36" s="155"/>
      <c r="L36" s="155"/>
      <c r="M36" s="155"/>
      <c r="N36" s="155"/>
      <c r="O36" s="155"/>
      <c r="P36" s="155"/>
      <c r="Q36" s="155"/>
      <c r="R36" s="155"/>
    </row>
    <row r="37" spans="1:18" x14ac:dyDescent="0.45">
      <c r="A37" t="s">
        <v>461</v>
      </c>
      <c r="B37" t="e">
        <f>VLOOKUP(A37,Register!$B$4:$F$738,10)</f>
        <v>#REF!</v>
      </c>
      <c r="C37" s="20">
        <v>93052.460900000005</v>
      </c>
      <c r="E37" s="155"/>
      <c r="F37" s="155"/>
      <c r="G37" s="155"/>
      <c r="H37" s="155"/>
      <c r="I37" s="155"/>
      <c r="J37" s="155"/>
      <c r="K37" s="155"/>
      <c r="L37" s="155"/>
      <c r="M37" s="155"/>
      <c r="N37" s="155"/>
      <c r="O37" s="155"/>
      <c r="P37" s="155"/>
      <c r="Q37" s="155"/>
      <c r="R37" s="155"/>
    </row>
    <row r="38" spans="1:18" x14ac:dyDescent="0.45">
      <c r="A38" t="s">
        <v>4014</v>
      </c>
      <c r="B38" t="e">
        <f>VLOOKUP(A38,Register!$B$4:$F$738,10)</f>
        <v>#REF!</v>
      </c>
      <c r="C38" s="20">
        <v>92377.417400000035</v>
      </c>
      <c r="E38" s="155"/>
      <c r="F38" s="155"/>
      <c r="G38" s="155"/>
      <c r="H38" s="155"/>
      <c r="I38" s="155"/>
      <c r="J38" s="155"/>
      <c r="K38" s="155"/>
      <c r="L38" s="155"/>
      <c r="M38" s="155"/>
      <c r="N38" s="155"/>
      <c r="O38" s="155"/>
      <c r="P38" s="155"/>
      <c r="Q38" s="155"/>
      <c r="R38" s="155"/>
    </row>
    <row r="39" spans="1:18" x14ac:dyDescent="0.45">
      <c r="A39" t="s">
        <v>4015</v>
      </c>
      <c r="B39" t="e">
        <f>VLOOKUP(A39,Register!$B$4:$F$738,10)</f>
        <v>#REF!</v>
      </c>
      <c r="C39" s="20">
        <v>90241.448299999975</v>
      </c>
      <c r="E39" s="155"/>
      <c r="F39" s="155"/>
      <c r="G39" s="155"/>
      <c r="H39" s="155"/>
      <c r="I39" s="155"/>
      <c r="J39" s="155"/>
      <c r="K39" s="155"/>
      <c r="L39" s="155"/>
      <c r="M39" s="155"/>
      <c r="N39" s="155"/>
      <c r="O39" s="155"/>
      <c r="P39" s="155"/>
      <c r="Q39" s="155"/>
      <c r="R39" s="155"/>
    </row>
    <row r="40" spans="1:18" x14ac:dyDescent="0.45">
      <c r="A40" t="s">
        <v>4016</v>
      </c>
      <c r="B40" t="e">
        <f>VLOOKUP(A40,Register!$B$4:$F$738,10)</f>
        <v>#REF!</v>
      </c>
      <c r="C40" s="20">
        <v>89059.443099999989</v>
      </c>
    </row>
    <row r="41" spans="1:18" x14ac:dyDescent="0.45">
      <c r="A41" t="s">
        <v>2076</v>
      </c>
      <c r="B41" t="e">
        <f>VLOOKUP(A41,Register!$B$4:$F$738,10)</f>
        <v>#REF!</v>
      </c>
      <c r="C41" s="20">
        <v>84224.171699999977</v>
      </c>
    </row>
    <row r="42" spans="1:18" x14ac:dyDescent="0.45">
      <c r="A42" t="s">
        <v>4017</v>
      </c>
      <c r="B42" t="e">
        <f>VLOOKUP(A42,Register!$B$4:$F$738,10)</f>
        <v>#REF!</v>
      </c>
      <c r="C42" s="20">
        <v>81843.799399999989</v>
      </c>
    </row>
    <row r="43" spans="1:18" x14ac:dyDescent="0.45">
      <c r="A43" t="s">
        <v>4018</v>
      </c>
      <c r="B43" t="e">
        <f>VLOOKUP(A43,Register!$B$4:$F$738,10)</f>
        <v>#REF!</v>
      </c>
      <c r="C43" s="20">
        <v>78145.62999999999</v>
      </c>
    </row>
    <row r="44" spans="1:18" x14ac:dyDescent="0.45">
      <c r="A44" t="s">
        <v>4019</v>
      </c>
      <c r="B44" t="e">
        <f>VLOOKUP(A44,Register!$B$4:$F$738,10)</f>
        <v>#REF!</v>
      </c>
      <c r="C44" s="20">
        <v>75165.27</v>
      </c>
    </row>
    <row r="45" spans="1:18" x14ac:dyDescent="0.45">
      <c r="A45" t="s">
        <v>2310</v>
      </c>
      <c r="B45" t="e">
        <f>VLOOKUP(A45,Register!$B$4:$F$738,10)</f>
        <v>#REF!</v>
      </c>
      <c r="C45" s="20">
        <v>74992</v>
      </c>
    </row>
    <row r="46" spans="1:18" x14ac:dyDescent="0.45">
      <c r="A46" t="s">
        <v>4020</v>
      </c>
      <c r="B46" t="e">
        <f>VLOOKUP(A46,Register!$B$4:$F$738,10)</f>
        <v>#REF!</v>
      </c>
      <c r="C46" s="20">
        <v>73384.129999999961</v>
      </c>
    </row>
    <row r="47" spans="1:18" x14ac:dyDescent="0.45">
      <c r="A47" t="s">
        <v>1817</v>
      </c>
      <c r="B47" t="e">
        <f>VLOOKUP(A47,Register!$B$4:$F$738,10)</f>
        <v>#REF!</v>
      </c>
      <c r="C47" s="20">
        <v>71404.787499999991</v>
      </c>
    </row>
    <row r="48" spans="1:18" x14ac:dyDescent="0.45">
      <c r="A48" t="s">
        <v>4021</v>
      </c>
      <c r="B48" t="e">
        <f>VLOOKUP(A48,Register!$B$4:$F$738,10)</f>
        <v>#REF!</v>
      </c>
      <c r="C48" s="20">
        <v>70570.419999999969</v>
      </c>
    </row>
    <row r="49" spans="1:3" x14ac:dyDescent="0.45">
      <c r="A49" t="s">
        <v>2507</v>
      </c>
      <c r="B49" t="e">
        <f>VLOOKUP(A49,Register!$B$4:$F$738,10)</f>
        <v>#REF!</v>
      </c>
      <c r="C49" s="20">
        <v>69023.530399999974</v>
      </c>
    </row>
    <row r="50" spans="1:3" x14ac:dyDescent="0.45">
      <c r="A50" t="s">
        <v>4022</v>
      </c>
      <c r="B50" t="e">
        <f>VLOOKUP(A50,Register!$B$4:$F$738,10)</f>
        <v>#REF!</v>
      </c>
      <c r="C50" s="20">
        <v>68470.247799999997</v>
      </c>
    </row>
    <row r="51" spans="1:3" x14ac:dyDescent="0.45">
      <c r="A51" t="s">
        <v>3589</v>
      </c>
      <c r="B51" t="e">
        <f>VLOOKUP(A51,Register!$B$4:$F$738,10)</f>
        <v>#REF!</v>
      </c>
      <c r="C51" s="20">
        <v>67898.179999999993</v>
      </c>
    </row>
    <row r="52" spans="1:3" x14ac:dyDescent="0.45">
      <c r="A52" t="s">
        <v>564</v>
      </c>
      <c r="B52" t="e">
        <f>VLOOKUP(A52,Register!$B$4:$F$738,10)</f>
        <v>#REF!</v>
      </c>
      <c r="C52" s="20">
        <v>66008.39999999998</v>
      </c>
    </row>
    <row r="53" spans="1:3" x14ac:dyDescent="0.45">
      <c r="A53" t="s">
        <v>4023</v>
      </c>
      <c r="B53" t="e">
        <f>VLOOKUP(A53,Register!$B$4:$F$738,10)</f>
        <v>#REF!</v>
      </c>
      <c r="C53" s="20">
        <v>65663.536800000045</v>
      </c>
    </row>
    <row r="54" spans="1:3" x14ac:dyDescent="0.45">
      <c r="A54" t="s">
        <v>2593</v>
      </c>
      <c r="B54" t="e">
        <f>VLOOKUP(A54,Register!$B$4:$F$738,10)</f>
        <v>#REF!</v>
      </c>
      <c r="C54" s="20">
        <v>62948.66</v>
      </c>
    </row>
    <row r="55" spans="1:3" x14ac:dyDescent="0.45">
      <c r="A55" t="s">
        <v>1374</v>
      </c>
      <c r="B55" t="e">
        <f>VLOOKUP(A55,Register!$B$4:$F$738,10)</f>
        <v>#REF!</v>
      </c>
      <c r="C55" s="20">
        <v>62400</v>
      </c>
    </row>
    <row r="56" spans="1:3" x14ac:dyDescent="0.45">
      <c r="A56" t="s">
        <v>3364</v>
      </c>
      <c r="B56" t="e">
        <f>VLOOKUP(A56,Register!$B$4:$F$738,10)</f>
        <v>#REF!</v>
      </c>
      <c r="C56" s="20">
        <v>62020.859100000001</v>
      </c>
    </row>
    <row r="57" spans="1:3" x14ac:dyDescent="0.45">
      <c r="A57" t="s">
        <v>4024</v>
      </c>
      <c r="B57" t="e">
        <f>VLOOKUP(A57,Register!$B$4:$F$738,10)</f>
        <v>#REF!</v>
      </c>
      <c r="C57" s="20">
        <v>58796.15</v>
      </c>
    </row>
    <row r="58" spans="1:3" x14ac:dyDescent="0.45">
      <c r="A58" t="s">
        <v>4025</v>
      </c>
      <c r="B58" t="e">
        <f>VLOOKUP(A58,Register!$B$4:$F$738,10)</f>
        <v>#REF!</v>
      </c>
      <c r="C58" s="20">
        <v>58086</v>
      </c>
    </row>
    <row r="59" spans="1:3" x14ac:dyDescent="0.45">
      <c r="A59" t="s">
        <v>4026</v>
      </c>
      <c r="B59" t="e">
        <f>VLOOKUP(A59,Register!$B$4:$F$738,10)</f>
        <v>#REF!</v>
      </c>
      <c r="C59" s="20">
        <v>57085.099499999997</v>
      </c>
    </row>
    <row r="60" spans="1:3" x14ac:dyDescent="0.45">
      <c r="A60" t="s">
        <v>4027</v>
      </c>
      <c r="B60" t="e">
        <f>VLOOKUP(A60,Register!$B$4:$F$738,10)</f>
        <v>#REF!</v>
      </c>
      <c r="C60" s="20">
        <v>56175.259099999996</v>
      </c>
    </row>
    <row r="61" spans="1:3" x14ac:dyDescent="0.45">
      <c r="A61" t="s">
        <v>1165</v>
      </c>
      <c r="B61" t="e">
        <f>VLOOKUP(A61,Register!$B$4:$F$738,10)</f>
        <v>#REF!</v>
      </c>
      <c r="C61" s="20">
        <v>55519.969999999892</v>
      </c>
    </row>
    <row r="62" spans="1:3" x14ac:dyDescent="0.45">
      <c r="A62" t="s">
        <v>2225</v>
      </c>
      <c r="B62" t="e">
        <f>VLOOKUP(A62,Register!$B$4:$F$738,10)</f>
        <v>#REF!</v>
      </c>
      <c r="C62" s="20">
        <v>55270.510599999994</v>
      </c>
    </row>
    <row r="63" spans="1:3" x14ac:dyDescent="0.45">
      <c r="A63" t="s">
        <v>3361</v>
      </c>
      <c r="B63" t="e">
        <f>VLOOKUP(A63,Register!$B$4:$F$738,10)</f>
        <v>#REF!</v>
      </c>
      <c r="C63" s="20">
        <v>52054.86</v>
      </c>
    </row>
    <row r="64" spans="1:3" x14ac:dyDescent="0.45">
      <c r="A64" t="s">
        <v>2265</v>
      </c>
      <c r="B64" t="e">
        <f>VLOOKUP(A64,Register!$B$4:$F$738,10)</f>
        <v>#REF!</v>
      </c>
      <c r="C64" s="20">
        <v>51833.351099999993</v>
      </c>
    </row>
    <row r="65" spans="1:3" x14ac:dyDescent="0.45">
      <c r="A65" t="s">
        <v>4028</v>
      </c>
      <c r="B65" t="e">
        <f>VLOOKUP(A65,Register!$B$4:$F$738,10)</f>
        <v>#REF!</v>
      </c>
      <c r="C65" s="20">
        <v>48558.25</v>
      </c>
    </row>
    <row r="66" spans="1:3" x14ac:dyDescent="0.45">
      <c r="A66" t="s">
        <v>4029</v>
      </c>
      <c r="B66" t="e">
        <f>VLOOKUP(A66,Register!$B$4:$F$738,10)</f>
        <v>#REF!</v>
      </c>
      <c r="C66" s="20">
        <v>47818.593099999998</v>
      </c>
    </row>
    <row r="67" spans="1:3" x14ac:dyDescent="0.45">
      <c r="A67" t="s">
        <v>4030</v>
      </c>
      <c r="B67" t="e">
        <f>VLOOKUP(A67,Register!$B$4:$F$738,10)</f>
        <v>#REF!</v>
      </c>
      <c r="C67" s="20">
        <v>46949.196799999998</v>
      </c>
    </row>
    <row r="68" spans="1:3" x14ac:dyDescent="0.45">
      <c r="A68" t="s">
        <v>3003</v>
      </c>
      <c r="B68" t="e">
        <f>VLOOKUP(A68,Register!$B$4:$F$738,10)</f>
        <v>#REF!</v>
      </c>
      <c r="C68" s="20">
        <v>46773.68</v>
      </c>
    </row>
    <row r="69" spans="1:3" x14ac:dyDescent="0.45">
      <c r="A69" t="s">
        <v>1838</v>
      </c>
      <c r="B69" t="e">
        <f>VLOOKUP(A69,Register!$B$4:$F$738,10)</f>
        <v>#REF!</v>
      </c>
      <c r="C69" s="20">
        <v>46277.4</v>
      </c>
    </row>
    <row r="70" spans="1:3" x14ac:dyDescent="0.45">
      <c r="A70" t="s">
        <v>4031</v>
      </c>
      <c r="B70" t="e">
        <f>VLOOKUP(A70,Register!$B$4:$F$738,10)</f>
        <v>#REF!</v>
      </c>
      <c r="C70" s="20">
        <v>43654.52</v>
      </c>
    </row>
    <row r="71" spans="1:3" x14ac:dyDescent="0.45">
      <c r="A71" t="s">
        <v>1633</v>
      </c>
      <c r="B71" t="e">
        <f>VLOOKUP(A71,Register!$B$4:$F$738,10)</f>
        <v>#REF!</v>
      </c>
      <c r="C71" s="20">
        <v>43481.821199999991</v>
      </c>
    </row>
    <row r="72" spans="1:3" x14ac:dyDescent="0.45">
      <c r="A72" t="s">
        <v>2178</v>
      </c>
      <c r="B72" t="e">
        <f>VLOOKUP(A72,Register!$B$4:$F$738,10)</f>
        <v>#REF!</v>
      </c>
      <c r="C72" s="20">
        <v>43415</v>
      </c>
    </row>
    <row r="73" spans="1:3" x14ac:dyDescent="0.45">
      <c r="A73" t="s">
        <v>400</v>
      </c>
      <c r="B73" t="e">
        <f>VLOOKUP(A73,Register!$B$4:$F$738,10)</f>
        <v>#REF!</v>
      </c>
      <c r="C73" s="20">
        <v>42605.34</v>
      </c>
    </row>
    <row r="74" spans="1:3" x14ac:dyDescent="0.45">
      <c r="A74" t="s">
        <v>4032</v>
      </c>
      <c r="B74" t="e">
        <f>VLOOKUP(A74,Register!$B$4:$F$738,10)</f>
        <v>#REF!</v>
      </c>
      <c r="C74" s="20">
        <v>40770.630000000026</v>
      </c>
    </row>
    <row r="75" spans="1:3" x14ac:dyDescent="0.45">
      <c r="A75" t="s">
        <v>4033</v>
      </c>
      <c r="B75" t="e">
        <f>VLOOKUP(A75,Register!$B$4:$F$738,10)</f>
        <v>#REF!</v>
      </c>
      <c r="C75" s="20">
        <v>40228.770000000019</v>
      </c>
    </row>
    <row r="76" spans="1:3" x14ac:dyDescent="0.45">
      <c r="A76" t="s">
        <v>2501</v>
      </c>
      <c r="B76" t="e">
        <f>VLOOKUP(A76,Register!$B$4:$F$738,10)</f>
        <v>#REF!</v>
      </c>
      <c r="C76" s="20">
        <v>39811.17839999999</v>
      </c>
    </row>
    <row r="77" spans="1:3" x14ac:dyDescent="0.45">
      <c r="A77" t="s">
        <v>2290</v>
      </c>
      <c r="B77" t="e">
        <f>VLOOKUP(A77,Register!$B$4:$F$738,10)</f>
        <v>#REF!</v>
      </c>
      <c r="C77" s="20">
        <v>39085.740000000005</v>
      </c>
    </row>
    <row r="78" spans="1:3" x14ac:dyDescent="0.45">
      <c r="A78" t="s">
        <v>4034</v>
      </c>
      <c r="B78" t="e">
        <f>VLOOKUP(A78,Register!$B$4:$F$738,10)</f>
        <v>#REF!</v>
      </c>
      <c r="C78" s="20">
        <v>38956.385600000001</v>
      </c>
    </row>
    <row r="79" spans="1:3" x14ac:dyDescent="0.45">
      <c r="A79" t="s">
        <v>4035</v>
      </c>
      <c r="B79" t="e">
        <f>VLOOKUP(A79,Register!$B$4:$F$738,10)</f>
        <v>#REF!</v>
      </c>
      <c r="C79" s="20">
        <v>38692.778799999993</v>
      </c>
    </row>
    <row r="80" spans="1:3" x14ac:dyDescent="0.45">
      <c r="A80" t="s">
        <v>805</v>
      </c>
      <c r="B80" t="e">
        <f>VLOOKUP(A80,Register!$B$4:$F$738,10)</f>
        <v>#REF!</v>
      </c>
      <c r="C80" s="20">
        <v>38544.925899999995</v>
      </c>
    </row>
    <row r="81" spans="1:3" x14ac:dyDescent="0.45">
      <c r="A81" t="s">
        <v>1228</v>
      </c>
      <c r="B81" t="e">
        <f>VLOOKUP(A81,Register!$B$4:$F$738,10)</f>
        <v>#REF!</v>
      </c>
      <c r="C81" s="20">
        <v>37545.26</v>
      </c>
    </row>
    <row r="82" spans="1:3" x14ac:dyDescent="0.45">
      <c r="A82" t="s">
        <v>4036</v>
      </c>
      <c r="B82" t="e">
        <f>VLOOKUP(A82,Register!$B$4:$F$738,10)</f>
        <v>#REF!</v>
      </c>
      <c r="C82" s="20">
        <v>36750.75</v>
      </c>
    </row>
    <row r="83" spans="1:3" x14ac:dyDescent="0.45">
      <c r="A83" t="s">
        <v>1629</v>
      </c>
      <c r="B83" t="e">
        <f>VLOOKUP(A83,Register!$B$4:$F$738,10)</f>
        <v>#REF!</v>
      </c>
      <c r="C83" s="20">
        <v>36536</v>
      </c>
    </row>
    <row r="84" spans="1:3" x14ac:dyDescent="0.45">
      <c r="A84" t="s">
        <v>4037</v>
      </c>
      <c r="B84" t="e">
        <f>VLOOKUP(A84,Register!$B$4:$F$738,10)</f>
        <v>#REF!</v>
      </c>
      <c r="C84" s="20">
        <v>36034</v>
      </c>
    </row>
    <row r="85" spans="1:3" x14ac:dyDescent="0.45">
      <c r="A85" t="s">
        <v>802</v>
      </c>
      <c r="B85" t="e">
        <f>VLOOKUP(A85,Register!$B$4:$F$738,10)</f>
        <v>#REF!</v>
      </c>
      <c r="C85" s="20">
        <v>35501.012199999997</v>
      </c>
    </row>
    <row r="86" spans="1:3" x14ac:dyDescent="0.45">
      <c r="A86" t="s">
        <v>1124</v>
      </c>
      <c r="B86" t="e">
        <f>VLOOKUP(A86,Register!$B$4:$F$738,10)</f>
        <v>#REF!</v>
      </c>
      <c r="C86" s="20">
        <v>34505.068700000003</v>
      </c>
    </row>
    <row r="87" spans="1:3" x14ac:dyDescent="0.45">
      <c r="A87" t="s">
        <v>144</v>
      </c>
      <c r="B87" t="e">
        <f>VLOOKUP(A87,Register!$B$4:$F$738,10)</f>
        <v>#REF!</v>
      </c>
      <c r="C87" s="20">
        <v>33021</v>
      </c>
    </row>
    <row r="88" spans="1:3" x14ac:dyDescent="0.45">
      <c r="A88" t="s">
        <v>1462</v>
      </c>
      <c r="B88" t="e">
        <f>VLOOKUP(A88,Register!$B$4:$F$738,10)</f>
        <v>#REF!</v>
      </c>
      <c r="C88" s="20">
        <v>32772.840000000011</v>
      </c>
    </row>
    <row r="89" spans="1:3" x14ac:dyDescent="0.45">
      <c r="A89" t="s">
        <v>3420</v>
      </c>
      <c r="B89" t="e">
        <f>VLOOKUP(A89,Register!$B$4:$F$738,10)</f>
        <v>#REF!</v>
      </c>
      <c r="C89" s="20">
        <v>30880</v>
      </c>
    </row>
    <row r="90" spans="1:3" x14ac:dyDescent="0.45">
      <c r="A90" t="s">
        <v>4038</v>
      </c>
      <c r="B90" t="e">
        <f>VLOOKUP(A90,Register!$B$4:$F$738,10)</f>
        <v>#REF!</v>
      </c>
      <c r="C90" s="20">
        <v>30526.190999999999</v>
      </c>
    </row>
    <row r="91" spans="1:3" x14ac:dyDescent="0.45">
      <c r="A91" t="s">
        <v>385</v>
      </c>
      <c r="B91" t="e">
        <f>VLOOKUP(A91,Register!$B$4:$F$738,10)</f>
        <v>#REF!</v>
      </c>
      <c r="C91" s="20">
        <v>30430.205400000003</v>
      </c>
    </row>
    <row r="92" spans="1:3" x14ac:dyDescent="0.45">
      <c r="A92" t="s">
        <v>4039</v>
      </c>
      <c r="B92" t="e">
        <f>VLOOKUP(A92,Register!$B$4:$F$738,10)</f>
        <v>#REF!</v>
      </c>
      <c r="C92" s="20">
        <v>30409.973999999998</v>
      </c>
    </row>
    <row r="93" spans="1:3" x14ac:dyDescent="0.45">
      <c r="A93" t="s">
        <v>4040</v>
      </c>
      <c r="B93" t="e">
        <f>VLOOKUP(A93,Register!$B$4:$F$738,10)</f>
        <v>#REF!</v>
      </c>
      <c r="C93" s="20">
        <v>30373.504000000001</v>
      </c>
    </row>
    <row r="94" spans="1:3" x14ac:dyDescent="0.45">
      <c r="A94" t="s">
        <v>1469</v>
      </c>
      <c r="B94" t="e">
        <f>VLOOKUP(A94,Register!$B$4:$F$738,10)</f>
        <v>#REF!</v>
      </c>
      <c r="C94" s="20">
        <v>29840.409300000003</v>
      </c>
    </row>
    <row r="95" spans="1:3" x14ac:dyDescent="0.45">
      <c r="A95" t="s">
        <v>1107</v>
      </c>
      <c r="B95" t="e">
        <f>VLOOKUP(A95,Register!$B$4:$F$738,10)</f>
        <v>#REF!</v>
      </c>
      <c r="C95" s="20">
        <v>29838</v>
      </c>
    </row>
    <row r="96" spans="1:3" x14ac:dyDescent="0.45">
      <c r="A96" t="s">
        <v>763</v>
      </c>
      <c r="B96" t="e">
        <f>VLOOKUP(A96,Register!$B$4:$F$738,10)</f>
        <v>#REF!</v>
      </c>
      <c r="C96" s="20">
        <v>28629.444699999996</v>
      </c>
    </row>
    <row r="97" spans="1:3" x14ac:dyDescent="0.45">
      <c r="A97" t="s">
        <v>4041</v>
      </c>
      <c r="B97" t="e">
        <f>VLOOKUP(A97,Register!$B$4:$F$738,10)</f>
        <v>#REF!</v>
      </c>
      <c r="C97" s="20">
        <v>28537.152599999998</v>
      </c>
    </row>
    <row r="98" spans="1:3" x14ac:dyDescent="0.45">
      <c r="A98" t="s">
        <v>4042</v>
      </c>
      <c r="B98" t="e">
        <f>VLOOKUP(A98,Register!$B$4:$F$738,10)</f>
        <v>#REF!</v>
      </c>
      <c r="C98" s="20">
        <v>26906.360000000011</v>
      </c>
    </row>
    <row r="99" spans="1:3" x14ac:dyDescent="0.45">
      <c r="A99" t="s">
        <v>2704</v>
      </c>
      <c r="B99" t="e">
        <f>VLOOKUP(A99,Register!$B$4:$F$738,10)</f>
        <v>#N/A</v>
      </c>
      <c r="C99" s="20">
        <v>26238</v>
      </c>
    </row>
    <row r="100" spans="1:3" x14ac:dyDescent="0.45">
      <c r="A100" t="s">
        <v>3267</v>
      </c>
      <c r="B100" t="e">
        <f>VLOOKUP(A100,Register!$B$4:$F$738,10)</f>
        <v>#REF!</v>
      </c>
      <c r="C100" s="20">
        <v>25371.403200000001</v>
      </c>
    </row>
    <row r="101" spans="1:3" x14ac:dyDescent="0.45">
      <c r="A101" t="s">
        <v>4043</v>
      </c>
      <c r="B101" t="e">
        <f>VLOOKUP(A101,Register!$B$4:$F$738,10)</f>
        <v>#REF!</v>
      </c>
      <c r="C101" s="20">
        <v>25224.982500000002</v>
      </c>
    </row>
    <row r="102" spans="1:3" x14ac:dyDescent="0.45">
      <c r="A102" t="s">
        <v>2497</v>
      </c>
      <c r="B102" t="e">
        <f>VLOOKUP(A102,Register!$B$4:$F$738,10)</f>
        <v>#REF!</v>
      </c>
      <c r="C102" s="20">
        <v>24865.126199999995</v>
      </c>
    </row>
    <row r="103" spans="1:3" x14ac:dyDescent="0.45">
      <c r="A103" t="s">
        <v>1130</v>
      </c>
      <c r="B103" t="e">
        <f>VLOOKUP(A103,Register!$B$4:$F$738,10)</f>
        <v>#REF!</v>
      </c>
      <c r="C103" s="20">
        <v>24687.279999999995</v>
      </c>
    </row>
    <row r="104" spans="1:3" x14ac:dyDescent="0.45">
      <c r="A104" t="s">
        <v>4044</v>
      </c>
      <c r="B104" t="e">
        <f>VLOOKUP(A104,Register!$B$4:$F$738,10)</f>
        <v>#REF!</v>
      </c>
      <c r="C104" s="20">
        <v>24503.017799999998</v>
      </c>
    </row>
    <row r="105" spans="1:3" x14ac:dyDescent="0.45">
      <c r="A105" t="s">
        <v>1053</v>
      </c>
      <c r="B105" t="e">
        <f>VLOOKUP(A105,Register!$B$4:$F$738,10)</f>
        <v>#REF!</v>
      </c>
      <c r="C105" s="20">
        <v>23693.513200000023</v>
      </c>
    </row>
    <row r="106" spans="1:3" x14ac:dyDescent="0.45">
      <c r="A106" t="s">
        <v>4045</v>
      </c>
      <c r="B106" t="e">
        <f>VLOOKUP(A106,Register!$B$4:$F$738,10)</f>
        <v>#REF!</v>
      </c>
      <c r="C106" s="20">
        <v>23257.310399999998</v>
      </c>
    </row>
    <row r="107" spans="1:3" x14ac:dyDescent="0.45">
      <c r="A107" t="s">
        <v>446</v>
      </c>
      <c r="B107" t="e">
        <f>VLOOKUP(A107,Register!$B$4:$F$738,10)</f>
        <v>#REF!</v>
      </c>
      <c r="C107" s="20">
        <v>22318.039999999997</v>
      </c>
    </row>
    <row r="108" spans="1:3" x14ac:dyDescent="0.45">
      <c r="A108" t="s">
        <v>1710</v>
      </c>
      <c r="B108" t="e">
        <f>VLOOKUP(A108,Register!$B$4:$F$738,10)</f>
        <v>#REF!</v>
      </c>
      <c r="C108" s="20">
        <v>21665.5</v>
      </c>
    </row>
    <row r="109" spans="1:3" x14ac:dyDescent="0.45">
      <c r="A109" t="s">
        <v>4046</v>
      </c>
      <c r="B109" t="e">
        <f>VLOOKUP(A109,Register!$B$4:$F$738,10)</f>
        <v>#REF!</v>
      </c>
      <c r="C109" s="20">
        <v>21383.607100000001</v>
      </c>
    </row>
    <row r="110" spans="1:3" x14ac:dyDescent="0.45">
      <c r="A110" t="s">
        <v>1855</v>
      </c>
      <c r="B110" t="e">
        <f>VLOOKUP(A110,Register!$B$4:$F$738,10)</f>
        <v>#REF!</v>
      </c>
      <c r="C110" s="20">
        <v>20935.660400000001</v>
      </c>
    </row>
    <row r="111" spans="1:3" x14ac:dyDescent="0.45">
      <c r="A111" t="s">
        <v>3396</v>
      </c>
      <c r="B111" t="e">
        <f>VLOOKUP(A111,Register!$B$4:$F$738,10)</f>
        <v>#REF!</v>
      </c>
      <c r="C111" s="20">
        <v>20438.5363</v>
      </c>
    </row>
    <row r="112" spans="1:3" x14ac:dyDescent="0.45">
      <c r="A112" t="s">
        <v>227</v>
      </c>
      <c r="B112" t="e">
        <f>VLOOKUP(A112,Register!$B$4:$F$738,10)</f>
        <v>#REF!</v>
      </c>
      <c r="C112" s="20">
        <v>20379.285199999998</v>
      </c>
    </row>
    <row r="113" spans="1:3" x14ac:dyDescent="0.45">
      <c r="A113" t="s">
        <v>520</v>
      </c>
      <c r="B113" t="e">
        <f>VLOOKUP(A113,Register!$B$4:$F$738,10)</f>
        <v>#REF!</v>
      </c>
      <c r="C113" s="20">
        <v>20097.6823</v>
      </c>
    </row>
    <row r="114" spans="1:3" x14ac:dyDescent="0.45">
      <c r="A114" t="s">
        <v>4047</v>
      </c>
      <c r="B114" t="e">
        <f>VLOOKUP(A114,Register!$B$4:$F$738,10)</f>
        <v>#REF!</v>
      </c>
      <c r="C114" s="20">
        <v>19490.773000000005</v>
      </c>
    </row>
    <row r="115" spans="1:3" x14ac:dyDescent="0.45">
      <c r="A115" t="s">
        <v>4048</v>
      </c>
      <c r="B115" t="e">
        <f>VLOOKUP(A115,Register!$B$4:$F$738,10)</f>
        <v>#REF!</v>
      </c>
      <c r="C115" s="20">
        <v>19146</v>
      </c>
    </row>
    <row r="116" spans="1:3" x14ac:dyDescent="0.45">
      <c r="A116" t="s">
        <v>4049</v>
      </c>
      <c r="B116" t="e">
        <f>VLOOKUP(A116,Register!$B$4:$F$738,10)</f>
        <v>#REF!</v>
      </c>
      <c r="C116" s="20">
        <v>19099.869999999995</v>
      </c>
    </row>
    <row r="117" spans="1:3" x14ac:dyDescent="0.45">
      <c r="A117" t="s">
        <v>2000</v>
      </c>
      <c r="B117" t="e">
        <f>VLOOKUP(A117,Register!$B$4:$F$738,10)</f>
        <v>#REF!</v>
      </c>
      <c r="C117" s="20">
        <v>18809</v>
      </c>
    </row>
    <row r="118" spans="1:3" x14ac:dyDescent="0.45">
      <c r="A118" t="s">
        <v>2161</v>
      </c>
      <c r="B118" t="e">
        <f>VLOOKUP(A118,Register!$B$4:$F$738,10)</f>
        <v>#REF!</v>
      </c>
      <c r="C118" s="20">
        <v>18561.239999999998</v>
      </c>
    </row>
    <row r="119" spans="1:3" x14ac:dyDescent="0.45">
      <c r="A119" t="s">
        <v>1941</v>
      </c>
      <c r="B119" t="e">
        <f>VLOOKUP(A119,Register!$B$4:$F$738,10)</f>
        <v>#REF!</v>
      </c>
      <c r="C119" s="20">
        <v>18220</v>
      </c>
    </row>
    <row r="120" spans="1:3" x14ac:dyDescent="0.45">
      <c r="A120" t="s">
        <v>4050</v>
      </c>
      <c r="B120" t="e">
        <f>VLOOKUP(A120,Register!$B$4:$F$738,10)</f>
        <v>#REF!</v>
      </c>
      <c r="C120" s="20">
        <v>18008.260000000002</v>
      </c>
    </row>
    <row r="121" spans="1:3" x14ac:dyDescent="0.45">
      <c r="A121" t="s">
        <v>2491</v>
      </c>
      <c r="B121" t="e">
        <f>VLOOKUP(A121,Register!$B$4:$F$738,10)</f>
        <v>#REF!</v>
      </c>
      <c r="C121" s="20">
        <v>17781.739600000001</v>
      </c>
    </row>
    <row r="122" spans="1:3" x14ac:dyDescent="0.45">
      <c r="A122" t="s">
        <v>4051</v>
      </c>
      <c r="B122" t="e">
        <f>VLOOKUP(A122,Register!$B$4:$F$738,10)</f>
        <v>#REF!</v>
      </c>
      <c r="C122" s="20">
        <v>17693.022700000001</v>
      </c>
    </row>
    <row r="123" spans="1:3" x14ac:dyDescent="0.45">
      <c r="A123" t="s">
        <v>4052</v>
      </c>
      <c r="B123" t="e">
        <f>VLOOKUP(A123,Register!$B$4:$F$738,10)</f>
        <v>#REF!</v>
      </c>
      <c r="C123" s="20">
        <v>17290.539999999994</v>
      </c>
    </row>
    <row r="124" spans="1:3" x14ac:dyDescent="0.45">
      <c r="A124" t="s">
        <v>4053</v>
      </c>
      <c r="B124" t="e">
        <f>VLOOKUP(A124,Register!$B$4:$F$738,10)</f>
        <v>#REF!</v>
      </c>
      <c r="C124" s="20">
        <v>16801.23</v>
      </c>
    </row>
    <row r="125" spans="1:3" x14ac:dyDescent="0.45">
      <c r="A125" t="s">
        <v>4054</v>
      </c>
      <c r="B125" t="e">
        <f>VLOOKUP(A125,Register!$B$4:$F$738,10)</f>
        <v>#REF!</v>
      </c>
      <c r="C125" s="20">
        <v>16800</v>
      </c>
    </row>
    <row r="126" spans="1:3" x14ac:dyDescent="0.45">
      <c r="A126" t="s">
        <v>2781</v>
      </c>
      <c r="B126" t="e">
        <f>VLOOKUP(A126,Register!$B$4:$F$738,10)</f>
        <v>#REF!</v>
      </c>
      <c r="C126" s="20">
        <v>16435.2919</v>
      </c>
    </row>
    <row r="127" spans="1:3" x14ac:dyDescent="0.45">
      <c r="A127" t="s">
        <v>3390</v>
      </c>
      <c r="B127" t="e">
        <f>VLOOKUP(A127,Register!$B$4:$F$738,10)</f>
        <v>#REF!</v>
      </c>
      <c r="C127" s="20">
        <v>16431.228599999999</v>
      </c>
    </row>
    <row r="128" spans="1:3" x14ac:dyDescent="0.45">
      <c r="A128" t="s">
        <v>4055</v>
      </c>
      <c r="B128" t="e">
        <f>VLOOKUP(A128,Register!$B$4:$F$738,10)</f>
        <v>#REF!</v>
      </c>
      <c r="C128" s="20">
        <v>16407.481800000001</v>
      </c>
    </row>
    <row r="129" spans="1:3" x14ac:dyDescent="0.45">
      <c r="A129" t="s">
        <v>4056</v>
      </c>
      <c r="B129" t="e">
        <f>VLOOKUP(A129,Register!$B$4:$F$738,10)</f>
        <v>#REF!</v>
      </c>
      <c r="C129" s="20">
        <v>15939.689400000001</v>
      </c>
    </row>
    <row r="130" spans="1:3" x14ac:dyDescent="0.45">
      <c r="A130" t="s">
        <v>4057</v>
      </c>
      <c r="B130" t="e">
        <f>VLOOKUP(A130,Register!$B$4:$F$738,10)</f>
        <v>#REF!</v>
      </c>
      <c r="C130" s="20">
        <v>15394.488000000001</v>
      </c>
    </row>
    <row r="131" spans="1:3" x14ac:dyDescent="0.45">
      <c r="A131" t="s">
        <v>4058</v>
      </c>
      <c r="B131" t="e">
        <f>VLOOKUP(A131,Register!$B$4:$F$738,10)</f>
        <v>#REF!</v>
      </c>
      <c r="C131" s="20">
        <v>15042.616899999999</v>
      </c>
    </row>
    <row r="132" spans="1:3" x14ac:dyDescent="0.45">
      <c r="A132" t="s">
        <v>1854</v>
      </c>
      <c r="B132" t="e">
        <f>VLOOKUP(A132,Register!$B$4:$F$738,10)</f>
        <v>#REF!</v>
      </c>
      <c r="C132" s="20">
        <v>14977.5898</v>
      </c>
    </row>
    <row r="133" spans="1:3" x14ac:dyDescent="0.45">
      <c r="A133" t="s">
        <v>1702</v>
      </c>
      <c r="B133" t="e">
        <f>VLOOKUP(A133,Register!$B$4:$F$738,10)</f>
        <v>#REF!</v>
      </c>
      <c r="C133" s="20">
        <v>14814.399999999998</v>
      </c>
    </row>
    <row r="134" spans="1:3" x14ac:dyDescent="0.45">
      <c r="A134" t="s">
        <v>2094</v>
      </c>
      <c r="B134" t="e">
        <f>VLOOKUP(A134,Register!$B$4:$F$738,10)</f>
        <v>#REF!</v>
      </c>
      <c r="C134" s="20">
        <v>14608</v>
      </c>
    </row>
    <row r="135" spans="1:3" x14ac:dyDescent="0.45">
      <c r="A135" t="s">
        <v>667</v>
      </c>
      <c r="B135" t="e">
        <f>VLOOKUP(A135,Register!$B$4:$F$738,10)</f>
        <v>#REF!</v>
      </c>
      <c r="C135" s="20">
        <v>14307.1315</v>
      </c>
    </row>
    <row r="136" spans="1:3" x14ac:dyDescent="0.45">
      <c r="A136" t="s">
        <v>4059</v>
      </c>
      <c r="B136" t="e">
        <f>VLOOKUP(A136,Register!$B$4:$F$738,10)</f>
        <v>#REF!</v>
      </c>
      <c r="C136" s="20">
        <v>14275.321599999999</v>
      </c>
    </row>
    <row r="137" spans="1:3" x14ac:dyDescent="0.45">
      <c r="A137" t="s">
        <v>1847</v>
      </c>
      <c r="B137" t="e">
        <f>VLOOKUP(A137,Register!$B$4:$F$738,10)</f>
        <v>#REF!</v>
      </c>
      <c r="C137" s="20">
        <v>14012.6</v>
      </c>
    </row>
    <row r="138" spans="1:3" x14ac:dyDescent="0.45">
      <c r="A138" t="s">
        <v>3399</v>
      </c>
      <c r="B138" t="e">
        <f>VLOOKUP(A138,Register!$B$4:$F$738,10)</f>
        <v>#REF!</v>
      </c>
      <c r="C138" s="20">
        <v>13574.249199999997</v>
      </c>
    </row>
    <row r="139" spans="1:3" x14ac:dyDescent="0.45">
      <c r="A139" t="s">
        <v>1971</v>
      </c>
      <c r="B139" t="e">
        <f>VLOOKUP(A139,Register!$B$4:$F$738,10)</f>
        <v>#REF!</v>
      </c>
      <c r="C139" s="20">
        <v>13100</v>
      </c>
    </row>
    <row r="140" spans="1:3" x14ac:dyDescent="0.45">
      <c r="A140" t="s">
        <v>2012</v>
      </c>
      <c r="B140" t="e">
        <f>VLOOKUP(A140,Register!$B$4:$F$738,10)</f>
        <v>#REF!</v>
      </c>
      <c r="C140" s="20">
        <v>13021.988299999999</v>
      </c>
    </row>
    <row r="141" spans="1:3" x14ac:dyDescent="0.45">
      <c r="A141" t="s">
        <v>2234</v>
      </c>
      <c r="B141" t="e">
        <f>VLOOKUP(A141,Register!$B$4:$F$738,10)</f>
        <v>#REF!</v>
      </c>
      <c r="C141" s="20">
        <v>12992</v>
      </c>
    </row>
    <row r="142" spans="1:3" x14ac:dyDescent="0.45">
      <c r="A142" t="s">
        <v>4060</v>
      </c>
      <c r="B142" t="e">
        <f>VLOOKUP(A142,Register!$B$4:$F$738,10)</f>
        <v>#REF!</v>
      </c>
      <c r="C142" s="20">
        <v>12571.5</v>
      </c>
    </row>
    <row r="143" spans="1:3" x14ac:dyDescent="0.45">
      <c r="A143" t="s">
        <v>2238</v>
      </c>
      <c r="B143" t="e">
        <f>VLOOKUP(A143,Register!$B$4:$F$738,10)</f>
        <v>#REF!</v>
      </c>
      <c r="C143" s="20">
        <v>12558.821300000003</v>
      </c>
    </row>
    <row r="144" spans="1:3" x14ac:dyDescent="0.45">
      <c r="A144" t="s">
        <v>4061</v>
      </c>
      <c r="B144" t="e">
        <f>VLOOKUP(A144,Register!$B$4:$F$738,10)</f>
        <v>#REF!</v>
      </c>
      <c r="C144" s="20">
        <v>12469.470600000001</v>
      </c>
    </row>
    <row r="145" spans="1:3" x14ac:dyDescent="0.45">
      <c r="A145" t="s">
        <v>1222</v>
      </c>
      <c r="B145" t="e">
        <f>VLOOKUP(A145,Register!$B$4:$F$738,10)</f>
        <v>#REF!</v>
      </c>
      <c r="C145" s="20">
        <v>12322.609999999999</v>
      </c>
    </row>
    <row r="146" spans="1:3" x14ac:dyDescent="0.45">
      <c r="A146" t="s">
        <v>3511</v>
      </c>
      <c r="B146" t="e">
        <f>VLOOKUP(A146,Register!$B$4:$F$738,10)</f>
        <v>#REF!</v>
      </c>
      <c r="C146" s="20">
        <v>12296.729499999999</v>
      </c>
    </row>
    <row r="147" spans="1:3" x14ac:dyDescent="0.45">
      <c r="A147" t="s">
        <v>2308</v>
      </c>
      <c r="B147" t="e">
        <f>VLOOKUP(A147,Register!$B$4:$F$738,10)</f>
        <v>#REF!</v>
      </c>
      <c r="C147" s="20">
        <v>12265.311699999998</v>
      </c>
    </row>
    <row r="148" spans="1:3" x14ac:dyDescent="0.45">
      <c r="A148" t="s">
        <v>4062</v>
      </c>
      <c r="B148" t="e">
        <f>VLOOKUP(A148,Register!$B$4:$F$738,10)</f>
        <v>#REF!</v>
      </c>
      <c r="C148" s="20">
        <v>11955.020000000002</v>
      </c>
    </row>
    <row r="149" spans="1:3" x14ac:dyDescent="0.45">
      <c r="A149" t="s">
        <v>535</v>
      </c>
      <c r="B149" t="e">
        <f>VLOOKUP(A149,Register!$B$4:$F$738,10)</f>
        <v>#REF!</v>
      </c>
      <c r="C149" s="20">
        <v>11701.2016</v>
      </c>
    </row>
    <row r="150" spans="1:3" x14ac:dyDescent="0.45">
      <c r="A150" t="s">
        <v>361</v>
      </c>
      <c r="B150" t="e">
        <f>VLOOKUP(A150,Register!$B$4:$F$738,10)</f>
        <v>#REF!</v>
      </c>
      <c r="C150" s="20">
        <v>11594.099999999999</v>
      </c>
    </row>
    <row r="151" spans="1:3" x14ac:dyDescent="0.45">
      <c r="A151" t="s">
        <v>579</v>
      </c>
      <c r="B151" t="e">
        <f>VLOOKUP(A151,Register!$B$4:$F$738,10)</f>
        <v>#REF!</v>
      </c>
      <c r="C151" s="20">
        <v>11425</v>
      </c>
    </row>
    <row r="152" spans="1:3" x14ac:dyDescent="0.45">
      <c r="A152" t="s">
        <v>4063</v>
      </c>
      <c r="B152" t="e">
        <f>VLOOKUP(A152,Register!$B$4:$F$738,10)</f>
        <v>#REF!</v>
      </c>
      <c r="C152" s="20">
        <v>11394.413</v>
      </c>
    </row>
    <row r="153" spans="1:3" x14ac:dyDescent="0.45">
      <c r="A153" t="s">
        <v>4064</v>
      </c>
      <c r="B153" t="e">
        <f>VLOOKUP(A153,Register!$B$4:$F$738,10)</f>
        <v>#REF!</v>
      </c>
      <c r="C153" s="20">
        <v>11366.69</v>
      </c>
    </row>
    <row r="154" spans="1:3" x14ac:dyDescent="0.45">
      <c r="A154" t="s">
        <v>2458</v>
      </c>
      <c r="B154" t="e">
        <f>VLOOKUP(A154,Register!$B$4:$F$738,10)</f>
        <v>#REF!</v>
      </c>
      <c r="C154" s="20">
        <v>11331.9725</v>
      </c>
    </row>
    <row r="155" spans="1:3" x14ac:dyDescent="0.45">
      <c r="A155" t="s">
        <v>2733</v>
      </c>
      <c r="B155" t="e">
        <f>VLOOKUP(A155,Register!$B$4:$F$738,10)</f>
        <v>#REF!</v>
      </c>
      <c r="C155" s="20">
        <v>11223.1</v>
      </c>
    </row>
    <row r="156" spans="1:3" x14ac:dyDescent="0.45">
      <c r="A156" t="s">
        <v>2336</v>
      </c>
      <c r="B156" t="e">
        <f>VLOOKUP(A156,Register!$B$4:$F$738,10)</f>
        <v>#REF!</v>
      </c>
      <c r="C156" s="20">
        <v>10926.100000000002</v>
      </c>
    </row>
    <row r="157" spans="1:3" x14ac:dyDescent="0.45">
      <c r="A157" t="s">
        <v>4065</v>
      </c>
      <c r="B157" t="e">
        <f>VLOOKUP(A157,Register!$B$4:$F$738,10)</f>
        <v>#REF!</v>
      </c>
      <c r="C157" s="20">
        <v>10899</v>
      </c>
    </row>
    <row r="158" spans="1:3" x14ac:dyDescent="0.45">
      <c r="A158" t="s">
        <v>2317</v>
      </c>
      <c r="B158" t="e">
        <f>VLOOKUP(A158,Register!$B$4:$F$738,10)</f>
        <v>#REF!</v>
      </c>
      <c r="C158" s="20">
        <v>10867.499099999999</v>
      </c>
    </row>
    <row r="159" spans="1:3" x14ac:dyDescent="0.45">
      <c r="A159" t="s">
        <v>4066</v>
      </c>
      <c r="B159" t="e">
        <f>VLOOKUP(A159,Register!$B$4:$F$738,10)</f>
        <v>#REF!</v>
      </c>
      <c r="C159" s="20">
        <v>10810</v>
      </c>
    </row>
    <row r="160" spans="1:3" x14ac:dyDescent="0.45">
      <c r="A160" t="s">
        <v>4067</v>
      </c>
      <c r="B160" t="e">
        <f>VLOOKUP(A160,Register!$B$4:$F$738,10)</f>
        <v>#REF!</v>
      </c>
      <c r="C160" s="20">
        <v>10638.749</v>
      </c>
    </row>
    <row r="161" spans="1:3" x14ac:dyDescent="0.45">
      <c r="A161" t="s">
        <v>2156</v>
      </c>
      <c r="B161" t="e">
        <f>VLOOKUP(A161,Register!$B$4:$F$738,10)</f>
        <v>#REF!</v>
      </c>
      <c r="C161" s="20">
        <v>10547.712800000003</v>
      </c>
    </row>
    <row r="162" spans="1:3" x14ac:dyDescent="0.45">
      <c r="A162" t="s">
        <v>1607</v>
      </c>
      <c r="B162" t="e">
        <f>VLOOKUP(A162,Register!$B$4:$F$738,10)</f>
        <v>#REF!</v>
      </c>
      <c r="C162" s="20">
        <v>10492.890000000001</v>
      </c>
    </row>
    <row r="163" spans="1:3" x14ac:dyDescent="0.45">
      <c r="A163" t="s">
        <v>4068</v>
      </c>
      <c r="B163" t="e">
        <f>VLOOKUP(A163,Register!$B$4:$F$738,10)</f>
        <v>#REF!</v>
      </c>
      <c r="C163" s="20">
        <v>10458.091199999999</v>
      </c>
    </row>
    <row r="164" spans="1:3" x14ac:dyDescent="0.45">
      <c r="A164" t="s">
        <v>4069</v>
      </c>
      <c r="B164" t="e">
        <f>VLOOKUP(A164,Register!$B$4:$F$738,10)</f>
        <v>#REF!</v>
      </c>
      <c r="C164" s="20">
        <v>10454.781300000001</v>
      </c>
    </row>
    <row r="165" spans="1:3" x14ac:dyDescent="0.45">
      <c r="A165" t="s">
        <v>4070</v>
      </c>
      <c r="B165" t="e">
        <f>VLOOKUP(A165,Register!$B$4:$F$738,10)</f>
        <v>#REF!</v>
      </c>
      <c r="C165" s="20">
        <v>10430</v>
      </c>
    </row>
    <row r="166" spans="1:3" x14ac:dyDescent="0.45">
      <c r="A166" t="s">
        <v>4071</v>
      </c>
      <c r="B166" t="e">
        <f>VLOOKUP(A166,Register!$B$4:$F$738,10)</f>
        <v>#REF!</v>
      </c>
      <c r="C166" s="20">
        <v>10404.8487</v>
      </c>
    </row>
    <row r="167" spans="1:3" x14ac:dyDescent="0.45">
      <c r="A167" t="s">
        <v>4072</v>
      </c>
      <c r="B167" t="e">
        <f>VLOOKUP(A167,Register!$B$4:$F$738,10)</f>
        <v>#REF!</v>
      </c>
      <c r="C167" s="20">
        <v>10050</v>
      </c>
    </row>
    <row r="168" spans="1:3" x14ac:dyDescent="0.45">
      <c r="A168" t="s">
        <v>4073</v>
      </c>
      <c r="B168" t="e">
        <f>VLOOKUP(A168,Register!$B$4:$F$738,10)</f>
        <v>#REF!</v>
      </c>
      <c r="C168" s="20">
        <v>10017.700000000001</v>
      </c>
    </row>
    <row r="169" spans="1:3" x14ac:dyDescent="0.45">
      <c r="A169" t="s">
        <v>4074</v>
      </c>
      <c r="B169" t="e">
        <f>VLOOKUP(A169,Register!$B$4:$F$738,10)</f>
        <v>#REF!</v>
      </c>
      <c r="C169" s="20">
        <v>9947.7800000000007</v>
      </c>
    </row>
    <row r="170" spans="1:3" x14ac:dyDescent="0.45">
      <c r="A170" t="s">
        <v>840</v>
      </c>
      <c r="B170" t="e">
        <f>VLOOKUP(A170,Register!$B$4:$F$738,10)</f>
        <v>#REF!</v>
      </c>
      <c r="C170" s="20">
        <v>9909.279999999997</v>
      </c>
    </row>
    <row r="171" spans="1:3" x14ac:dyDescent="0.45">
      <c r="A171" t="s">
        <v>4075</v>
      </c>
      <c r="B171" t="e">
        <f>VLOOKUP(A171,Register!$B$4:$F$738,10)</f>
        <v>#REF!</v>
      </c>
      <c r="C171" s="20">
        <v>9523.6500000000015</v>
      </c>
    </row>
    <row r="172" spans="1:3" x14ac:dyDescent="0.45">
      <c r="A172" t="s">
        <v>4076</v>
      </c>
      <c r="B172" t="e">
        <f>VLOOKUP(A172,Register!$B$4:$F$738,10)</f>
        <v>#REF!</v>
      </c>
      <c r="C172" s="20">
        <v>9355.3487999999998</v>
      </c>
    </row>
    <row r="173" spans="1:3" x14ac:dyDescent="0.45">
      <c r="A173" t="s">
        <v>4077</v>
      </c>
      <c r="B173" t="e">
        <f>VLOOKUP(A173,Register!$B$4:$F$738,10)</f>
        <v>#REF!</v>
      </c>
      <c r="C173" s="20">
        <v>9291.4699999999993</v>
      </c>
    </row>
    <row r="174" spans="1:3" x14ac:dyDescent="0.45">
      <c r="A174" t="s">
        <v>4078</v>
      </c>
      <c r="B174" t="e">
        <f>VLOOKUP(A174,Register!$B$4:$F$738,10)</f>
        <v>#REF!</v>
      </c>
      <c r="C174" s="20">
        <v>9148.9881999999998</v>
      </c>
    </row>
    <row r="175" spans="1:3" x14ac:dyDescent="0.45">
      <c r="A175" t="s">
        <v>4079</v>
      </c>
      <c r="B175" t="e">
        <f>VLOOKUP(A175,Register!$B$4:$F$738,10)</f>
        <v>#REF!</v>
      </c>
      <c r="C175" s="20">
        <v>9050</v>
      </c>
    </row>
    <row r="176" spans="1:3" x14ac:dyDescent="0.45">
      <c r="A176" t="s">
        <v>4080</v>
      </c>
      <c r="B176" t="e">
        <f>VLOOKUP(A176,Register!$B$4:$F$738,10)</f>
        <v>#REF!</v>
      </c>
      <c r="C176" s="20">
        <v>8948.7749999999996</v>
      </c>
    </row>
    <row r="177" spans="1:3" x14ac:dyDescent="0.45">
      <c r="A177" t="s">
        <v>314</v>
      </c>
      <c r="B177" t="e">
        <f>VLOOKUP(A177,Register!$B$4:$F$738,10)</f>
        <v>#REF!</v>
      </c>
      <c r="C177" s="20">
        <v>8825</v>
      </c>
    </row>
    <row r="178" spans="1:3" x14ac:dyDescent="0.45">
      <c r="A178" t="s">
        <v>4081</v>
      </c>
      <c r="B178" t="e">
        <f>VLOOKUP(A178,Register!$B$4:$F$738,10)</f>
        <v>#REF!</v>
      </c>
      <c r="C178" s="20">
        <v>8811.8779000000013</v>
      </c>
    </row>
    <row r="179" spans="1:3" x14ac:dyDescent="0.45">
      <c r="A179" t="s">
        <v>2229</v>
      </c>
      <c r="B179" t="e">
        <f>VLOOKUP(A179,Register!$B$4:$F$738,10)</f>
        <v>#REF!</v>
      </c>
      <c r="C179" s="20">
        <v>8702.5424000000003</v>
      </c>
    </row>
    <row r="180" spans="1:3" x14ac:dyDescent="0.45">
      <c r="A180" t="s">
        <v>4082</v>
      </c>
      <c r="B180" t="e">
        <f>VLOOKUP(A180,Register!$B$4:$F$738,10)</f>
        <v>#REF!</v>
      </c>
      <c r="C180" s="20">
        <v>8620</v>
      </c>
    </row>
    <row r="181" spans="1:3" x14ac:dyDescent="0.45">
      <c r="A181" t="s">
        <v>4083</v>
      </c>
      <c r="B181" t="e">
        <f>VLOOKUP(A181,Register!$B$4:$F$738,10)</f>
        <v>#REF!</v>
      </c>
      <c r="C181" s="20">
        <v>8612.9524999999976</v>
      </c>
    </row>
    <row r="182" spans="1:3" x14ac:dyDescent="0.45">
      <c r="A182" t="s">
        <v>4084</v>
      </c>
      <c r="B182" t="e">
        <f>VLOOKUP(A182,Register!$B$4:$F$738,10)</f>
        <v>#REF!</v>
      </c>
      <c r="C182" s="20">
        <v>8558.5800000000017</v>
      </c>
    </row>
    <row r="183" spans="1:3" x14ac:dyDescent="0.45">
      <c r="A183" t="s">
        <v>4085</v>
      </c>
      <c r="B183" t="e">
        <f>VLOOKUP(A183,Register!$B$4:$F$738,10)</f>
        <v>#REF!</v>
      </c>
      <c r="C183" s="20">
        <v>8489.8587999999982</v>
      </c>
    </row>
    <row r="184" spans="1:3" x14ac:dyDescent="0.45">
      <c r="A184" t="s">
        <v>4086</v>
      </c>
      <c r="B184" t="e">
        <f>VLOOKUP(A184,Register!$B$4:$F$738,10)</f>
        <v>#REF!</v>
      </c>
      <c r="C184" s="20">
        <v>8447.7850000000017</v>
      </c>
    </row>
    <row r="185" spans="1:3" x14ac:dyDescent="0.45">
      <c r="A185" t="s">
        <v>4087</v>
      </c>
      <c r="B185" t="e">
        <f>VLOOKUP(A185,Register!$B$4:$F$738,10)</f>
        <v>#REF!</v>
      </c>
      <c r="C185" s="20">
        <v>8406.5378000000001</v>
      </c>
    </row>
    <row r="186" spans="1:3" x14ac:dyDescent="0.45">
      <c r="A186" t="s">
        <v>4088</v>
      </c>
      <c r="B186" t="e">
        <f>VLOOKUP(A186,Register!$B$4:$F$738,10)</f>
        <v>#REF!</v>
      </c>
      <c r="C186" s="20">
        <v>8370.2435000000005</v>
      </c>
    </row>
    <row r="187" spans="1:3" x14ac:dyDescent="0.45">
      <c r="A187" t="s">
        <v>4089</v>
      </c>
      <c r="B187" t="e">
        <f>VLOOKUP(A187,Register!$B$4:$F$738,10)</f>
        <v>#REF!</v>
      </c>
      <c r="C187" s="20">
        <v>8268.4500000000007</v>
      </c>
    </row>
    <row r="188" spans="1:3" x14ac:dyDescent="0.45">
      <c r="A188" t="s">
        <v>4090</v>
      </c>
      <c r="B188" t="e">
        <f>VLOOKUP(A188,Register!$B$4:$F$738,10)</f>
        <v>#REF!</v>
      </c>
      <c r="C188" s="20">
        <v>8200.4089000000004</v>
      </c>
    </row>
    <row r="189" spans="1:3" x14ac:dyDescent="0.45">
      <c r="A189" t="s">
        <v>4091</v>
      </c>
      <c r="B189" t="e">
        <f>VLOOKUP(A189,Register!$B$4:$F$738,10)</f>
        <v>#REF!</v>
      </c>
      <c r="C189" s="20">
        <v>8175.4144999999999</v>
      </c>
    </row>
    <row r="190" spans="1:3" x14ac:dyDescent="0.45">
      <c r="A190" t="s">
        <v>403</v>
      </c>
      <c r="B190" t="e">
        <f>VLOOKUP(A190,Register!$B$4:$F$738,10)</f>
        <v>#REF!</v>
      </c>
      <c r="C190" s="20">
        <v>8128.5</v>
      </c>
    </row>
    <row r="191" spans="1:3" x14ac:dyDescent="0.45">
      <c r="A191" t="s">
        <v>4092</v>
      </c>
      <c r="B191" t="e">
        <f>VLOOKUP(A191,Register!$B$4:$F$738,10)</f>
        <v>#REF!</v>
      </c>
      <c r="C191" s="20">
        <v>8126.5</v>
      </c>
    </row>
    <row r="192" spans="1:3" x14ac:dyDescent="0.45">
      <c r="A192" t="s">
        <v>4093</v>
      </c>
      <c r="B192" t="e">
        <f>VLOOKUP(A192,Register!$B$4:$F$738,10)</f>
        <v>#REF!</v>
      </c>
      <c r="C192" s="20">
        <v>8077.8098</v>
      </c>
    </row>
    <row r="193" spans="1:3" x14ac:dyDescent="0.45">
      <c r="A193" t="s">
        <v>2221</v>
      </c>
      <c r="B193" t="e">
        <f>VLOOKUP(A193,Register!$B$4:$F$738,10)</f>
        <v>#REF!</v>
      </c>
      <c r="C193" s="20">
        <v>8006.2784999999994</v>
      </c>
    </row>
    <row r="194" spans="1:3" x14ac:dyDescent="0.45">
      <c r="A194" t="s">
        <v>4094</v>
      </c>
      <c r="B194" t="e">
        <f>VLOOKUP(A194,Register!$B$4:$F$738,10)</f>
        <v>#REF!</v>
      </c>
      <c r="C194" s="20">
        <v>7980</v>
      </c>
    </row>
    <row r="195" spans="1:3" x14ac:dyDescent="0.45">
      <c r="A195" t="s">
        <v>1831</v>
      </c>
      <c r="B195" t="e">
        <f>VLOOKUP(A195,Register!$B$4:$F$738,10)</f>
        <v>#REF!</v>
      </c>
      <c r="C195" s="20">
        <v>7801.7701999999999</v>
      </c>
    </row>
    <row r="196" spans="1:3" x14ac:dyDescent="0.45">
      <c r="A196" t="s">
        <v>4095</v>
      </c>
      <c r="B196" t="e">
        <f>VLOOKUP(A196,Register!$B$4:$F$738,10)</f>
        <v>#REF!</v>
      </c>
      <c r="C196" s="20">
        <v>7774.1471000000001</v>
      </c>
    </row>
    <row r="197" spans="1:3" x14ac:dyDescent="0.45">
      <c r="A197" t="s">
        <v>1897</v>
      </c>
      <c r="B197" t="e">
        <f>VLOOKUP(A197,Register!$B$4:$F$738,10)</f>
        <v>#REF!</v>
      </c>
      <c r="C197" s="20">
        <v>7708.2116999999998</v>
      </c>
    </row>
    <row r="198" spans="1:3" x14ac:dyDescent="0.45">
      <c r="A198" t="s">
        <v>496</v>
      </c>
      <c r="B198" t="e">
        <f>VLOOKUP(A198,Register!$B$4:$F$738,10)</f>
        <v>#REF!</v>
      </c>
      <c r="C198" s="20">
        <v>7691.2499999999991</v>
      </c>
    </row>
    <row r="199" spans="1:3" x14ac:dyDescent="0.45">
      <c r="A199" t="s">
        <v>272</v>
      </c>
      <c r="B199" t="e">
        <f>VLOOKUP(A199,Register!$B$4:$F$738,10)</f>
        <v>#REF!</v>
      </c>
      <c r="C199" s="20">
        <v>7635.1923000000215</v>
      </c>
    </row>
    <row r="200" spans="1:3" x14ac:dyDescent="0.45">
      <c r="A200" t="s">
        <v>1963</v>
      </c>
      <c r="B200" t="e">
        <f>VLOOKUP(A200,Register!$B$4:$F$738,10)</f>
        <v>#N/A</v>
      </c>
      <c r="C200" s="20">
        <v>7635</v>
      </c>
    </row>
    <row r="201" spans="1:3" x14ac:dyDescent="0.45">
      <c r="A201" t="s">
        <v>1627</v>
      </c>
      <c r="B201" t="e">
        <f>VLOOKUP(A201,Register!$B$4:$F$738,10)</f>
        <v>#REF!</v>
      </c>
      <c r="C201" s="20">
        <v>7633.8</v>
      </c>
    </row>
    <row r="202" spans="1:3" x14ac:dyDescent="0.45">
      <c r="A202" t="s">
        <v>4096</v>
      </c>
      <c r="B202" t="e">
        <f>VLOOKUP(A202,Register!$B$4:$F$738,10)</f>
        <v>#REF!</v>
      </c>
      <c r="C202" s="20">
        <v>7503.155099999999</v>
      </c>
    </row>
    <row r="203" spans="1:3" x14ac:dyDescent="0.45">
      <c r="A203" t="s">
        <v>4097</v>
      </c>
      <c r="B203" t="e">
        <f>VLOOKUP(A203,Register!$B$4:$F$738,10)</f>
        <v>#REF!</v>
      </c>
      <c r="C203" s="20">
        <v>7427.5</v>
      </c>
    </row>
    <row r="204" spans="1:3" x14ac:dyDescent="0.45">
      <c r="A204" t="s">
        <v>1860</v>
      </c>
      <c r="B204" t="e">
        <f>VLOOKUP(A204,Register!$B$4:$F$738,10)</f>
        <v>#REF!</v>
      </c>
      <c r="C204" s="20">
        <v>7405</v>
      </c>
    </row>
    <row r="205" spans="1:3" x14ac:dyDescent="0.45">
      <c r="A205" t="s">
        <v>4098</v>
      </c>
      <c r="B205" t="e">
        <f>VLOOKUP(A205,Register!$B$4:$F$738,10)</f>
        <v>#REF!</v>
      </c>
      <c r="C205" s="20">
        <v>7382.3340000000007</v>
      </c>
    </row>
    <row r="206" spans="1:3" x14ac:dyDescent="0.45">
      <c r="A206" t="s">
        <v>4099</v>
      </c>
      <c r="B206" t="e">
        <f>VLOOKUP(A206,Register!$B$4:$F$738,10)</f>
        <v>#REF!</v>
      </c>
      <c r="C206" s="20">
        <v>7346.5488999999998</v>
      </c>
    </row>
    <row r="207" spans="1:3" x14ac:dyDescent="0.45">
      <c r="A207" t="s">
        <v>4100</v>
      </c>
      <c r="B207" t="e">
        <f>VLOOKUP(A207,Register!$B$4:$F$738,10)</f>
        <v>#REF!</v>
      </c>
      <c r="C207" s="20">
        <v>7272.73</v>
      </c>
    </row>
    <row r="208" spans="1:3" x14ac:dyDescent="0.45">
      <c r="A208" t="s">
        <v>3463</v>
      </c>
      <c r="B208" t="e">
        <f>VLOOKUP(A208,Register!$B$4:$F$738,10)</f>
        <v>#REF!</v>
      </c>
      <c r="C208" s="20">
        <v>7226.1537999999973</v>
      </c>
    </row>
    <row r="209" spans="1:3" x14ac:dyDescent="0.45">
      <c r="A209" t="s">
        <v>2424</v>
      </c>
      <c r="B209" t="e">
        <f>VLOOKUP(A209,Register!$B$4:$F$738,10)</f>
        <v>#REF!</v>
      </c>
      <c r="C209" s="20">
        <v>7168.8600000000006</v>
      </c>
    </row>
    <row r="210" spans="1:3" x14ac:dyDescent="0.45">
      <c r="A210" t="s">
        <v>4101</v>
      </c>
      <c r="B210" t="e">
        <f>VLOOKUP(A210,Register!$B$4:$F$738,10)</f>
        <v>#REF!</v>
      </c>
      <c r="C210" s="20">
        <v>7149</v>
      </c>
    </row>
    <row r="211" spans="1:3" x14ac:dyDescent="0.45">
      <c r="A211" t="s">
        <v>4102</v>
      </c>
      <c r="B211" t="e">
        <f>VLOOKUP(A211,Register!$B$4:$F$738,10)</f>
        <v>#REF!</v>
      </c>
      <c r="C211" s="20">
        <v>7091.9808999999996</v>
      </c>
    </row>
    <row r="212" spans="1:3" x14ac:dyDescent="0.45">
      <c r="A212" t="s">
        <v>4103</v>
      </c>
      <c r="B212" t="e">
        <f>VLOOKUP(A212,Register!$B$4:$F$738,10)</f>
        <v>#REF!</v>
      </c>
      <c r="C212" s="20">
        <v>7050</v>
      </c>
    </row>
    <row r="213" spans="1:3" x14ac:dyDescent="0.45">
      <c r="A213" t="s">
        <v>4104</v>
      </c>
      <c r="B213" t="e">
        <f>VLOOKUP(A213,Register!$B$4:$F$738,10)</f>
        <v>#REF!</v>
      </c>
      <c r="C213" s="20">
        <v>6970.7</v>
      </c>
    </row>
    <row r="214" spans="1:3" x14ac:dyDescent="0.45">
      <c r="A214" t="s">
        <v>4105</v>
      </c>
      <c r="B214" t="e">
        <f>VLOOKUP(A214,Register!$B$4:$F$738,10)</f>
        <v>#REF!</v>
      </c>
      <c r="C214" s="20">
        <v>6911.5060000000003</v>
      </c>
    </row>
    <row r="215" spans="1:3" x14ac:dyDescent="0.45">
      <c r="A215" t="s">
        <v>2975</v>
      </c>
      <c r="B215" t="e">
        <f>VLOOKUP(A215,Register!$B$4:$F$738,10)</f>
        <v>#REF!</v>
      </c>
      <c r="C215" s="20">
        <v>6890</v>
      </c>
    </row>
    <row r="216" spans="1:3" x14ac:dyDescent="0.45">
      <c r="A216" t="s">
        <v>4106</v>
      </c>
      <c r="B216" t="e">
        <f>VLOOKUP(A216,Register!$B$4:$F$738,10)</f>
        <v>#REF!</v>
      </c>
      <c r="C216" s="20">
        <v>6705.3636000000006</v>
      </c>
    </row>
    <row r="217" spans="1:3" x14ac:dyDescent="0.45">
      <c r="A217" t="s">
        <v>4107</v>
      </c>
      <c r="B217" t="e">
        <f>VLOOKUP(A217,Register!$B$4:$F$738,10)</f>
        <v>#REF!</v>
      </c>
      <c r="C217" s="20">
        <v>6657.92</v>
      </c>
    </row>
    <row r="218" spans="1:3" x14ac:dyDescent="0.45">
      <c r="A218" t="s">
        <v>4108</v>
      </c>
      <c r="B218" t="e">
        <f>VLOOKUP(A218,Register!$B$4:$F$738,10)</f>
        <v>#REF!</v>
      </c>
      <c r="C218" s="20">
        <v>6531.7499999999991</v>
      </c>
    </row>
    <row r="219" spans="1:3" x14ac:dyDescent="0.45">
      <c r="A219" t="s">
        <v>3287</v>
      </c>
      <c r="B219" t="e">
        <f>VLOOKUP(A219,Register!$B$4:$F$738,10)</f>
        <v>#REF!</v>
      </c>
      <c r="C219" s="20">
        <v>6511.75</v>
      </c>
    </row>
    <row r="220" spans="1:3" x14ac:dyDescent="0.45">
      <c r="A220" t="s">
        <v>4109</v>
      </c>
      <c r="B220" t="e">
        <f>VLOOKUP(A220,Register!$B$4:$F$738,10)</f>
        <v>#REF!</v>
      </c>
      <c r="C220" s="20">
        <v>6500.4611999999988</v>
      </c>
    </row>
    <row r="221" spans="1:3" x14ac:dyDescent="0.45">
      <c r="A221" t="s">
        <v>2487</v>
      </c>
      <c r="B221" t="e">
        <f>VLOOKUP(A221,Register!$B$4:$F$738,10)</f>
        <v>#REF!</v>
      </c>
      <c r="C221" s="20">
        <v>6471.7866999999997</v>
      </c>
    </row>
    <row r="222" spans="1:3" x14ac:dyDescent="0.45">
      <c r="A222" t="s">
        <v>1604</v>
      </c>
      <c r="B222" t="e">
        <f>VLOOKUP(A222,Register!$B$4:$F$738,10)</f>
        <v>#REF!</v>
      </c>
      <c r="C222" s="20">
        <v>6439</v>
      </c>
    </row>
    <row r="223" spans="1:3" x14ac:dyDescent="0.45">
      <c r="A223" t="s">
        <v>4110</v>
      </c>
      <c r="B223" t="e">
        <f>VLOOKUP(A223,Register!$B$4:$F$738,10)</f>
        <v>#REF!</v>
      </c>
      <c r="C223" s="20">
        <v>6426.9</v>
      </c>
    </row>
    <row r="224" spans="1:3" x14ac:dyDescent="0.45">
      <c r="A224" t="s">
        <v>4111</v>
      </c>
      <c r="B224" t="e">
        <f>VLOOKUP(A224,Register!$B$4:$F$738,10)</f>
        <v>#REF!</v>
      </c>
      <c r="C224" s="20">
        <v>6413</v>
      </c>
    </row>
    <row r="225" spans="1:3" x14ac:dyDescent="0.45">
      <c r="A225" t="s">
        <v>937</v>
      </c>
      <c r="B225" t="e">
        <f>VLOOKUP(A225,Register!$B$4:$F$738,10)</f>
        <v>#REF!</v>
      </c>
      <c r="C225" s="20">
        <v>6373.98</v>
      </c>
    </row>
    <row r="226" spans="1:3" x14ac:dyDescent="0.45">
      <c r="A226" t="s">
        <v>2943</v>
      </c>
      <c r="B226" t="e">
        <f>VLOOKUP(A226,Register!$B$4:$F$738,10)</f>
        <v>#REF!</v>
      </c>
      <c r="C226" s="20">
        <v>6366.2699999999995</v>
      </c>
    </row>
    <row r="227" spans="1:3" x14ac:dyDescent="0.45">
      <c r="A227" t="s">
        <v>254</v>
      </c>
      <c r="B227" t="e">
        <f>VLOOKUP(A227,Register!$B$4:$F$738,10)</f>
        <v>#REF!</v>
      </c>
      <c r="C227" s="20">
        <v>6330.8422000000019</v>
      </c>
    </row>
    <row r="228" spans="1:3" x14ac:dyDescent="0.45">
      <c r="A228" t="s">
        <v>620</v>
      </c>
      <c r="B228" t="e">
        <f>VLOOKUP(A228,Register!$B$4:$F$738,10)</f>
        <v>#REF!</v>
      </c>
      <c r="C228" s="20">
        <v>6238.1660999999995</v>
      </c>
    </row>
    <row r="229" spans="1:3" x14ac:dyDescent="0.45">
      <c r="A229" t="s">
        <v>4112</v>
      </c>
      <c r="B229" t="e">
        <f>VLOOKUP(A229,Register!$B$4:$F$738,10)</f>
        <v>#REF!</v>
      </c>
      <c r="C229" s="20">
        <v>6216.71</v>
      </c>
    </row>
    <row r="230" spans="1:3" x14ac:dyDescent="0.45">
      <c r="A230" t="s">
        <v>4113</v>
      </c>
      <c r="B230" t="e">
        <f>VLOOKUP(A230,Register!$B$4:$F$738,10)</f>
        <v>#REF!</v>
      </c>
      <c r="C230" s="20">
        <v>6199.4222</v>
      </c>
    </row>
    <row r="231" spans="1:3" x14ac:dyDescent="0.45">
      <c r="A231" t="s">
        <v>4114</v>
      </c>
      <c r="B231" t="e">
        <f>VLOOKUP(A231,Register!$B$4:$F$738,10)</f>
        <v>#REF!</v>
      </c>
      <c r="C231" s="20">
        <v>6181.0038000000004</v>
      </c>
    </row>
    <row r="232" spans="1:3" x14ac:dyDescent="0.45">
      <c r="A232" t="s">
        <v>3270</v>
      </c>
      <c r="B232" t="e">
        <f>VLOOKUP(A232,Register!$B$4:$F$738,10)</f>
        <v>#REF!</v>
      </c>
      <c r="C232" s="20">
        <v>5971.387099999999</v>
      </c>
    </row>
    <row r="233" spans="1:3" x14ac:dyDescent="0.45">
      <c r="A233" t="s">
        <v>4115</v>
      </c>
      <c r="B233" t="e">
        <f>VLOOKUP(A233,Register!$B$4:$F$738,10)</f>
        <v>#REF!</v>
      </c>
      <c r="C233" s="20">
        <v>5911.4</v>
      </c>
    </row>
    <row r="234" spans="1:3" x14ac:dyDescent="0.45">
      <c r="A234" t="s">
        <v>4116</v>
      </c>
      <c r="B234" t="e">
        <f>VLOOKUP(A234,Register!$B$4:$F$738,10)</f>
        <v>#REF!</v>
      </c>
      <c r="C234" s="20">
        <v>5805.5</v>
      </c>
    </row>
    <row r="235" spans="1:3" x14ac:dyDescent="0.45">
      <c r="A235" t="s">
        <v>1911</v>
      </c>
      <c r="B235" t="e">
        <f>VLOOKUP(A235,Register!$B$4:$F$738,10)</f>
        <v>#REF!</v>
      </c>
      <c r="C235" s="20">
        <v>5750</v>
      </c>
    </row>
    <row r="236" spans="1:3" x14ac:dyDescent="0.45">
      <c r="A236" t="s">
        <v>4117</v>
      </c>
      <c r="B236" t="e">
        <f>VLOOKUP(A236,Register!$B$4:$F$738,10)</f>
        <v>#REF!</v>
      </c>
      <c r="C236" s="20">
        <v>5702.3559999999998</v>
      </c>
    </row>
    <row r="237" spans="1:3" x14ac:dyDescent="0.45">
      <c r="A237" t="s">
        <v>3084</v>
      </c>
      <c r="B237" t="e">
        <f>VLOOKUP(A237,Register!$B$4:$F$738,10)</f>
        <v>#REF!</v>
      </c>
      <c r="C237" s="20">
        <v>5654.5778</v>
      </c>
    </row>
    <row r="238" spans="1:3" x14ac:dyDescent="0.45">
      <c r="A238" t="s">
        <v>2606</v>
      </c>
      <c r="B238" t="e">
        <f>VLOOKUP(A238,Register!$B$4:$F$738,10)</f>
        <v>#REF!</v>
      </c>
      <c r="C238" s="20">
        <v>5650</v>
      </c>
    </row>
    <row r="239" spans="1:3" x14ac:dyDescent="0.45">
      <c r="A239" t="s">
        <v>4118</v>
      </c>
      <c r="B239" t="e">
        <f>VLOOKUP(A239,Register!$B$4:$F$738,10)</f>
        <v>#REF!</v>
      </c>
      <c r="C239" s="20">
        <v>5500</v>
      </c>
    </row>
    <row r="240" spans="1:3" x14ac:dyDescent="0.45">
      <c r="A240" t="s">
        <v>2127</v>
      </c>
      <c r="B240" t="e">
        <f>VLOOKUP(A240,Register!$B$4:$F$738,10)</f>
        <v>#REF!</v>
      </c>
      <c r="C240" s="20">
        <v>5496.9878999999983</v>
      </c>
    </row>
    <row r="241" spans="1:3" x14ac:dyDescent="0.45">
      <c r="A241" t="s">
        <v>4119</v>
      </c>
      <c r="B241" t="e">
        <f>VLOOKUP(A241,Register!$B$4:$F$738,10)</f>
        <v>#REF!</v>
      </c>
      <c r="C241" s="20">
        <v>5476.3576999999996</v>
      </c>
    </row>
    <row r="242" spans="1:3" x14ac:dyDescent="0.45">
      <c r="A242" t="s">
        <v>4120</v>
      </c>
      <c r="B242" t="e">
        <f>VLOOKUP(A242,Register!$B$4:$F$738,10)</f>
        <v>#REF!</v>
      </c>
      <c r="C242" s="20">
        <v>5395.2545</v>
      </c>
    </row>
    <row r="243" spans="1:3" x14ac:dyDescent="0.45">
      <c r="A243" t="s">
        <v>1337</v>
      </c>
      <c r="B243" t="e">
        <f>VLOOKUP(A243,Register!$B$4:$F$738,10)</f>
        <v>#REF!</v>
      </c>
      <c r="C243" s="20">
        <v>5350.2039999999997</v>
      </c>
    </row>
    <row r="244" spans="1:3" x14ac:dyDescent="0.45">
      <c r="A244" t="s">
        <v>4121</v>
      </c>
      <c r="B244" t="e">
        <f>VLOOKUP(A244,Register!$B$4:$F$738,10)</f>
        <v>#REF!</v>
      </c>
      <c r="C244" s="20">
        <v>5160.3</v>
      </c>
    </row>
    <row r="245" spans="1:3" x14ac:dyDescent="0.45">
      <c r="A245" t="s">
        <v>4122</v>
      </c>
      <c r="B245" t="e">
        <f>VLOOKUP(A245,Register!$B$4:$F$738,10)</f>
        <v>#REF!</v>
      </c>
      <c r="C245" s="20">
        <v>5113.4204</v>
      </c>
    </row>
    <row r="246" spans="1:3" x14ac:dyDescent="0.45">
      <c r="A246" t="s">
        <v>4123</v>
      </c>
      <c r="B246" t="e">
        <f>VLOOKUP(A246,Register!$B$4:$F$738,10)</f>
        <v>#REF!</v>
      </c>
      <c r="C246" s="20">
        <v>4990</v>
      </c>
    </row>
    <row r="247" spans="1:3" x14ac:dyDescent="0.45">
      <c r="A247" t="s">
        <v>4124</v>
      </c>
      <c r="B247" t="e">
        <f>VLOOKUP(A247,Register!$B$4:$F$738,10)</f>
        <v>#REF!</v>
      </c>
      <c r="C247" s="20">
        <v>4957.9690000000001</v>
      </c>
    </row>
    <row r="248" spans="1:3" x14ac:dyDescent="0.45">
      <c r="A248" t="s">
        <v>4125</v>
      </c>
      <c r="B248" t="e">
        <f>VLOOKUP(A248,Register!$B$4:$F$738,10)</f>
        <v>#REF!</v>
      </c>
      <c r="C248" s="20">
        <v>4931</v>
      </c>
    </row>
    <row r="249" spans="1:3" x14ac:dyDescent="0.45">
      <c r="A249" t="s">
        <v>4126</v>
      </c>
      <c r="B249" t="e">
        <f>VLOOKUP(A249,Register!$B$4:$F$738,10)</f>
        <v>#REF!</v>
      </c>
      <c r="C249" s="20">
        <v>4928.96</v>
      </c>
    </row>
    <row r="250" spans="1:3" x14ac:dyDescent="0.45">
      <c r="A250" t="s">
        <v>3368</v>
      </c>
      <c r="B250" t="e">
        <f>VLOOKUP(A250,Register!$B$4:$F$738,10)</f>
        <v>#REF!</v>
      </c>
      <c r="C250" s="20">
        <v>4914.5999999999995</v>
      </c>
    </row>
    <row r="251" spans="1:3" x14ac:dyDescent="0.45">
      <c r="A251" t="s">
        <v>4127</v>
      </c>
      <c r="B251" t="e">
        <f>VLOOKUP(A251,Register!$B$4:$F$738,10)</f>
        <v>#REF!</v>
      </c>
      <c r="C251" s="20">
        <v>4850</v>
      </c>
    </row>
    <row r="252" spans="1:3" x14ac:dyDescent="0.45">
      <c r="A252" t="s">
        <v>4128</v>
      </c>
      <c r="B252" t="e">
        <f>VLOOKUP(A252,Register!$B$4:$F$738,10)</f>
        <v>#REF!</v>
      </c>
      <c r="C252" s="20">
        <v>4813.0200000000004</v>
      </c>
    </row>
    <row r="253" spans="1:3" x14ac:dyDescent="0.45">
      <c r="A253" t="s">
        <v>2627</v>
      </c>
      <c r="B253" t="e">
        <f>VLOOKUP(A253,Register!$B$4:$F$738,10)</f>
        <v>#REF!</v>
      </c>
      <c r="C253" s="20">
        <v>4810.5</v>
      </c>
    </row>
    <row r="254" spans="1:3" x14ac:dyDescent="0.45">
      <c r="A254" t="s">
        <v>1206</v>
      </c>
      <c r="B254" t="e">
        <f>VLOOKUP(A254,Register!$B$4:$F$738,10)</f>
        <v>#REF!</v>
      </c>
      <c r="C254" s="20">
        <v>4773.0415000000003</v>
      </c>
    </row>
    <row r="255" spans="1:3" x14ac:dyDescent="0.45">
      <c r="A255" t="s">
        <v>1102</v>
      </c>
      <c r="B255" t="e">
        <f>VLOOKUP(A255,Register!$B$4:$F$738,10)</f>
        <v>#REF!</v>
      </c>
      <c r="C255" s="20">
        <v>4698.1858000000002</v>
      </c>
    </row>
    <row r="256" spans="1:3" x14ac:dyDescent="0.45">
      <c r="A256" t="s">
        <v>4129</v>
      </c>
      <c r="B256" t="e">
        <f>VLOOKUP(A256,Register!$B$4:$F$738,10)</f>
        <v>#REF!</v>
      </c>
      <c r="C256" s="20">
        <v>4667.4450999999999</v>
      </c>
    </row>
    <row r="257" spans="1:3" x14ac:dyDescent="0.45">
      <c r="A257" t="s">
        <v>4130</v>
      </c>
      <c r="B257" t="e">
        <f>VLOOKUP(A257,Register!$B$4:$F$738,10)</f>
        <v>#REF!</v>
      </c>
      <c r="C257" s="20">
        <v>4600</v>
      </c>
    </row>
    <row r="258" spans="1:3" x14ac:dyDescent="0.45">
      <c r="A258" t="s">
        <v>1824</v>
      </c>
      <c r="B258" t="e">
        <f>VLOOKUP(A258,Register!$B$4:$F$738,10)</f>
        <v>#REF!</v>
      </c>
      <c r="C258" s="20">
        <v>4592.4000000000005</v>
      </c>
    </row>
    <row r="259" spans="1:3" x14ac:dyDescent="0.45">
      <c r="A259" t="s">
        <v>4131</v>
      </c>
      <c r="B259" t="e">
        <f>VLOOKUP(A259,Register!$B$4:$F$738,10)</f>
        <v>#REF!</v>
      </c>
      <c r="C259" s="20">
        <v>4460</v>
      </c>
    </row>
    <row r="260" spans="1:3" x14ac:dyDescent="0.45">
      <c r="A260" t="s">
        <v>4132</v>
      </c>
      <c r="B260" t="e">
        <f>VLOOKUP(A260,Register!$B$4:$F$738,10)</f>
        <v>#REF!</v>
      </c>
      <c r="C260" s="20">
        <v>4415</v>
      </c>
    </row>
    <row r="261" spans="1:3" x14ac:dyDescent="0.45">
      <c r="A261" t="s">
        <v>2681</v>
      </c>
      <c r="B261" t="e">
        <f>VLOOKUP(A261,Register!$B$4:$F$738,10)</f>
        <v>#REF!</v>
      </c>
      <c r="C261" s="20">
        <v>4404</v>
      </c>
    </row>
    <row r="262" spans="1:3" x14ac:dyDescent="0.45">
      <c r="A262" t="s">
        <v>4133</v>
      </c>
      <c r="B262" t="e">
        <f>VLOOKUP(A262,Register!$B$4:$F$738,10)</f>
        <v>#REF!</v>
      </c>
      <c r="C262" s="20">
        <v>4362</v>
      </c>
    </row>
    <row r="263" spans="1:3" x14ac:dyDescent="0.45">
      <c r="A263" t="s">
        <v>4134</v>
      </c>
      <c r="B263" t="e">
        <f>VLOOKUP(A263,Register!$B$4:$F$738,10)</f>
        <v>#REF!</v>
      </c>
      <c r="C263" s="20">
        <v>4355.8760000000002</v>
      </c>
    </row>
    <row r="264" spans="1:3" x14ac:dyDescent="0.45">
      <c r="A264" t="s">
        <v>4135</v>
      </c>
      <c r="B264" t="e">
        <f>VLOOKUP(A264,Register!$B$4:$F$738,10)</f>
        <v>#REF!</v>
      </c>
      <c r="C264" s="20">
        <v>4299.78</v>
      </c>
    </row>
    <row r="265" spans="1:3" x14ac:dyDescent="0.45">
      <c r="A265" t="s">
        <v>4136</v>
      </c>
      <c r="B265" t="e">
        <f>VLOOKUP(A265,Register!$B$4:$F$738,10)</f>
        <v>#REF!</v>
      </c>
      <c r="C265" s="20">
        <v>4276.84</v>
      </c>
    </row>
    <row r="266" spans="1:3" x14ac:dyDescent="0.45">
      <c r="A266" t="s">
        <v>1759</v>
      </c>
      <c r="B266" t="e">
        <f>VLOOKUP(A266,Register!$B$4:$F$738,10)</f>
        <v>#REF!</v>
      </c>
      <c r="C266" s="20">
        <v>4223.55</v>
      </c>
    </row>
    <row r="267" spans="1:3" x14ac:dyDescent="0.45">
      <c r="A267" t="s">
        <v>4137</v>
      </c>
      <c r="B267" t="e">
        <f>VLOOKUP(A267,Register!$B$4:$F$738,10)</f>
        <v>#REF!</v>
      </c>
      <c r="C267" s="20">
        <v>4210.3822000000009</v>
      </c>
    </row>
    <row r="268" spans="1:3" x14ac:dyDescent="0.45">
      <c r="A268" t="s">
        <v>4138</v>
      </c>
      <c r="B268" t="e">
        <f>VLOOKUP(A268,Register!$B$4:$F$738,10)</f>
        <v>#REF!</v>
      </c>
      <c r="C268" s="20">
        <v>4171.9399999999996</v>
      </c>
    </row>
    <row r="269" spans="1:3" x14ac:dyDescent="0.45">
      <c r="A269" t="s">
        <v>4139</v>
      </c>
      <c r="B269" t="e">
        <f>VLOOKUP(A269,Register!$B$4:$F$738,10)</f>
        <v>#REF!</v>
      </c>
      <c r="C269" s="20">
        <v>4138.05</v>
      </c>
    </row>
    <row r="270" spans="1:3" x14ac:dyDescent="0.45">
      <c r="A270" t="s">
        <v>4140</v>
      </c>
      <c r="B270" t="e">
        <f>VLOOKUP(A270,Register!$B$4:$F$738,10)</f>
        <v>#REF!</v>
      </c>
      <c r="C270" s="20">
        <v>4079.28</v>
      </c>
    </row>
    <row r="271" spans="1:3" x14ac:dyDescent="0.45">
      <c r="A271" t="s">
        <v>2110</v>
      </c>
      <c r="B271" t="e">
        <f>VLOOKUP(A271,Register!$B$4:$F$738,10)</f>
        <v>#REF!</v>
      </c>
      <c r="C271" s="20">
        <v>4050</v>
      </c>
    </row>
    <row r="272" spans="1:3" x14ac:dyDescent="0.45">
      <c r="A272" t="s">
        <v>1849</v>
      </c>
      <c r="B272" t="e">
        <f>VLOOKUP(A272,Register!$B$4:$F$738,10)</f>
        <v>#REF!</v>
      </c>
      <c r="C272" s="20">
        <v>4042</v>
      </c>
    </row>
    <row r="273" spans="1:3" x14ac:dyDescent="0.45">
      <c r="A273" t="s">
        <v>4141</v>
      </c>
      <c r="B273" t="e">
        <f>VLOOKUP(A273,Register!$B$4:$F$738,10)</f>
        <v>#REF!</v>
      </c>
      <c r="C273" s="20">
        <v>4020.82</v>
      </c>
    </row>
    <row r="274" spans="1:3" x14ac:dyDescent="0.45">
      <c r="A274" t="s">
        <v>2935</v>
      </c>
      <c r="B274" t="e">
        <f>VLOOKUP(A274,Register!$B$4:$F$738,10)</f>
        <v>#REF!</v>
      </c>
      <c r="C274" s="20">
        <v>4020</v>
      </c>
    </row>
    <row r="275" spans="1:3" x14ac:dyDescent="0.45">
      <c r="A275" t="s">
        <v>287</v>
      </c>
      <c r="B275" t="e">
        <f>VLOOKUP(A275,Register!$B$4:$F$738,10)</f>
        <v>#REF!</v>
      </c>
      <c r="C275" s="20">
        <v>4000.9300000000003</v>
      </c>
    </row>
    <row r="276" spans="1:3" x14ac:dyDescent="0.45">
      <c r="A276" t="s">
        <v>2163</v>
      </c>
      <c r="B276" t="e">
        <f>VLOOKUP(A276,Register!$B$4:$F$738,10)</f>
        <v>#REF!</v>
      </c>
      <c r="C276" s="20">
        <v>3998.4395999999997</v>
      </c>
    </row>
    <row r="277" spans="1:3" x14ac:dyDescent="0.45">
      <c r="A277" t="s">
        <v>4142</v>
      </c>
      <c r="B277" t="e">
        <f>VLOOKUP(A277,Register!$B$4:$F$738,10)</f>
        <v>#REF!</v>
      </c>
      <c r="C277" s="20">
        <v>3991.2587000000003</v>
      </c>
    </row>
    <row r="278" spans="1:3" x14ac:dyDescent="0.45">
      <c r="A278" t="s">
        <v>1533</v>
      </c>
      <c r="B278" t="e">
        <f>VLOOKUP(A278,Register!$B$4:$F$738,10)</f>
        <v>#REF!</v>
      </c>
      <c r="C278" s="20">
        <v>3895.39</v>
      </c>
    </row>
    <row r="279" spans="1:3" x14ac:dyDescent="0.45">
      <c r="A279" t="s">
        <v>4143</v>
      </c>
      <c r="B279" t="e">
        <f>VLOOKUP(A279,Register!$B$4:$F$738,10)</f>
        <v>#REF!</v>
      </c>
      <c r="C279" s="20">
        <v>3895</v>
      </c>
    </row>
    <row r="280" spans="1:3" x14ac:dyDescent="0.45">
      <c r="A280" t="s">
        <v>4144</v>
      </c>
      <c r="B280" t="e">
        <f>VLOOKUP(A280,Register!$B$4:$F$738,10)</f>
        <v>#REF!</v>
      </c>
      <c r="C280" s="20">
        <v>3825.1704</v>
      </c>
    </row>
    <row r="281" spans="1:3" x14ac:dyDescent="0.45">
      <c r="A281" t="s">
        <v>4145</v>
      </c>
      <c r="B281" t="e">
        <f>VLOOKUP(A281,Register!$B$4:$F$738,10)</f>
        <v>#REF!</v>
      </c>
      <c r="C281" s="20">
        <v>3700.0648999999999</v>
      </c>
    </row>
    <row r="282" spans="1:3" x14ac:dyDescent="0.45">
      <c r="A282" t="s">
        <v>4146</v>
      </c>
      <c r="B282" t="e">
        <f>VLOOKUP(A282,Register!$B$4:$F$738,10)</f>
        <v>#REF!</v>
      </c>
      <c r="C282" s="20">
        <v>3500</v>
      </c>
    </row>
    <row r="283" spans="1:3" x14ac:dyDescent="0.45">
      <c r="A283" t="s">
        <v>2385</v>
      </c>
      <c r="B283" t="e">
        <f>VLOOKUP(A283,Register!$B$4:$F$738,10)</f>
        <v>#REF!</v>
      </c>
      <c r="C283" s="20">
        <v>3452.95</v>
      </c>
    </row>
    <row r="284" spans="1:3" x14ac:dyDescent="0.45">
      <c r="A284" t="s">
        <v>1419</v>
      </c>
      <c r="B284" t="e">
        <f>VLOOKUP(A284,Register!$B$4:$F$738,10)</f>
        <v>#REF!</v>
      </c>
      <c r="C284" s="20">
        <v>3424.7</v>
      </c>
    </row>
    <row r="285" spans="1:3" x14ac:dyDescent="0.45">
      <c r="A285" t="s">
        <v>4147</v>
      </c>
      <c r="B285" t="e">
        <f>VLOOKUP(A285,Register!$B$4:$F$738,10)</f>
        <v>#REF!</v>
      </c>
      <c r="C285" s="20">
        <v>3409.33</v>
      </c>
    </row>
    <row r="286" spans="1:3" x14ac:dyDescent="0.45">
      <c r="A286" t="s">
        <v>339</v>
      </c>
      <c r="B286" t="e">
        <f>VLOOKUP(A286,Register!$B$4:$F$738,10)</f>
        <v>#REF!</v>
      </c>
      <c r="C286" s="20">
        <v>3366</v>
      </c>
    </row>
    <row r="287" spans="1:3" x14ac:dyDescent="0.45">
      <c r="A287" t="s">
        <v>466</v>
      </c>
      <c r="B287" t="e">
        <f>VLOOKUP(A287,Register!$B$4:$F$738,10)</f>
        <v>#REF!</v>
      </c>
      <c r="C287" s="20">
        <v>3326.3325</v>
      </c>
    </row>
    <row r="288" spans="1:3" x14ac:dyDescent="0.45">
      <c r="A288" t="s">
        <v>4148</v>
      </c>
      <c r="B288" t="e">
        <f>VLOOKUP(A288,Register!$B$4:$F$738,10)</f>
        <v>#REF!</v>
      </c>
      <c r="C288" s="20">
        <v>3318.91</v>
      </c>
    </row>
    <row r="289" spans="1:3" x14ac:dyDescent="0.45">
      <c r="A289" t="s">
        <v>877</v>
      </c>
      <c r="B289" t="e">
        <f>VLOOKUP(A289,Register!$B$4:$F$738,10)</f>
        <v>#REF!</v>
      </c>
      <c r="C289" s="20">
        <v>3273.76</v>
      </c>
    </row>
    <row r="290" spans="1:3" x14ac:dyDescent="0.45">
      <c r="A290" t="s">
        <v>4149</v>
      </c>
      <c r="B290" t="e">
        <f>VLOOKUP(A290,Register!$B$4:$F$738,10)</f>
        <v>#REF!</v>
      </c>
      <c r="C290" s="20">
        <v>3219.8782999999999</v>
      </c>
    </row>
    <row r="291" spans="1:3" x14ac:dyDescent="0.45">
      <c r="A291" t="s">
        <v>4150</v>
      </c>
      <c r="B291" t="e">
        <f>VLOOKUP(A291,Register!$B$4:$F$738,10)</f>
        <v>#REF!</v>
      </c>
      <c r="C291" s="20">
        <v>3184.4862000000003</v>
      </c>
    </row>
    <row r="292" spans="1:3" x14ac:dyDescent="0.45">
      <c r="A292" t="s">
        <v>4151</v>
      </c>
      <c r="B292" t="e">
        <f>VLOOKUP(A292,Register!$B$4:$F$738,10)</f>
        <v>#REF!</v>
      </c>
      <c r="C292" s="20">
        <v>3156</v>
      </c>
    </row>
    <row r="293" spans="1:3" x14ac:dyDescent="0.45">
      <c r="A293" t="s">
        <v>222</v>
      </c>
      <c r="B293" t="e">
        <f>VLOOKUP(A293,Register!$B$4:$F$738,10)</f>
        <v>#REF!</v>
      </c>
      <c r="C293" s="20">
        <v>3154.41</v>
      </c>
    </row>
    <row r="294" spans="1:3" x14ac:dyDescent="0.45">
      <c r="A294" t="s">
        <v>3289</v>
      </c>
      <c r="B294" t="e">
        <f>VLOOKUP(A294,Register!$B$4:$F$738,10)</f>
        <v>#REF!</v>
      </c>
      <c r="C294" s="20">
        <v>3145.4</v>
      </c>
    </row>
    <row r="295" spans="1:3" x14ac:dyDescent="0.45">
      <c r="A295" t="s">
        <v>1450</v>
      </c>
      <c r="B295" t="e">
        <f>VLOOKUP(A295,Register!$B$4:$F$738,10)</f>
        <v>#REF!</v>
      </c>
      <c r="C295" s="20">
        <v>3125.47</v>
      </c>
    </row>
    <row r="296" spans="1:3" x14ac:dyDescent="0.45">
      <c r="A296" t="s">
        <v>1030</v>
      </c>
      <c r="B296" t="e">
        <f>VLOOKUP(A296,Register!$B$4:$F$738,10)</f>
        <v>#REF!</v>
      </c>
      <c r="C296" s="20">
        <v>3094.6946000000003</v>
      </c>
    </row>
    <row r="297" spans="1:3" x14ac:dyDescent="0.45">
      <c r="A297" t="s">
        <v>1329</v>
      </c>
      <c r="B297" t="e">
        <f>VLOOKUP(A297,Register!$B$4:$F$738,10)</f>
        <v>#REF!</v>
      </c>
      <c r="C297" s="20">
        <v>3093.3</v>
      </c>
    </row>
    <row r="298" spans="1:3" x14ac:dyDescent="0.45">
      <c r="A298" t="s">
        <v>4152</v>
      </c>
      <c r="B298" t="e">
        <f>VLOOKUP(A298,Register!$B$4:$F$738,10)</f>
        <v>#REF!</v>
      </c>
      <c r="C298" s="20">
        <v>3090.3399999999997</v>
      </c>
    </row>
    <row r="299" spans="1:3" x14ac:dyDescent="0.45">
      <c r="A299" t="s">
        <v>1060</v>
      </c>
      <c r="B299" t="e">
        <f>VLOOKUP(A299,Register!$B$4:$F$738,10)</f>
        <v>#REF!</v>
      </c>
      <c r="C299" s="20">
        <v>3038.5882000000001</v>
      </c>
    </row>
    <row r="300" spans="1:3" x14ac:dyDescent="0.45">
      <c r="A300" t="s">
        <v>4153</v>
      </c>
      <c r="B300" t="e">
        <f>VLOOKUP(A300,Register!$B$4:$F$738,10)</f>
        <v>#REF!</v>
      </c>
      <c r="C300" s="20">
        <v>2929.9</v>
      </c>
    </row>
    <row r="301" spans="1:3" x14ac:dyDescent="0.45">
      <c r="A301" t="s">
        <v>4154</v>
      </c>
      <c r="B301" t="e">
        <f>VLOOKUP(A301,Register!$B$4:$F$738,10)</f>
        <v>#REF!</v>
      </c>
      <c r="C301" s="20">
        <v>2892.5099999999998</v>
      </c>
    </row>
    <row r="302" spans="1:3" x14ac:dyDescent="0.45">
      <c r="A302" t="s">
        <v>1836</v>
      </c>
      <c r="B302" t="e">
        <f>VLOOKUP(A302,Register!$B$4:$F$738,10)</f>
        <v>#REF!</v>
      </c>
      <c r="C302" s="20">
        <v>2890</v>
      </c>
    </row>
    <row r="303" spans="1:3" x14ac:dyDescent="0.45">
      <c r="A303" t="s">
        <v>2759</v>
      </c>
      <c r="B303" t="e">
        <f>VLOOKUP(A303,Register!$B$4:$F$738,10)</f>
        <v>#REF!</v>
      </c>
      <c r="C303" s="20">
        <v>2887.2</v>
      </c>
    </row>
    <row r="304" spans="1:3" x14ac:dyDescent="0.45">
      <c r="A304" t="s">
        <v>4155</v>
      </c>
      <c r="B304" t="e">
        <f>VLOOKUP(A304,Register!$B$4:$F$738,10)</f>
        <v>#REF!</v>
      </c>
      <c r="C304" s="20">
        <v>2870.9094</v>
      </c>
    </row>
    <row r="305" spans="1:3" x14ac:dyDescent="0.45">
      <c r="A305" t="s">
        <v>2271</v>
      </c>
      <c r="B305" t="e">
        <f>VLOOKUP(A305,Register!$B$4:$F$738,10)</f>
        <v>#REF!</v>
      </c>
      <c r="C305" s="20">
        <v>2843.01</v>
      </c>
    </row>
    <row r="306" spans="1:3" x14ac:dyDescent="0.45">
      <c r="A306" t="s">
        <v>4156</v>
      </c>
      <c r="B306" t="e">
        <f>VLOOKUP(A306,Register!$B$4:$F$738,10)</f>
        <v>#REF!</v>
      </c>
      <c r="C306" s="20">
        <v>2832.9329000000002</v>
      </c>
    </row>
    <row r="307" spans="1:3" x14ac:dyDescent="0.45">
      <c r="A307" t="s">
        <v>4157</v>
      </c>
      <c r="B307" t="e">
        <f>VLOOKUP(A307,Register!$B$4:$F$738,10)</f>
        <v>#REF!</v>
      </c>
      <c r="C307" s="20">
        <v>2814.0174000000002</v>
      </c>
    </row>
    <row r="308" spans="1:3" x14ac:dyDescent="0.45">
      <c r="A308" t="s">
        <v>4158</v>
      </c>
      <c r="B308" t="e">
        <f>VLOOKUP(A308,Register!$B$4:$F$738,10)</f>
        <v>#REF!</v>
      </c>
      <c r="C308" s="20">
        <v>2808.56</v>
      </c>
    </row>
    <row r="309" spans="1:3" x14ac:dyDescent="0.45">
      <c r="A309" t="s">
        <v>4159</v>
      </c>
      <c r="B309" t="e">
        <f>VLOOKUP(A309,Register!$B$4:$F$738,10)</f>
        <v>#REF!</v>
      </c>
      <c r="C309" s="20">
        <v>2781.2499999999991</v>
      </c>
    </row>
    <row r="310" spans="1:3" x14ac:dyDescent="0.45">
      <c r="A310" t="s">
        <v>4160</v>
      </c>
      <c r="B310" t="e">
        <f>VLOOKUP(A310,Register!$B$4:$F$738,10)</f>
        <v>#REF!</v>
      </c>
      <c r="C310" s="20">
        <v>2738.9209999999998</v>
      </c>
    </row>
    <row r="311" spans="1:3" x14ac:dyDescent="0.45">
      <c r="A311" t="s">
        <v>4161</v>
      </c>
      <c r="B311" t="e">
        <f>VLOOKUP(A311,Register!$B$4:$F$738,10)</f>
        <v>#REF!</v>
      </c>
      <c r="C311" s="20">
        <v>2703</v>
      </c>
    </row>
    <row r="312" spans="1:3" x14ac:dyDescent="0.45">
      <c r="A312" t="s">
        <v>4162</v>
      </c>
      <c r="B312" t="e">
        <f>VLOOKUP(A312,Register!$B$4:$F$738,10)</f>
        <v>#REF!</v>
      </c>
      <c r="C312" s="20">
        <v>2701</v>
      </c>
    </row>
    <row r="313" spans="1:3" x14ac:dyDescent="0.45">
      <c r="A313" t="s">
        <v>4163</v>
      </c>
      <c r="B313" t="e">
        <f>VLOOKUP(A313,Register!$B$4:$F$738,10)</f>
        <v>#REF!</v>
      </c>
      <c r="C313" s="20">
        <v>2700</v>
      </c>
    </row>
    <row r="314" spans="1:3" x14ac:dyDescent="0.45">
      <c r="A314" t="s">
        <v>4164</v>
      </c>
      <c r="B314" t="e">
        <f>VLOOKUP(A314,Register!$B$4:$F$738,10)</f>
        <v>#REF!</v>
      </c>
      <c r="C314" s="20">
        <v>2692.1033000000002</v>
      </c>
    </row>
    <row r="315" spans="1:3" x14ac:dyDescent="0.45">
      <c r="A315" t="s">
        <v>4165</v>
      </c>
      <c r="B315" t="e">
        <f>VLOOKUP(A315,Register!$B$4:$F$738,10)</f>
        <v>#REF!</v>
      </c>
      <c r="C315" s="20">
        <v>2675</v>
      </c>
    </row>
    <row r="316" spans="1:3" x14ac:dyDescent="0.45">
      <c r="A316" t="s">
        <v>4166</v>
      </c>
      <c r="B316" t="e">
        <f>VLOOKUP(A316,Register!$B$4:$F$738,10)</f>
        <v>#REF!</v>
      </c>
      <c r="C316" s="20">
        <v>2671.8054999999999</v>
      </c>
    </row>
    <row r="317" spans="1:3" x14ac:dyDescent="0.45">
      <c r="A317" t="s">
        <v>4167</v>
      </c>
      <c r="B317" t="e">
        <f>VLOOKUP(A317,Register!$B$4:$F$738,10)</f>
        <v>#REF!</v>
      </c>
      <c r="C317" s="20">
        <v>2671.74</v>
      </c>
    </row>
    <row r="318" spans="1:3" x14ac:dyDescent="0.45">
      <c r="A318" t="s">
        <v>2752</v>
      </c>
      <c r="B318" t="e">
        <f>VLOOKUP(A318,Register!$B$4:$F$738,10)</f>
        <v>#REF!</v>
      </c>
      <c r="C318" s="20">
        <v>2646.1448999999998</v>
      </c>
    </row>
    <row r="319" spans="1:3" x14ac:dyDescent="0.45">
      <c r="A319" t="s">
        <v>752</v>
      </c>
      <c r="B319" t="e">
        <f>VLOOKUP(A319,Register!$B$4:$F$738,10)</f>
        <v>#REF!</v>
      </c>
      <c r="C319" s="20">
        <v>2632.3199999999997</v>
      </c>
    </row>
    <row r="320" spans="1:3" x14ac:dyDescent="0.45">
      <c r="A320" t="s">
        <v>3200</v>
      </c>
      <c r="B320" t="e">
        <f>VLOOKUP(A320,Register!$B$4:$F$738,10)</f>
        <v>#REF!</v>
      </c>
      <c r="C320" s="20">
        <v>2595</v>
      </c>
    </row>
    <row r="321" spans="1:3" x14ac:dyDescent="0.45">
      <c r="A321" t="s">
        <v>3515</v>
      </c>
      <c r="B321" t="e">
        <f>VLOOKUP(A321,Register!$B$4:$F$738,10)</f>
        <v>#REF!</v>
      </c>
      <c r="C321" s="20">
        <v>2561.3148000000001</v>
      </c>
    </row>
    <row r="322" spans="1:3" x14ac:dyDescent="0.45">
      <c r="A322" t="s">
        <v>1852</v>
      </c>
      <c r="B322" t="e">
        <f>VLOOKUP(A322,Register!$B$4:$F$738,10)</f>
        <v>#REF!</v>
      </c>
      <c r="C322" s="20">
        <v>2527.7000000000003</v>
      </c>
    </row>
    <row r="323" spans="1:3" x14ac:dyDescent="0.45">
      <c r="A323" t="s">
        <v>3576</v>
      </c>
      <c r="B323" t="e">
        <f>VLOOKUP(A323,Register!$B$4:$F$738,10)</f>
        <v>#REF!</v>
      </c>
      <c r="C323" s="20">
        <v>2500</v>
      </c>
    </row>
    <row r="324" spans="1:3" x14ac:dyDescent="0.45">
      <c r="A324" t="s">
        <v>2007</v>
      </c>
      <c r="B324" t="e">
        <f>VLOOKUP(A324,Register!$B$4:$F$738,10)</f>
        <v>#REF!</v>
      </c>
      <c r="C324" s="20">
        <v>2480.88</v>
      </c>
    </row>
    <row r="325" spans="1:3" x14ac:dyDescent="0.45">
      <c r="A325" t="s">
        <v>362</v>
      </c>
      <c r="B325" t="e">
        <f>VLOOKUP(A325,Register!$B$4:$F$738,10)</f>
        <v>#REF!</v>
      </c>
      <c r="C325" s="20">
        <v>2458.3072999999999</v>
      </c>
    </row>
    <row r="326" spans="1:3" x14ac:dyDescent="0.45">
      <c r="A326" t="s">
        <v>4168</v>
      </c>
      <c r="B326" t="e">
        <f>VLOOKUP(A326,Register!$B$4:$F$738,10)</f>
        <v>#REF!</v>
      </c>
      <c r="C326" s="20">
        <v>2395.8399999999997</v>
      </c>
    </row>
    <row r="327" spans="1:3" x14ac:dyDescent="0.45">
      <c r="A327" t="s">
        <v>4169</v>
      </c>
      <c r="B327" t="e">
        <f>VLOOKUP(A327,Register!$B$4:$F$738,10)</f>
        <v>#REF!</v>
      </c>
      <c r="C327" s="20">
        <v>2394.04</v>
      </c>
    </row>
    <row r="328" spans="1:3" x14ac:dyDescent="0.45">
      <c r="A328" t="s">
        <v>1293</v>
      </c>
      <c r="B328" t="e">
        <f>VLOOKUP(A328,Register!$B$4:$F$738,10)</f>
        <v>#REF!</v>
      </c>
      <c r="C328" s="20">
        <v>2357.8682999999992</v>
      </c>
    </row>
    <row r="329" spans="1:3" x14ac:dyDescent="0.45">
      <c r="A329" t="s">
        <v>93</v>
      </c>
      <c r="B329" t="e">
        <f>VLOOKUP(A329,Register!$B$4:$F$738,10)</f>
        <v>#REF!</v>
      </c>
      <c r="C329" s="20">
        <v>2349.6000000000004</v>
      </c>
    </row>
    <row r="330" spans="1:3" x14ac:dyDescent="0.45">
      <c r="A330" t="s">
        <v>814</v>
      </c>
      <c r="B330" t="e">
        <f>VLOOKUP(A330,Register!$B$4:$F$738,10)</f>
        <v>#REF!</v>
      </c>
      <c r="C330" s="20">
        <v>2342.7321000000002</v>
      </c>
    </row>
    <row r="331" spans="1:3" x14ac:dyDescent="0.45">
      <c r="A331" t="s">
        <v>4170</v>
      </c>
      <c r="B331" t="e">
        <f>VLOOKUP(A331,Register!$B$4:$F$738,10)</f>
        <v>#REF!</v>
      </c>
      <c r="C331" s="20">
        <v>2314.1955999999996</v>
      </c>
    </row>
    <row r="332" spans="1:3" x14ac:dyDescent="0.45">
      <c r="A332" t="s">
        <v>4171</v>
      </c>
      <c r="B332" t="e">
        <f>VLOOKUP(A332,Register!$B$4:$F$738,10)</f>
        <v>#REF!</v>
      </c>
      <c r="C332" s="20">
        <v>2311.1999999999998</v>
      </c>
    </row>
    <row r="333" spans="1:3" x14ac:dyDescent="0.45">
      <c r="A333" t="s">
        <v>1318</v>
      </c>
      <c r="B333" t="e">
        <f>VLOOKUP(A333,Register!$B$4:$F$738,10)</f>
        <v>#REF!</v>
      </c>
      <c r="C333" s="20">
        <v>2289.04</v>
      </c>
    </row>
    <row r="334" spans="1:3" x14ac:dyDescent="0.45">
      <c r="A334" t="s">
        <v>3376</v>
      </c>
      <c r="B334" t="e">
        <f>VLOOKUP(A334,Register!$B$4:$F$738,10)</f>
        <v>#N/A</v>
      </c>
      <c r="C334" s="20">
        <v>2276.7955999999999</v>
      </c>
    </row>
    <row r="335" spans="1:3" x14ac:dyDescent="0.45">
      <c r="A335" t="s">
        <v>914</v>
      </c>
      <c r="B335" t="e">
        <f>VLOOKUP(A335,Register!$B$4:$F$738,10)</f>
        <v>#REF!</v>
      </c>
      <c r="C335" s="20">
        <v>2235.1950000000002</v>
      </c>
    </row>
    <row r="336" spans="1:3" x14ac:dyDescent="0.45">
      <c r="A336" t="s">
        <v>1874</v>
      </c>
      <c r="B336" t="e">
        <f>VLOOKUP(A336,Register!$B$4:$F$738,10)</f>
        <v>#REF!</v>
      </c>
      <c r="C336" s="20">
        <v>2226.12</v>
      </c>
    </row>
    <row r="337" spans="1:3" x14ac:dyDescent="0.45">
      <c r="A337" t="s">
        <v>4172</v>
      </c>
      <c r="B337" t="e">
        <f>VLOOKUP(A337,Register!$B$4:$F$738,10)</f>
        <v>#REF!</v>
      </c>
      <c r="C337" s="20">
        <v>2220</v>
      </c>
    </row>
    <row r="338" spans="1:3" x14ac:dyDescent="0.45">
      <c r="A338" t="s">
        <v>2045</v>
      </c>
      <c r="B338" t="e">
        <f>VLOOKUP(A338,Register!$B$4:$F$738,10)</f>
        <v>#REF!</v>
      </c>
      <c r="C338" s="20">
        <v>2216.424</v>
      </c>
    </row>
    <row r="339" spans="1:3" x14ac:dyDescent="0.45">
      <c r="A339" t="s">
        <v>2325</v>
      </c>
      <c r="B339" t="e">
        <f>VLOOKUP(A339,Register!$B$4:$F$738,10)</f>
        <v>#REF!</v>
      </c>
      <c r="C339" s="20">
        <v>2209.5299999999997</v>
      </c>
    </row>
    <row r="340" spans="1:3" x14ac:dyDescent="0.45">
      <c r="A340" t="s">
        <v>4173</v>
      </c>
      <c r="B340" t="e">
        <f>VLOOKUP(A340,Register!$B$4:$F$738,10)</f>
        <v>#REF!</v>
      </c>
      <c r="C340" s="20">
        <v>2171.9940000000001</v>
      </c>
    </row>
    <row r="341" spans="1:3" x14ac:dyDescent="0.45">
      <c r="A341" t="s">
        <v>4174</v>
      </c>
      <c r="B341" t="e">
        <f>VLOOKUP(A341,Register!$B$4:$F$738,10)</f>
        <v>#REF!</v>
      </c>
      <c r="C341" s="20">
        <v>2113.6400000000003</v>
      </c>
    </row>
    <row r="342" spans="1:3" x14ac:dyDescent="0.45">
      <c r="A342" t="s">
        <v>4175</v>
      </c>
      <c r="B342" t="e">
        <f>VLOOKUP(A342,Register!$B$4:$F$738,10)</f>
        <v>#REF!</v>
      </c>
      <c r="C342" s="20">
        <v>2111.4499999999998</v>
      </c>
    </row>
    <row r="343" spans="1:3" x14ac:dyDescent="0.45">
      <c r="A343" t="s">
        <v>4176</v>
      </c>
      <c r="B343" t="e">
        <f>VLOOKUP(A343,Register!$B$4:$F$738,10)</f>
        <v>#REF!</v>
      </c>
      <c r="C343" s="20">
        <v>2111.2829000000002</v>
      </c>
    </row>
    <row r="344" spans="1:3" x14ac:dyDescent="0.45">
      <c r="A344" t="s">
        <v>4177</v>
      </c>
      <c r="B344" t="e">
        <f>VLOOKUP(A344,Register!$B$4:$F$738,10)</f>
        <v>#REF!</v>
      </c>
      <c r="C344" s="20">
        <v>2109.9499999999998</v>
      </c>
    </row>
    <row r="345" spans="1:3" x14ac:dyDescent="0.45">
      <c r="A345" t="s">
        <v>4178</v>
      </c>
      <c r="B345" t="e">
        <f>VLOOKUP(A345,Register!$B$4:$F$738,10)</f>
        <v>#REF!</v>
      </c>
      <c r="C345" s="20">
        <v>2081</v>
      </c>
    </row>
    <row r="346" spans="1:3" x14ac:dyDescent="0.45">
      <c r="A346" t="s">
        <v>4179</v>
      </c>
      <c r="B346" t="e">
        <f>VLOOKUP(A346,Register!$B$4:$F$738,10)</f>
        <v>#REF!</v>
      </c>
      <c r="C346" s="20">
        <v>2059.8508000000002</v>
      </c>
    </row>
    <row r="347" spans="1:3" x14ac:dyDescent="0.45">
      <c r="A347" t="s">
        <v>230</v>
      </c>
      <c r="B347" t="e">
        <f>VLOOKUP(A347,Register!$B$4:$F$738,10)</f>
        <v>#REF!</v>
      </c>
      <c r="C347" s="20">
        <v>2021.6634000000001</v>
      </c>
    </row>
    <row r="348" spans="1:3" x14ac:dyDescent="0.45">
      <c r="A348" t="s">
        <v>4180</v>
      </c>
      <c r="B348" t="e">
        <f>VLOOKUP(A348,Register!$B$4:$F$738,10)</f>
        <v>#REF!</v>
      </c>
      <c r="C348" s="20">
        <v>1993.8706000000004</v>
      </c>
    </row>
    <row r="349" spans="1:3" x14ac:dyDescent="0.45">
      <c r="A349" t="s">
        <v>4181</v>
      </c>
      <c r="B349" t="e">
        <f>VLOOKUP(A349,Register!$B$4:$F$738,10)</f>
        <v>#REF!</v>
      </c>
      <c r="C349" s="20">
        <v>1980</v>
      </c>
    </row>
    <row r="350" spans="1:3" x14ac:dyDescent="0.45">
      <c r="A350" t="s">
        <v>4182</v>
      </c>
      <c r="B350" t="e">
        <f>VLOOKUP(A350,Register!$B$4:$F$738,10)</f>
        <v>#REF!</v>
      </c>
      <c r="C350" s="20">
        <v>1961.29</v>
      </c>
    </row>
    <row r="351" spans="1:3" x14ac:dyDescent="0.45">
      <c r="A351" t="s">
        <v>185</v>
      </c>
      <c r="B351" t="e">
        <f>VLOOKUP(A351,Register!$B$4:$F$738,10)</f>
        <v>#REF!</v>
      </c>
      <c r="C351" s="20">
        <v>1935.4009000000001</v>
      </c>
    </row>
    <row r="352" spans="1:3" x14ac:dyDescent="0.45">
      <c r="A352" t="s">
        <v>1993</v>
      </c>
      <c r="B352" t="e">
        <f>VLOOKUP(A352,Register!$B$4:$F$738,10)</f>
        <v>#REF!</v>
      </c>
      <c r="C352" s="20">
        <v>1909.9149</v>
      </c>
    </row>
    <row r="353" spans="1:3" x14ac:dyDescent="0.45">
      <c r="A353" t="s">
        <v>4183</v>
      </c>
      <c r="B353" t="e">
        <f>VLOOKUP(A353,Register!$B$4:$F$738,10)</f>
        <v>#REF!</v>
      </c>
      <c r="C353" s="20">
        <v>1907.1577000000002</v>
      </c>
    </row>
    <row r="354" spans="1:3" x14ac:dyDescent="0.45">
      <c r="A354" t="s">
        <v>4184</v>
      </c>
      <c r="B354" t="e">
        <f>VLOOKUP(A354,Register!$B$4:$F$738,10)</f>
        <v>#REF!</v>
      </c>
      <c r="C354" s="20">
        <v>1886</v>
      </c>
    </row>
    <row r="355" spans="1:3" x14ac:dyDescent="0.45">
      <c r="A355" t="s">
        <v>4185</v>
      </c>
      <c r="B355" t="e">
        <f>VLOOKUP(A355,Register!$B$4:$F$738,10)</f>
        <v>#REF!</v>
      </c>
      <c r="C355" s="20">
        <v>1874.9634000000001</v>
      </c>
    </row>
    <row r="356" spans="1:3" x14ac:dyDescent="0.45">
      <c r="A356" t="s">
        <v>4186</v>
      </c>
      <c r="B356" t="e">
        <f>VLOOKUP(A356,Register!$B$4:$F$738,10)</f>
        <v>#REF!</v>
      </c>
      <c r="C356" s="20">
        <v>1843.15</v>
      </c>
    </row>
    <row r="357" spans="1:3" x14ac:dyDescent="0.45">
      <c r="A357" t="s">
        <v>4187</v>
      </c>
      <c r="B357" t="e">
        <f>VLOOKUP(A357,Register!$B$4:$F$738,10)</f>
        <v>#REF!</v>
      </c>
      <c r="C357" s="20">
        <v>1837.3579</v>
      </c>
    </row>
    <row r="358" spans="1:3" x14ac:dyDescent="0.45">
      <c r="A358" t="s">
        <v>3215</v>
      </c>
      <c r="B358" t="e">
        <f>VLOOKUP(A358,Register!$B$4:$F$738,10)</f>
        <v>#REF!</v>
      </c>
      <c r="C358" s="20">
        <v>1827.3163999999999</v>
      </c>
    </row>
    <row r="359" spans="1:3" x14ac:dyDescent="0.45">
      <c r="A359" t="s">
        <v>4188</v>
      </c>
      <c r="B359" t="e">
        <f>VLOOKUP(A359,Register!$B$4:$F$738,10)</f>
        <v>#REF!</v>
      </c>
      <c r="C359" s="20">
        <v>1803.1900000000003</v>
      </c>
    </row>
    <row r="360" spans="1:3" x14ac:dyDescent="0.45">
      <c r="A360" t="s">
        <v>4189</v>
      </c>
      <c r="B360" t="e">
        <f>VLOOKUP(A360,Register!$B$4:$F$738,10)</f>
        <v>#REF!</v>
      </c>
      <c r="C360" s="20">
        <v>1790</v>
      </c>
    </row>
    <row r="361" spans="1:3" x14ac:dyDescent="0.45">
      <c r="A361" t="s">
        <v>4190</v>
      </c>
      <c r="B361" t="e">
        <f>VLOOKUP(A361,Register!$B$4:$F$738,10)</f>
        <v>#REF!</v>
      </c>
      <c r="C361" s="20">
        <v>1739.0200000000002</v>
      </c>
    </row>
    <row r="362" spans="1:3" x14ac:dyDescent="0.45">
      <c r="A362" t="s">
        <v>4191</v>
      </c>
      <c r="B362" t="e">
        <f>VLOOKUP(A362,Register!$B$4:$F$738,10)</f>
        <v>#REF!</v>
      </c>
      <c r="C362" s="20">
        <v>1711.89</v>
      </c>
    </row>
    <row r="363" spans="1:3" x14ac:dyDescent="0.45">
      <c r="A363" t="s">
        <v>2123</v>
      </c>
      <c r="B363" t="e">
        <f>VLOOKUP(A363,Register!$B$4:$F$738,10)</f>
        <v>#REF!</v>
      </c>
      <c r="C363" s="20">
        <v>1710</v>
      </c>
    </row>
    <row r="364" spans="1:3" x14ac:dyDescent="0.45">
      <c r="A364" t="s">
        <v>4192</v>
      </c>
      <c r="B364" t="e">
        <f>VLOOKUP(A364,Register!$B$4:$F$738,10)</f>
        <v>#REF!</v>
      </c>
      <c r="C364" s="20">
        <v>1640</v>
      </c>
    </row>
    <row r="365" spans="1:3" x14ac:dyDescent="0.45">
      <c r="A365" t="s">
        <v>1000</v>
      </c>
      <c r="B365" t="e">
        <f>VLOOKUP(A365,Register!$B$4:$F$738,10)</f>
        <v>#REF!</v>
      </c>
      <c r="C365" s="20">
        <v>1627.5698</v>
      </c>
    </row>
    <row r="366" spans="1:3" x14ac:dyDescent="0.45">
      <c r="A366" t="s">
        <v>4193</v>
      </c>
      <c r="B366" t="e">
        <f>VLOOKUP(A366,Register!$B$4:$F$738,10)</f>
        <v>#REF!</v>
      </c>
      <c r="C366" s="20">
        <v>1614</v>
      </c>
    </row>
    <row r="367" spans="1:3" x14ac:dyDescent="0.45">
      <c r="A367" t="s">
        <v>4194</v>
      </c>
      <c r="B367" t="e">
        <f>VLOOKUP(A367,Register!$B$4:$F$738,10)</f>
        <v>#REF!</v>
      </c>
      <c r="C367" s="20">
        <v>1609.9727</v>
      </c>
    </row>
    <row r="368" spans="1:3" x14ac:dyDescent="0.45">
      <c r="A368" t="s">
        <v>4195</v>
      </c>
      <c r="B368" t="e">
        <f>VLOOKUP(A368,Register!$B$4:$F$738,10)</f>
        <v>#REF!</v>
      </c>
      <c r="C368" s="20">
        <v>1575.4154000000001</v>
      </c>
    </row>
    <row r="369" spans="1:3" x14ac:dyDescent="0.45">
      <c r="A369" t="s">
        <v>1932</v>
      </c>
      <c r="B369" t="e">
        <f>VLOOKUP(A369,Register!$B$4:$F$738,10)</f>
        <v>#REF!</v>
      </c>
      <c r="C369" s="20">
        <v>1550</v>
      </c>
    </row>
    <row r="370" spans="1:3" x14ac:dyDescent="0.45">
      <c r="A370" t="s">
        <v>1662</v>
      </c>
      <c r="B370" t="e">
        <f>VLOOKUP(A370,Register!$B$4:$F$738,10)</f>
        <v>#REF!</v>
      </c>
      <c r="C370" s="20">
        <v>1543</v>
      </c>
    </row>
    <row r="371" spans="1:3" x14ac:dyDescent="0.45">
      <c r="A371" t="s">
        <v>4196</v>
      </c>
      <c r="B371" t="e">
        <f>VLOOKUP(A371,Register!$B$4:$F$738,10)</f>
        <v>#REF!</v>
      </c>
      <c r="C371" s="20">
        <v>1538.0467000000001</v>
      </c>
    </row>
    <row r="372" spans="1:3" x14ac:dyDescent="0.45">
      <c r="A372" t="s">
        <v>4197</v>
      </c>
      <c r="B372" t="e">
        <f>VLOOKUP(A372,Register!$B$4:$F$738,10)</f>
        <v>#REF!</v>
      </c>
      <c r="C372" s="20">
        <v>1525.2770999999996</v>
      </c>
    </row>
    <row r="373" spans="1:3" x14ac:dyDescent="0.45">
      <c r="A373" t="s">
        <v>4198</v>
      </c>
      <c r="B373" t="e">
        <f>VLOOKUP(A373,Register!$B$4:$F$738,10)</f>
        <v>#REF!</v>
      </c>
      <c r="C373" s="20">
        <v>1482.15</v>
      </c>
    </row>
    <row r="374" spans="1:3" x14ac:dyDescent="0.45">
      <c r="A374" t="s">
        <v>4199</v>
      </c>
      <c r="B374" t="e">
        <f>VLOOKUP(A374,Register!$B$4:$F$738,10)</f>
        <v>#REF!</v>
      </c>
      <c r="C374" s="20">
        <v>1420.03</v>
      </c>
    </row>
    <row r="375" spans="1:3" x14ac:dyDescent="0.45">
      <c r="A375" t="s">
        <v>905</v>
      </c>
      <c r="B375" t="e">
        <f>VLOOKUP(A375,Register!$B$4:$F$738,10)</f>
        <v>#REF!</v>
      </c>
      <c r="C375" s="20">
        <v>1402</v>
      </c>
    </row>
    <row r="376" spans="1:3" x14ac:dyDescent="0.45">
      <c r="A376" t="s">
        <v>4200</v>
      </c>
      <c r="B376" t="e">
        <f>VLOOKUP(A376,Register!$B$4:$F$738,10)</f>
        <v>#REF!</v>
      </c>
      <c r="C376" s="20">
        <v>1379.6019999999999</v>
      </c>
    </row>
    <row r="377" spans="1:3" x14ac:dyDescent="0.45">
      <c r="A377" t="s">
        <v>1708</v>
      </c>
      <c r="B377" t="e">
        <f>VLOOKUP(A377,Register!$B$4:$F$738,10)</f>
        <v>#REF!</v>
      </c>
      <c r="C377" s="20">
        <v>1365.74</v>
      </c>
    </row>
    <row r="378" spans="1:3" x14ac:dyDescent="0.45">
      <c r="A378" t="s">
        <v>4201</v>
      </c>
      <c r="B378" t="e">
        <f>VLOOKUP(A378,Register!$B$4:$F$738,10)</f>
        <v>#REF!</v>
      </c>
      <c r="C378" s="20">
        <v>1360.23</v>
      </c>
    </row>
    <row r="379" spans="1:3" x14ac:dyDescent="0.45">
      <c r="A379" t="s">
        <v>4202</v>
      </c>
      <c r="B379" t="e">
        <f>VLOOKUP(A379,Register!$B$4:$F$738,10)</f>
        <v>#REF!</v>
      </c>
      <c r="C379" s="20">
        <v>1353</v>
      </c>
    </row>
    <row r="380" spans="1:3" x14ac:dyDescent="0.45">
      <c r="A380" t="s">
        <v>4203</v>
      </c>
      <c r="B380" t="e">
        <f>VLOOKUP(A380,Register!$B$4:$F$738,10)</f>
        <v>#REF!</v>
      </c>
      <c r="C380" s="20">
        <v>1309.4219000000001</v>
      </c>
    </row>
    <row r="381" spans="1:3" x14ac:dyDescent="0.45">
      <c r="A381" t="s">
        <v>1234</v>
      </c>
      <c r="B381" t="e">
        <f>VLOOKUP(A381,Register!$B$4:$F$738,10)</f>
        <v>#REF!</v>
      </c>
      <c r="C381" s="20">
        <v>1299.8644999999999</v>
      </c>
    </row>
    <row r="382" spans="1:3" x14ac:dyDescent="0.45">
      <c r="A382" t="s">
        <v>711</v>
      </c>
      <c r="B382" t="e">
        <f>VLOOKUP(A382,Register!$B$4:$F$738,10)</f>
        <v>#REF!</v>
      </c>
      <c r="C382" s="20">
        <v>1296.8752999999999</v>
      </c>
    </row>
    <row r="383" spans="1:3" x14ac:dyDescent="0.45">
      <c r="A383" t="s">
        <v>4204</v>
      </c>
      <c r="B383" t="e">
        <f>VLOOKUP(A383,Register!$B$4:$F$738,10)</f>
        <v>#REF!</v>
      </c>
      <c r="C383" s="20">
        <v>1290</v>
      </c>
    </row>
    <row r="384" spans="1:3" x14ac:dyDescent="0.45">
      <c r="A384" t="s">
        <v>4205</v>
      </c>
      <c r="B384" t="e">
        <f>VLOOKUP(A384,Register!$B$4:$F$738,10)</f>
        <v>#REF!</v>
      </c>
      <c r="C384" s="20">
        <v>1250.0931000000003</v>
      </c>
    </row>
    <row r="385" spans="1:3" x14ac:dyDescent="0.45">
      <c r="A385" t="s">
        <v>4206</v>
      </c>
      <c r="B385" t="e">
        <f>VLOOKUP(A385,Register!$B$4:$F$738,10)</f>
        <v>#REF!</v>
      </c>
      <c r="C385" s="20">
        <v>1243.0199999999998</v>
      </c>
    </row>
    <row r="386" spans="1:3" x14ac:dyDescent="0.45">
      <c r="A386" t="s">
        <v>4207</v>
      </c>
      <c r="B386" t="e">
        <f>VLOOKUP(A386,Register!$B$4:$F$738,10)</f>
        <v>#REF!</v>
      </c>
      <c r="C386" s="20">
        <v>1238</v>
      </c>
    </row>
    <row r="387" spans="1:3" x14ac:dyDescent="0.45">
      <c r="A387" t="s">
        <v>4208</v>
      </c>
      <c r="B387" t="e">
        <f>VLOOKUP(A387,Register!$B$4:$F$738,10)</f>
        <v>#REF!</v>
      </c>
      <c r="C387" s="20">
        <v>1235.7</v>
      </c>
    </row>
    <row r="388" spans="1:3" x14ac:dyDescent="0.45">
      <c r="A388" t="s">
        <v>4209</v>
      </c>
      <c r="B388" t="e">
        <f>VLOOKUP(A388,Register!$B$4:$F$738,10)</f>
        <v>#REF!</v>
      </c>
      <c r="C388" s="20">
        <v>1200</v>
      </c>
    </row>
    <row r="389" spans="1:3" x14ac:dyDescent="0.45">
      <c r="A389" t="s">
        <v>1996</v>
      </c>
      <c r="B389" t="e">
        <f>VLOOKUP(A389,Register!$B$4:$F$738,10)</f>
        <v>#REF!</v>
      </c>
      <c r="C389" s="20">
        <v>1200</v>
      </c>
    </row>
    <row r="390" spans="1:3" x14ac:dyDescent="0.45">
      <c r="A390" t="s">
        <v>4210</v>
      </c>
      <c r="B390" t="e">
        <f>VLOOKUP(A390,Register!$B$4:$F$738,10)</f>
        <v>#REF!</v>
      </c>
      <c r="C390" s="20">
        <v>1180.3699999999999</v>
      </c>
    </row>
    <row r="391" spans="1:3" x14ac:dyDescent="0.45">
      <c r="A391" t="s">
        <v>4211</v>
      </c>
      <c r="B391" t="e">
        <f>VLOOKUP(A391,Register!$B$4:$F$738,10)</f>
        <v>#REF!</v>
      </c>
      <c r="C391" s="20">
        <v>1143.1978999999999</v>
      </c>
    </row>
    <row r="392" spans="1:3" x14ac:dyDescent="0.45">
      <c r="A392" t="s">
        <v>4212</v>
      </c>
      <c r="B392" t="e">
        <f>VLOOKUP(A392,Register!$B$4:$F$738,10)</f>
        <v>#REF!</v>
      </c>
      <c r="C392" s="20">
        <v>1139</v>
      </c>
    </row>
    <row r="393" spans="1:3" x14ac:dyDescent="0.45">
      <c r="A393" t="s">
        <v>4213</v>
      </c>
      <c r="B393" t="e">
        <f>VLOOKUP(A393,Register!$B$4:$F$738,10)</f>
        <v>#REF!</v>
      </c>
      <c r="C393" s="20">
        <v>1136.31</v>
      </c>
    </row>
    <row r="394" spans="1:3" x14ac:dyDescent="0.45">
      <c r="A394" t="s">
        <v>4214</v>
      </c>
      <c r="B394" t="e">
        <f>VLOOKUP(A394,Register!$B$4:$F$738,10)</f>
        <v>#REF!</v>
      </c>
      <c r="C394" s="20">
        <v>1100.4799999999998</v>
      </c>
    </row>
    <row r="395" spans="1:3" x14ac:dyDescent="0.45">
      <c r="A395" t="s">
        <v>4215</v>
      </c>
      <c r="B395" t="e">
        <f>VLOOKUP(A395,Register!$B$4:$F$738,10)</f>
        <v>#REF!</v>
      </c>
      <c r="C395" s="20">
        <v>1070</v>
      </c>
    </row>
    <row r="396" spans="1:3" x14ac:dyDescent="0.45">
      <c r="A396" t="s">
        <v>4216</v>
      </c>
      <c r="B396" t="e">
        <f>VLOOKUP(A396,Register!$B$4:$F$738,10)</f>
        <v>#REF!</v>
      </c>
      <c r="C396" s="20">
        <v>1057.9304</v>
      </c>
    </row>
    <row r="397" spans="1:3" x14ac:dyDescent="0.45">
      <c r="A397" t="s">
        <v>4217</v>
      </c>
      <c r="B397" t="e">
        <f>VLOOKUP(A397,Register!$B$4:$F$738,10)</f>
        <v>#N/A</v>
      </c>
      <c r="C397" s="20">
        <v>1047.932</v>
      </c>
    </row>
    <row r="398" spans="1:3" x14ac:dyDescent="0.45">
      <c r="A398" t="s">
        <v>2767</v>
      </c>
      <c r="B398" t="e">
        <f>VLOOKUP(A398,Register!$B$4:$F$738,10)</f>
        <v>#REF!</v>
      </c>
      <c r="C398" s="20">
        <v>1031.2427</v>
      </c>
    </row>
    <row r="399" spans="1:3" x14ac:dyDescent="0.45">
      <c r="A399" t="s">
        <v>4218</v>
      </c>
      <c r="B399" t="e">
        <f>VLOOKUP(A399,Register!$B$4:$F$738,10)</f>
        <v>#REF!</v>
      </c>
      <c r="C399" s="20">
        <v>1022.0880999999999</v>
      </c>
    </row>
    <row r="400" spans="1:3" x14ac:dyDescent="0.45">
      <c r="A400" t="s">
        <v>2580</v>
      </c>
      <c r="B400" t="e">
        <f>VLOOKUP(A400,Register!$B$4:$F$738,10)</f>
        <v>#REF!</v>
      </c>
      <c r="C400" s="20">
        <v>986.37</v>
      </c>
    </row>
    <row r="401" spans="1:3" x14ac:dyDescent="0.45">
      <c r="A401" t="s">
        <v>4219</v>
      </c>
      <c r="B401" t="e">
        <f>VLOOKUP(A401,Register!$B$4:$F$738,10)</f>
        <v>#REF!</v>
      </c>
      <c r="C401" s="20">
        <v>975.80610000000001</v>
      </c>
    </row>
    <row r="402" spans="1:3" x14ac:dyDescent="0.45">
      <c r="A402" t="s">
        <v>4220</v>
      </c>
      <c r="B402" t="e">
        <f>VLOOKUP(A402,Register!$B$4:$F$738,10)</f>
        <v>#REF!</v>
      </c>
      <c r="C402" s="20">
        <v>971.28</v>
      </c>
    </row>
    <row r="403" spans="1:3" x14ac:dyDescent="0.45">
      <c r="A403" t="s">
        <v>2262</v>
      </c>
      <c r="B403" t="e">
        <f>VLOOKUP(A403,Register!$B$4:$F$738,10)</f>
        <v>#REF!</v>
      </c>
      <c r="C403" s="20">
        <v>960</v>
      </c>
    </row>
    <row r="404" spans="1:3" x14ac:dyDescent="0.45">
      <c r="A404" t="s">
        <v>2406</v>
      </c>
      <c r="B404" t="e">
        <f>VLOOKUP(A404,Register!$B$4:$F$738,10)</f>
        <v>#REF!</v>
      </c>
      <c r="C404" s="20">
        <v>953.55899999999997</v>
      </c>
    </row>
    <row r="405" spans="1:3" x14ac:dyDescent="0.45">
      <c r="A405" t="s">
        <v>1868</v>
      </c>
      <c r="B405" t="e">
        <f>VLOOKUP(A405,Register!$B$4:$F$738,10)</f>
        <v>#REF!</v>
      </c>
      <c r="C405" s="20">
        <v>949.26</v>
      </c>
    </row>
    <row r="406" spans="1:3" x14ac:dyDescent="0.45">
      <c r="A406" t="s">
        <v>4221</v>
      </c>
      <c r="B406" t="e">
        <f>VLOOKUP(A406,Register!$B$4:$F$738,10)</f>
        <v>#REF!</v>
      </c>
      <c r="C406" s="20">
        <v>946.45</v>
      </c>
    </row>
    <row r="407" spans="1:3" x14ac:dyDescent="0.45">
      <c r="A407" t="s">
        <v>4222</v>
      </c>
      <c r="B407" t="e">
        <f>VLOOKUP(A407,Register!$B$4:$F$738,10)</f>
        <v>#REF!</v>
      </c>
      <c r="C407" s="20">
        <v>945</v>
      </c>
    </row>
    <row r="408" spans="1:3" x14ac:dyDescent="0.45">
      <c r="A408" t="s">
        <v>3180</v>
      </c>
      <c r="B408" t="e">
        <f>VLOOKUP(A408,Register!$B$4:$F$738,10)</f>
        <v>#REF!</v>
      </c>
      <c r="C408" s="20">
        <v>925.43</v>
      </c>
    </row>
    <row r="409" spans="1:3" x14ac:dyDescent="0.45">
      <c r="A409" t="s">
        <v>4223</v>
      </c>
      <c r="B409" t="e">
        <f>VLOOKUP(A409,Register!$B$4:$F$738,10)</f>
        <v>#REF!</v>
      </c>
      <c r="C409" s="20">
        <v>919.65719999999999</v>
      </c>
    </row>
    <row r="410" spans="1:3" x14ac:dyDescent="0.45">
      <c r="A410" t="s">
        <v>4224</v>
      </c>
      <c r="B410" t="e">
        <f>VLOOKUP(A410,Register!$B$4:$F$738,10)</f>
        <v>#REF!</v>
      </c>
      <c r="C410" s="20">
        <v>900</v>
      </c>
    </row>
    <row r="411" spans="1:3" x14ac:dyDescent="0.45">
      <c r="A411" t="s">
        <v>4225</v>
      </c>
      <c r="B411" t="e">
        <f>VLOOKUP(A411,Register!$B$4:$F$738,10)</f>
        <v>#REF!</v>
      </c>
      <c r="C411" s="20">
        <v>895.66890000000001</v>
      </c>
    </row>
    <row r="412" spans="1:3" x14ac:dyDescent="0.45">
      <c r="A412" t="s">
        <v>1049</v>
      </c>
      <c r="B412" t="e">
        <f>VLOOKUP(A412,Register!$B$4:$F$738,10)</f>
        <v>#REF!</v>
      </c>
      <c r="C412" s="20">
        <v>874</v>
      </c>
    </row>
    <row r="413" spans="1:3" x14ac:dyDescent="0.45">
      <c r="A413" t="s">
        <v>4226</v>
      </c>
      <c r="B413" t="e">
        <f>VLOOKUP(A413,Register!$B$4:$F$738,10)</f>
        <v>#REF!</v>
      </c>
      <c r="C413" s="20">
        <v>857.85879999999997</v>
      </c>
    </row>
    <row r="414" spans="1:3" x14ac:dyDescent="0.45">
      <c r="A414" t="s">
        <v>4227</v>
      </c>
      <c r="B414" t="e">
        <f>VLOOKUP(A414,Register!$B$4:$F$738,10)</f>
        <v>#REF!</v>
      </c>
      <c r="C414" s="20">
        <v>813</v>
      </c>
    </row>
    <row r="415" spans="1:3" x14ac:dyDescent="0.45">
      <c r="A415" t="s">
        <v>2517</v>
      </c>
      <c r="B415" t="e">
        <f>VLOOKUP(A415,Register!$B$4:$F$738,10)</f>
        <v>#REF!</v>
      </c>
      <c r="C415" s="20">
        <v>793.35819999999978</v>
      </c>
    </row>
    <row r="416" spans="1:3" x14ac:dyDescent="0.45">
      <c r="A416" t="s">
        <v>1715</v>
      </c>
      <c r="B416" t="e">
        <f>VLOOKUP(A416,Register!$B$4:$F$738,10)</f>
        <v>#REF!</v>
      </c>
      <c r="C416" s="20">
        <v>781.95</v>
      </c>
    </row>
    <row r="417" spans="1:3" x14ac:dyDescent="0.45">
      <c r="A417" t="s">
        <v>4228</v>
      </c>
      <c r="B417" t="e">
        <f>VLOOKUP(A417,Register!$B$4:$F$738,10)</f>
        <v>#REF!</v>
      </c>
      <c r="C417" s="20">
        <v>765.91</v>
      </c>
    </row>
    <row r="418" spans="1:3" x14ac:dyDescent="0.45">
      <c r="A418" t="s">
        <v>4229</v>
      </c>
      <c r="B418" t="e">
        <f>VLOOKUP(A418,Register!$B$4:$F$738,10)</f>
        <v>#REF!</v>
      </c>
      <c r="C418" s="20">
        <v>764.91</v>
      </c>
    </row>
    <row r="419" spans="1:3" x14ac:dyDescent="0.45">
      <c r="A419" t="s">
        <v>4230</v>
      </c>
      <c r="B419" t="e">
        <f>VLOOKUP(A419,Register!$B$4:$F$738,10)</f>
        <v>#REF!</v>
      </c>
      <c r="C419" s="20">
        <v>744.56970000000001</v>
      </c>
    </row>
    <row r="420" spans="1:3" x14ac:dyDescent="0.45">
      <c r="A420" t="s">
        <v>4231</v>
      </c>
      <c r="B420" t="e">
        <f>VLOOKUP(A420,Register!$B$4:$F$738,10)</f>
        <v>#REF!</v>
      </c>
      <c r="C420" s="20">
        <v>728</v>
      </c>
    </row>
    <row r="421" spans="1:3" x14ac:dyDescent="0.45">
      <c r="A421" t="s">
        <v>4232</v>
      </c>
      <c r="B421" t="e">
        <f>VLOOKUP(A421,Register!$B$4:$F$738,10)</f>
        <v>#REF!</v>
      </c>
      <c r="C421" s="20">
        <v>723.73</v>
      </c>
    </row>
    <row r="422" spans="1:3" x14ac:dyDescent="0.45">
      <c r="A422" t="s">
        <v>2857</v>
      </c>
      <c r="B422" t="e">
        <f>VLOOKUP(A422,Register!$B$4:$F$738,10)</f>
        <v>#REF!</v>
      </c>
      <c r="C422" s="20">
        <v>721.0865</v>
      </c>
    </row>
    <row r="423" spans="1:3" x14ac:dyDescent="0.45">
      <c r="A423" t="s">
        <v>4233</v>
      </c>
      <c r="B423" t="e">
        <f>VLOOKUP(A423,Register!$B$4:$F$738,10)</f>
        <v>#REF!</v>
      </c>
      <c r="C423" s="20">
        <v>716</v>
      </c>
    </row>
    <row r="424" spans="1:3" x14ac:dyDescent="0.45">
      <c r="A424" t="s">
        <v>1503</v>
      </c>
      <c r="B424" t="e">
        <f>VLOOKUP(A424,Register!$B$4:$F$738,10)</f>
        <v>#REF!</v>
      </c>
      <c r="C424" s="20">
        <v>700</v>
      </c>
    </row>
    <row r="425" spans="1:3" x14ac:dyDescent="0.45">
      <c r="A425" t="s">
        <v>4234</v>
      </c>
      <c r="B425" t="e">
        <f>VLOOKUP(A425,Register!$B$4:$F$738,10)</f>
        <v>#REF!</v>
      </c>
      <c r="C425" s="20">
        <v>699.86</v>
      </c>
    </row>
    <row r="426" spans="1:3" x14ac:dyDescent="0.45">
      <c r="A426" t="s">
        <v>2003</v>
      </c>
      <c r="B426" t="e">
        <f>VLOOKUP(A426,Register!$B$4:$F$738,10)</f>
        <v>#REF!</v>
      </c>
      <c r="C426" s="20">
        <v>695</v>
      </c>
    </row>
    <row r="427" spans="1:3" x14ac:dyDescent="0.45">
      <c r="A427" t="s">
        <v>4235</v>
      </c>
      <c r="B427" t="e">
        <f>VLOOKUP(A427,Register!$B$4:$F$738,10)</f>
        <v>#REF!</v>
      </c>
      <c r="C427" s="20">
        <v>691</v>
      </c>
    </row>
    <row r="428" spans="1:3" x14ac:dyDescent="0.45">
      <c r="A428" t="s">
        <v>4236</v>
      </c>
      <c r="B428" t="e">
        <f>VLOOKUP(A428,Register!$B$4:$F$738,10)</f>
        <v>#REF!</v>
      </c>
      <c r="C428" s="20">
        <v>687</v>
      </c>
    </row>
    <row r="429" spans="1:3" x14ac:dyDescent="0.45">
      <c r="A429" t="s">
        <v>4237</v>
      </c>
      <c r="B429" t="e">
        <f>VLOOKUP(A429,Register!$B$4:$F$738,10)</f>
        <v>#REF!</v>
      </c>
      <c r="C429" s="20">
        <v>678.49030000000005</v>
      </c>
    </row>
    <row r="430" spans="1:3" x14ac:dyDescent="0.45">
      <c r="A430" t="s">
        <v>4238</v>
      </c>
      <c r="B430" t="e">
        <f>VLOOKUP(A430,Register!$B$4:$F$738,10)</f>
        <v>#REF!</v>
      </c>
      <c r="C430" s="20">
        <v>672.71770000000004</v>
      </c>
    </row>
    <row r="431" spans="1:3" x14ac:dyDescent="0.45">
      <c r="A431" t="s">
        <v>4239</v>
      </c>
      <c r="B431" t="e">
        <f>VLOOKUP(A431,Register!$B$4:$F$738,10)</f>
        <v>#REF!</v>
      </c>
      <c r="C431" s="20">
        <v>671.65</v>
      </c>
    </row>
    <row r="432" spans="1:3" x14ac:dyDescent="0.45">
      <c r="A432" t="s">
        <v>1284</v>
      </c>
      <c r="B432" t="e">
        <f>VLOOKUP(A432,Register!$B$4:$F$738,10)</f>
        <v>#REF!</v>
      </c>
      <c r="C432" s="20">
        <v>656.22720000000004</v>
      </c>
    </row>
    <row r="433" spans="1:3" x14ac:dyDescent="0.45">
      <c r="A433" t="s">
        <v>4240</v>
      </c>
      <c r="B433" t="e">
        <f>VLOOKUP(A433,Register!$B$4:$F$738,10)</f>
        <v>#REF!</v>
      </c>
      <c r="C433" s="20">
        <v>644.87000000000012</v>
      </c>
    </row>
    <row r="434" spans="1:3" x14ac:dyDescent="0.45">
      <c r="A434" t="s">
        <v>2861</v>
      </c>
      <c r="B434" t="e">
        <f>VLOOKUP(A434,Register!$B$4:$F$738,10)</f>
        <v>#REF!</v>
      </c>
      <c r="C434" s="20">
        <v>639.21199999999999</v>
      </c>
    </row>
    <row r="435" spans="1:3" x14ac:dyDescent="0.45">
      <c r="A435" t="s">
        <v>4241</v>
      </c>
      <c r="B435" t="e">
        <f>VLOOKUP(A435,Register!$B$4:$F$738,10)</f>
        <v>#REF!</v>
      </c>
      <c r="C435" s="20">
        <v>623.63699999999994</v>
      </c>
    </row>
    <row r="436" spans="1:3" x14ac:dyDescent="0.45">
      <c r="A436" t="s">
        <v>4242</v>
      </c>
      <c r="B436" t="e">
        <f>VLOOKUP(A436,Register!$B$4:$F$738,10)</f>
        <v>#REF!</v>
      </c>
      <c r="C436" s="20">
        <v>622.20000000000005</v>
      </c>
    </row>
    <row r="437" spans="1:3" x14ac:dyDescent="0.45">
      <c r="A437" t="s">
        <v>4243</v>
      </c>
      <c r="B437" t="e">
        <f>VLOOKUP(A437,Register!$B$4:$F$738,10)</f>
        <v>#REF!</v>
      </c>
      <c r="C437" s="20">
        <v>609.1</v>
      </c>
    </row>
    <row r="438" spans="1:3" x14ac:dyDescent="0.45">
      <c r="A438" t="s">
        <v>4244</v>
      </c>
      <c r="B438" t="e">
        <f>VLOOKUP(A438,Register!$B$4:$F$738,10)</f>
        <v>#REF!</v>
      </c>
      <c r="C438" s="20">
        <v>605</v>
      </c>
    </row>
    <row r="439" spans="1:3" x14ac:dyDescent="0.45">
      <c r="A439" t="s">
        <v>4245</v>
      </c>
      <c r="B439" t="e">
        <f>VLOOKUP(A439,Register!$B$4:$F$738,10)</f>
        <v>#REF!</v>
      </c>
      <c r="C439" s="20">
        <v>602.17570000000001</v>
      </c>
    </row>
    <row r="440" spans="1:3" x14ac:dyDescent="0.45">
      <c r="A440" t="s">
        <v>4246</v>
      </c>
      <c r="B440" t="e">
        <f>VLOOKUP(A440,Register!$B$4:$F$738,10)</f>
        <v>#REF!</v>
      </c>
      <c r="C440" s="20">
        <v>600</v>
      </c>
    </row>
    <row r="441" spans="1:3" x14ac:dyDescent="0.45">
      <c r="A441" t="s">
        <v>3547</v>
      </c>
      <c r="B441" t="e">
        <f>VLOOKUP(A441,Register!$B$4:$F$738,10)</f>
        <v>#REF!</v>
      </c>
      <c r="C441" s="20">
        <v>600</v>
      </c>
    </row>
    <row r="442" spans="1:3" x14ac:dyDescent="0.45">
      <c r="A442" t="s">
        <v>4247</v>
      </c>
      <c r="B442" t="e">
        <f>VLOOKUP(A442,Register!$B$4:$F$738,10)</f>
        <v>#REF!</v>
      </c>
      <c r="C442" s="20">
        <v>584.62</v>
      </c>
    </row>
    <row r="443" spans="1:3" x14ac:dyDescent="0.45">
      <c r="A443" t="s">
        <v>2482</v>
      </c>
      <c r="B443" t="e">
        <f>VLOOKUP(A443,Register!$B$4:$F$738,10)</f>
        <v>#REF!</v>
      </c>
      <c r="C443" s="20">
        <v>573</v>
      </c>
    </row>
    <row r="444" spans="1:3" x14ac:dyDescent="0.45">
      <c r="A444" t="s">
        <v>4248</v>
      </c>
      <c r="B444" t="e">
        <f>VLOOKUP(A444,Register!$B$4:$F$738,10)</f>
        <v>#REF!</v>
      </c>
      <c r="C444" s="20">
        <v>569.22589999999991</v>
      </c>
    </row>
    <row r="445" spans="1:3" x14ac:dyDescent="0.45">
      <c r="A445" t="s">
        <v>247</v>
      </c>
      <c r="B445" t="e">
        <f>VLOOKUP(A445,Register!$B$4:$F$738,10)</f>
        <v>#REF!</v>
      </c>
      <c r="C445" s="20">
        <v>559</v>
      </c>
    </row>
    <row r="446" spans="1:3" x14ac:dyDescent="0.45">
      <c r="A446" t="s">
        <v>4249</v>
      </c>
      <c r="B446" t="e">
        <f>VLOOKUP(A446,Register!$B$4:$F$738,10)</f>
        <v>#REF!</v>
      </c>
      <c r="C446" s="20">
        <v>545.5</v>
      </c>
    </row>
    <row r="447" spans="1:3" x14ac:dyDescent="0.45">
      <c r="A447" t="s">
        <v>1582</v>
      </c>
      <c r="B447" t="e">
        <f>VLOOKUP(A447,Register!$B$4:$F$738,10)</f>
        <v>#REF!</v>
      </c>
      <c r="C447" s="20">
        <v>523.79999999999995</v>
      </c>
    </row>
    <row r="448" spans="1:3" x14ac:dyDescent="0.45">
      <c r="A448" t="s">
        <v>295</v>
      </c>
      <c r="B448" t="e">
        <f>VLOOKUP(A448,Register!$B$4:$F$738,10)</f>
        <v>#REF!</v>
      </c>
      <c r="C448" s="20">
        <v>500</v>
      </c>
    </row>
    <row r="449" spans="1:3" x14ac:dyDescent="0.45">
      <c r="A449" t="s">
        <v>2165</v>
      </c>
      <c r="B449" t="e">
        <f>VLOOKUP(A449,Register!$B$4:$F$738,10)</f>
        <v>#REF!</v>
      </c>
      <c r="C449" s="20">
        <v>500</v>
      </c>
    </row>
    <row r="450" spans="1:3" x14ac:dyDescent="0.45">
      <c r="A450" t="s">
        <v>4250</v>
      </c>
      <c r="B450" t="e">
        <f>VLOOKUP(A450,Register!$B$4:$F$738,10)</f>
        <v>#REF!</v>
      </c>
      <c r="C450" s="20">
        <v>500</v>
      </c>
    </row>
    <row r="451" spans="1:3" x14ac:dyDescent="0.45">
      <c r="A451" t="s">
        <v>237</v>
      </c>
      <c r="B451" t="e">
        <f>VLOOKUP(A451,Register!$B$4:$F$738,10)</f>
        <v>#REF!</v>
      </c>
      <c r="C451" s="20">
        <v>494.1651</v>
      </c>
    </row>
    <row r="452" spans="1:3" x14ac:dyDescent="0.45">
      <c r="A452" t="s">
        <v>4251</v>
      </c>
      <c r="B452" t="e">
        <f>VLOOKUP(A452,Register!$B$4:$F$738,10)</f>
        <v>#REF!</v>
      </c>
      <c r="C452" s="20">
        <v>490.66930000000002</v>
      </c>
    </row>
    <row r="453" spans="1:3" x14ac:dyDescent="0.45">
      <c r="A453" t="s">
        <v>4252</v>
      </c>
      <c r="B453" t="e">
        <f>VLOOKUP(A453,Register!$B$4:$F$738,10)</f>
        <v>#REF!</v>
      </c>
      <c r="C453" s="20">
        <v>475.76770000000005</v>
      </c>
    </row>
    <row r="454" spans="1:3" x14ac:dyDescent="0.45">
      <c r="A454" t="s">
        <v>4253</v>
      </c>
      <c r="B454" t="e">
        <f>VLOOKUP(A454,Register!$B$4:$F$738,10)</f>
        <v>#REF!</v>
      </c>
      <c r="C454" s="20">
        <v>472.64</v>
      </c>
    </row>
    <row r="455" spans="1:3" x14ac:dyDescent="0.45">
      <c r="A455" t="s">
        <v>4254</v>
      </c>
      <c r="B455" t="e">
        <f>VLOOKUP(A455,Register!$B$4:$F$738,10)</f>
        <v>#REF!</v>
      </c>
      <c r="C455" s="20">
        <v>470.84999999999997</v>
      </c>
    </row>
    <row r="456" spans="1:3" x14ac:dyDescent="0.45">
      <c r="A456" t="s">
        <v>4255</v>
      </c>
      <c r="B456" t="e">
        <f>VLOOKUP(A456,Register!$B$4:$F$738,10)</f>
        <v>#REF!</v>
      </c>
      <c r="C456" s="20">
        <v>470</v>
      </c>
    </row>
    <row r="457" spans="1:3" x14ac:dyDescent="0.45">
      <c r="A457" t="s">
        <v>4256</v>
      </c>
      <c r="B457" t="e">
        <f>VLOOKUP(A457,Register!$B$4:$F$738,10)</f>
        <v>#REF!</v>
      </c>
      <c r="C457" s="20">
        <v>465</v>
      </c>
    </row>
    <row r="458" spans="1:3" x14ac:dyDescent="0.45">
      <c r="A458" t="s">
        <v>4257</v>
      </c>
      <c r="B458" t="e">
        <f>VLOOKUP(A458,Register!$B$4:$F$738,10)</f>
        <v>#REF!</v>
      </c>
      <c r="C458" s="20">
        <v>464.73789999999997</v>
      </c>
    </row>
    <row r="459" spans="1:3" x14ac:dyDescent="0.45">
      <c r="A459" t="s">
        <v>734</v>
      </c>
      <c r="B459" t="e">
        <f>VLOOKUP(A459,Register!$B$4:$F$738,10)</f>
        <v>#REF!</v>
      </c>
      <c r="C459" s="20">
        <v>463.28879999999998</v>
      </c>
    </row>
    <row r="460" spans="1:3" x14ac:dyDescent="0.45">
      <c r="A460" t="s">
        <v>4258</v>
      </c>
      <c r="B460" t="e">
        <f>VLOOKUP(A460,Register!$B$4:$F$738,10)</f>
        <v>#REF!</v>
      </c>
      <c r="C460" s="20">
        <v>444</v>
      </c>
    </row>
    <row r="461" spans="1:3" x14ac:dyDescent="0.45">
      <c r="A461" t="s">
        <v>4259</v>
      </c>
      <c r="B461" t="e">
        <f>VLOOKUP(A461,Register!$B$4:$F$738,10)</f>
        <v>#REF!</v>
      </c>
      <c r="C461" s="20">
        <v>435.05</v>
      </c>
    </row>
    <row r="462" spans="1:3" x14ac:dyDescent="0.45">
      <c r="A462" t="s">
        <v>1570</v>
      </c>
      <c r="B462" t="e">
        <f>VLOOKUP(A462,Register!$B$4:$F$738,10)</f>
        <v>#REF!</v>
      </c>
      <c r="C462" s="20">
        <v>435</v>
      </c>
    </row>
    <row r="463" spans="1:3" x14ac:dyDescent="0.45">
      <c r="A463" t="s">
        <v>3461</v>
      </c>
      <c r="B463" t="e">
        <f>VLOOKUP(A463,Register!$B$4:$F$738,10)</f>
        <v>#REF!</v>
      </c>
      <c r="C463" s="20">
        <v>414.34109999999998</v>
      </c>
    </row>
    <row r="464" spans="1:3" x14ac:dyDescent="0.45">
      <c r="A464" t="s">
        <v>248</v>
      </c>
      <c r="B464" t="e">
        <f>VLOOKUP(A464,Register!$B$4:$F$738,10)</f>
        <v>#REF!</v>
      </c>
      <c r="C464" s="20">
        <v>405.63510000000002</v>
      </c>
    </row>
    <row r="465" spans="1:3" x14ac:dyDescent="0.45">
      <c r="A465" t="s">
        <v>4260</v>
      </c>
      <c r="B465" t="e">
        <f>VLOOKUP(A465,Register!$B$4:$F$738,10)</f>
        <v>#REF!</v>
      </c>
      <c r="C465" s="20">
        <v>402.23009999999999</v>
      </c>
    </row>
    <row r="466" spans="1:3" x14ac:dyDescent="0.45">
      <c r="A466" t="s">
        <v>4261</v>
      </c>
      <c r="B466" t="e">
        <f>VLOOKUP(A466,Register!$B$4:$F$738,10)</f>
        <v>#REF!</v>
      </c>
      <c r="C466" s="20">
        <v>389.37599999999998</v>
      </c>
    </row>
    <row r="467" spans="1:3" x14ac:dyDescent="0.45">
      <c r="A467" t="s">
        <v>2387</v>
      </c>
      <c r="B467" t="e">
        <f>VLOOKUP(A467,Register!$B$4:$F$738,10)</f>
        <v>#REF!</v>
      </c>
      <c r="C467" s="20">
        <v>388.62139999999999</v>
      </c>
    </row>
    <row r="468" spans="1:3" x14ac:dyDescent="0.45">
      <c r="A468" t="s">
        <v>4262</v>
      </c>
      <c r="B468" t="e">
        <f>VLOOKUP(A468,Register!$B$4:$F$738,10)</f>
        <v>#REF!</v>
      </c>
      <c r="C468" s="20">
        <v>385.21999999999997</v>
      </c>
    </row>
    <row r="469" spans="1:3" x14ac:dyDescent="0.45">
      <c r="A469" t="s">
        <v>4263</v>
      </c>
      <c r="B469" t="e">
        <f>VLOOKUP(A469,Register!$B$4:$F$738,10)</f>
        <v>#REF!</v>
      </c>
      <c r="C469" s="20">
        <v>375</v>
      </c>
    </row>
    <row r="470" spans="1:3" x14ac:dyDescent="0.45">
      <c r="A470" t="s">
        <v>4264</v>
      </c>
      <c r="B470" t="e">
        <f>VLOOKUP(A470,Register!$B$4:$F$738,10)</f>
        <v>#REF!</v>
      </c>
      <c r="C470" s="20">
        <v>370.65</v>
      </c>
    </row>
    <row r="471" spans="1:3" x14ac:dyDescent="0.45">
      <c r="A471" t="s">
        <v>4265</v>
      </c>
      <c r="B471" t="e">
        <f>VLOOKUP(A471,Register!$B$4:$F$738,10)</f>
        <v>#REF!</v>
      </c>
      <c r="C471" s="20">
        <v>365.77</v>
      </c>
    </row>
    <row r="472" spans="1:3" x14ac:dyDescent="0.45">
      <c r="A472" t="s">
        <v>4266</v>
      </c>
      <c r="B472" t="e">
        <f>VLOOKUP(A472,Register!$B$4:$F$738,10)</f>
        <v>#REF!</v>
      </c>
      <c r="C472" s="20">
        <v>361</v>
      </c>
    </row>
    <row r="473" spans="1:3" x14ac:dyDescent="0.45">
      <c r="A473" t="s">
        <v>4267</v>
      </c>
      <c r="B473" t="e">
        <f>VLOOKUP(A473,Register!$B$4:$F$738,10)</f>
        <v>#REF!</v>
      </c>
      <c r="C473" s="20">
        <v>359.18</v>
      </c>
    </row>
    <row r="474" spans="1:3" x14ac:dyDescent="0.45">
      <c r="A474" t="s">
        <v>4268</v>
      </c>
      <c r="B474" t="e">
        <f>VLOOKUP(A474,Register!$B$4:$F$738,10)</f>
        <v>#REF!</v>
      </c>
      <c r="C474" s="20">
        <v>349</v>
      </c>
    </row>
    <row r="475" spans="1:3" x14ac:dyDescent="0.45">
      <c r="A475" t="s">
        <v>4269</v>
      </c>
      <c r="B475" t="e">
        <f>VLOOKUP(A475,Register!$B$4:$F$738,10)</f>
        <v>#REF!</v>
      </c>
      <c r="C475" s="20">
        <v>338</v>
      </c>
    </row>
    <row r="476" spans="1:3" x14ac:dyDescent="0.45">
      <c r="A476" t="s">
        <v>4270</v>
      </c>
      <c r="B476" t="e">
        <f>VLOOKUP(A476,Register!$B$4:$F$738,10)</f>
        <v>#REF!</v>
      </c>
      <c r="C476" s="20">
        <v>337.69069999999999</v>
      </c>
    </row>
    <row r="477" spans="1:3" x14ac:dyDescent="0.45">
      <c r="A477" t="s">
        <v>4271</v>
      </c>
      <c r="B477" t="e">
        <f>VLOOKUP(A477,Register!$B$4:$F$738,10)</f>
        <v>#REF!</v>
      </c>
      <c r="C477" s="20">
        <v>335.2</v>
      </c>
    </row>
    <row r="478" spans="1:3" x14ac:dyDescent="0.45">
      <c r="A478" t="s">
        <v>4272</v>
      </c>
      <c r="B478" t="e">
        <f>VLOOKUP(A478,Register!$B$4:$F$738,10)</f>
        <v>#REF!</v>
      </c>
      <c r="C478" s="20">
        <v>333</v>
      </c>
    </row>
    <row r="479" spans="1:3" x14ac:dyDescent="0.45">
      <c r="A479" t="s">
        <v>4273</v>
      </c>
      <c r="B479" t="e">
        <f>VLOOKUP(A479,Register!$B$4:$F$738,10)</f>
        <v>#REF!</v>
      </c>
      <c r="C479" s="20">
        <v>331.84</v>
      </c>
    </row>
    <row r="480" spans="1:3" x14ac:dyDescent="0.45">
      <c r="A480" t="s">
        <v>4274</v>
      </c>
      <c r="B480" t="e">
        <f>VLOOKUP(A480,Register!$B$4:$F$738,10)</f>
        <v>#REF!</v>
      </c>
      <c r="C480" s="20">
        <v>329.7</v>
      </c>
    </row>
    <row r="481" spans="1:3" x14ac:dyDescent="0.45">
      <c r="A481" t="s">
        <v>4275</v>
      </c>
      <c r="B481" t="e">
        <f>VLOOKUP(A481,Register!$B$4:$F$738,10)</f>
        <v>#REF!</v>
      </c>
      <c r="C481" s="20">
        <v>326.39999999999998</v>
      </c>
    </row>
    <row r="482" spans="1:3" x14ac:dyDescent="0.45">
      <c r="A482" t="s">
        <v>4276</v>
      </c>
      <c r="B482" t="e">
        <f>VLOOKUP(A482,Register!$B$4:$F$738,10)</f>
        <v>#REF!</v>
      </c>
      <c r="C482" s="20">
        <v>325</v>
      </c>
    </row>
    <row r="483" spans="1:3" x14ac:dyDescent="0.45">
      <c r="A483" t="s">
        <v>4277</v>
      </c>
      <c r="B483" t="e">
        <f>VLOOKUP(A483,Register!$B$4:$F$738,10)</f>
        <v>#REF!</v>
      </c>
      <c r="C483" s="20">
        <v>324.29000000000002</v>
      </c>
    </row>
    <row r="484" spans="1:3" x14ac:dyDescent="0.45">
      <c r="A484" t="s">
        <v>1694</v>
      </c>
      <c r="B484" t="e">
        <f>VLOOKUP(A484,Register!$B$4:$F$738,10)</f>
        <v>#REF!</v>
      </c>
      <c r="C484" s="20">
        <v>322</v>
      </c>
    </row>
    <row r="485" spans="1:3" x14ac:dyDescent="0.45">
      <c r="A485" t="s">
        <v>4278</v>
      </c>
      <c r="B485" t="e">
        <f>VLOOKUP(A485,Register!$B$4:$F$738,10)</f>
        <v>#REF!</v>
      </c>
      <c r="C485" s="20">
        <v>321.4982</v>
      </c>
    </row>
    <row r="486" spans="1:3" x14ac:dyDescent="0.45">
      <c r="A486" t="s">
        <v>4279</v>
      </c>
      <c r="B486" t="e">
        <f>VLOOKUP(A486,Register!$B$4:$F$738,10)</f>
        <v>#REF!</v>
      </c>
      <c r="C486" s="20">
        <v>305.45</v>
      </c>
    </row>
    <row r="487" spans="1:3" x14ac:dyDescent="0.45">
      <c r="A487" t="s">
        <v>4280</v>
      </c>
      <c r="B487" t="e">
        <f>VLOOKUP(A487,Register!$B$4:$F$738,10)</f>
        <v>#REF!</v>
      </c>
      <c r="C487" s="20">
        <v>295</v>
      </c>
    </row>
    <row r="488" spans="1:3" x14ac:dyDescent="0.45">
      <c r="A488" t="s">
        <v>596</v>
      </c>
      <c r="B488" t="e">
        <f>VLOOKUP(A488,Register!$B$4:$F$738,10)</f>
        <v>#REF!</v>
      </c>
      <c r="C488" s="20">
        <v>285.60399999999998</v>
      </c>
    </row>
    <row r="489" spans="1:3" x14ac:dyDescent="0.45">
      <c r="A489" t="s">
        <v>4281</v>
      </c>
      <c r="B489" t="e">
        <f>VLOOKUP(A489,Register!$B$4:$F$738,10)</f>
        <v>#N/A</v>
      </c>
      <c r="C489" s="20">
        <v>283.95000000000005</v>
      </c>
    </row>
    <row r="490" spans="1:3" x14ac:dyDescent="0.45">
      <c r="A490" t="s">
        <v>4282</v>
      </c>
      <c r="B490" t="e">
        <f>VLOOKUP(A490,Register!$B$4:$F$738,10)</f>
        <v>#REF!</v>
      </c>
      <c r="C490" s="20">
        <v>253.56</v>
      </c>
    </row>
    <row r="491" spans="1:3" x14ac:dyDescent="0.45">
      <c r="A491" t="s">
        <v>4283</v>
      </c>
      <c r="B491" t="e">
        <f>VLOOKUP(A491,Register!$B$4:$F$738,10)</f>
        <v>#REF!</v>
      </c>
      <c r="C491" s="20">
        <v>252.51409999999998</v>
      </c>
    </row>
    <row r="492" spans="1:3" x14ac:dyDescent="0.45">
      <c r="A492" t="s">
        <v>4284</v>
      </c>
      <c r="B492" t="e">
        <f>VLOOKUP(A492,Register!$B$4:$F$738,10)</f>
        <v>#REF!</v>
      </c>
      <c r="C492" s="20">
        <v>250</v>
      </c>
    </row>
    <row r="493" spans="1:3" x14ac:dyDescent="0.45">
      <c r="A493" t="s">
        <v>4285</v>
      </c>
      <c r="B493" t="e">
        <f>VLOOKUP(A493,Register!$B$4:$F$738,10)</f>
        <v>#REF!</v>
      </c>
      <c r="C493" s="20">
        <v>249.1</v>
      </c>
    </row>
    <row r="494" spans="1:3" x14ac:dyDescent="0.45">
      <c r="A494" t="s">
        <v>4286</v>
      </c>
      <c r="B494" t="e">
        <f>VLOOKUP(A494,Register!$B$4:$F$738,10)</f>
        <v>#REF!</v>
      </c>
      <c r="C494" s="20">
        <v>248.7824</v>
      </c>
    </row>
    <row r="495" spans="1:3" x14ac:dyDescent="0.45">
      <c r="A495" t="s">
        <v>4287</v>
      </c>
      <c r="B495" t="e">
        <f>VLOOKUP(A495,Register!$B$4:$F$738,10)</f>
        <v>#REF!</v>
      </c>
      <c r="C495" s="20">
        <v>246.79240000000001</v>
      </c>
    </row>
    <row r="496" spans="1:3" x14ac:dyDescent="0.45">
      <c r="A496" t="s">
        <v>3227</v>
      </c>
      <c r="B496" t="e">
        <f>VLOOKUP(A496,Register!$B$4:$F$738,10)</f>
        <v>#REF!</v>
      </c>
      <c r="C496" s="20">
        <v>245.10480000000001</v>
      </c>
    </row>
    <row r="497" spans="1:3" x14ac:dyDescent="0.45">
      <c r="A497" t="s">
        <v>4288</v>
      </c>
      <c r="B497" t="e">
        <f>VLOOKUP(A497,Register!$B$4:$F$738,10)</f>
        <v>#REF!</v>
      </c>
      <c r="C497" s="20">
        <v>245</v>
      </c>
    </row>
    <row r="498" spans="1:3" x14ac:dyDescent="0.45">
      <c r="A498" t="s">
        <v>3255</v>
      </c>
      <c r="B498" t="e">
        <f>VLOOKUP(A498,Register!$B$4:$F$738,10)</f>
        <v>#REF!</v>
      </c>
      <c r="C498" s="20">
        <v>236.46770000000004</v>
      </c>
    </row>
    <row r="499" spans="1:3" x14ac:dyDescent="0.45">
      <c r="A499" t="s">
        <v>4289</v>
      </c>
      <c r="B499" t="e">
        <f>VLOOKUP(A499,Register!$B$4:$F$738,10)</f>
        <v>#REF!</v>
      </c>
      <c r="C499" s="20">
        <v>235</v>
      </c>
    </row>
    <row r="500" spans="1:3" x14ac:dyDescent="0.45">
      <c r="A500" t="s">
        <v>4290</v>
      </c>
      <c r="B500" t="e">
        <f>VLOOKUP(A500,Register!$B$4:$F$738,10)</f>
        <v>#REF!</v>
      </c>
      <c r="C500" s="20">
        <v>230</v>
      </c>
    </row>
    <row r="501" spans="1:3" x14ac:dyDescent="0.45">
      <c r="A501" t="s">
        <v>4291</v>
      </c>
      <c r="B501" t="e">
        <f>VLOOKUP(A501,Register!$B$4:$F$738,10)</f>
        <v>#REF!</v>
      </c>
      <c r="C501" s="20">
        <v>230</v>
      </c>
    </row>
    <row r="502" spans="1:3" x14ac:dyDescent="0.45">
      <c r="A502" t="s">
        <v>4292</v>
      </c>
      <c r="B502" t="e">
        <f>VLOOKUP(A502,Register!$B$4:$F$738,10)</f>
        <v>#REF!</v>
      </c>
      <c r="C502" s="20">
        <v>227</v>
      </c>
    </row>
    <row r="503" spans="1:3" x14ac:dyDescent="0.45">
      <c r="A503" t="s">
        <v>4293</v>
      </c>
      <c r="B503" t="e">
        <f>VLOOKUP(A503,Register!$B$4:$F$738,10)</f>
        <v>#REF!</v>
      </c>
      <c r="C503" s="20">
        <v>222.82</v>
      </c>
    </row>
    <row r="504" spans="1:3" x14ac:dyDescent="0.45">
      <c r="A504" t="s">
        <v>2144</v>
      </c>
      <c r="B504" t="e">
        <f>VLOOKUP(A504,Register!$B$4:$F$738,10)</f>
        <v>#REF!</v>
      </c>
      <c r="C504" s="20">
        <v>211.8</v>
      </c>
    </row>
    <row r="505" spans="1:3" x14ac:dyDescent="0.45">
      <c r="A505" t="s">
        <v>4294</v>
      </c>
      <c r="B505" t="e">
        <f>VLOOKUP(A505,Register!$B$4:$F$738,10)</f>
        <v>#REF!</v>
      </c>
      <c r="C505" s="20">
        <v>204.96369999999999</v>
      </c>
    </row>
    <row r="506" spans="1:3" x14ac:dyDescent="0.45">
      <c r="A506" t="s">
        <v>4295</v>
      </c>
      <c r="B506" t="e">
        <f>VLOOKUP(A506,Register!$B$4:$F$738,10)</f>
        <v>#REF!</v>
      </c>
      <c r="C506" s="20">
        <v>190.9</v>
      </c>
    </row>
    <row r="507" spans="1:3" x14ac:dyDescent="0.45">
      <c r="A507" t="s">
        <v>4296</v>
      </c>
      <c r="B507" t="e">
        <f>VLOOKUP(A507,Register!$B$4:$F$738,10)</f>
        <v>#REF!</v>
      </c>
      <c r="C507" s="20">
        <v>188.06000000000003</v>
      </c>
    </row>
    <row r="508" spans="1:3" x14ac:dyDescent="0.45">
      <c r="A508" t="s">
        <v>4297</v>
      </c>
      <c r="B508" t="e">
        <f>VLOOKUP(A508,Register!$B$4:$F$738,10)</f>
        <v>#REF!</v>
      </c>
      <c r="C508" s="20">
        <v>187.01</v>
      </c>
    </row>
    <row r="509" spans="1:3" x14ac:dyDescent="0.45">
      <c r="A509" t="s">
        <v>4298</v>
      </c>
      <c r="B509" t="e">
        <f>VLOOKUP(A509,Register!$B$4:$F$738,10)</f>
        <v>#REF!</v>
      </c>
      <c r="C509" s="20">
        <v>185.9</v>
      </c>
    </row>
    <row r="510" spans="1:3" x14ac:dyDescent="0.45">
      <c r="A510" t="s">
        <v>4299</v>
      </c>
      <c r="B510" t="e">
        <f>VLOOKUP(A510,Register!$B$4:$F$738,10)</f>
        <v>#REF!</v>
      </c>
      <c r="C510" s="20">
        <v>181.70999999999998</v>
      </c>
    </row>
    <row r="511" spans="1:3" x14ac:dyDescent="0.45">
      <c r="A511" t="s">
        <v>1700</v>
      </c>
      <c r="B511" t="e">
        <f>VLOOKUP(A511,Register!$B$4:$F$738,10)</f>
        <v>#REF!</v>
      </c>
      <c r="C511" s="20">
        <v>178</v>
      </c>
    </row>
    <row r="512" spans="1:3" x14ac:dyDescent="0.45">
      <c r="A512" t="s">
        <v>4300</v>
      </c>
      <c r="B512" t="e">
        <f>VLOOKUP(A512,Register!$B$4:$F$738,10)</f>
        <v>#REF!</v>
      </c>
      <c r="C512" s="20">
        <v>169</v>
      </c>
    </row>
    <row r="513" spans="1:3" x14ac:dyDescent="0.45">
      <c r="A513" t="s">
        <v>4301</v>
      </c>
      <c r="B513" t="e">
        <f>VLOOKUP(A513,Register!$B$4:$F$738,10)</f>
        <v>#REF!</v>
      </c>
      <c r="C513" s="20">
        <v>168.1559</v>
      </c>
    </row>
    <row r="514" spans="1:3" x14ac:dyDescent="0.45">
      <c r="A514" t="s">
        <v>4302</v>
      </c>
      <c r="B514" t="e">
        <f>VLOOKUP(A514,Register!$B$4:$F$738,10)</f>
        <v>#REF!</v>
      </c>
      <c r="C514" s="20">
        <v>162.35</v>
      </c>
    </row>
    <row r="515" spans="1:3" x14ac:dyDescent="0.45">
      <c r="A515" t="s">
        <v>2872</v>
      </c>
      <c r="B515" t="e">
        <f>VLOOKUP(A515,Register!$B$4:$F$738,10)</f>
        <v>#REF!</v>
      </c>
      <c r="C515" s="20">
        <v>161.97999999999999</v>
      </c>
    </row>
    <row r="516" spans="1:3" x14ac:dyDescent="0.45">
      <c r="A516" t="s">
        <v>4303</v>
      </c>
      <c r="B516" t="e">
        <f>VLOOKUP(A516,Register!$B$4:$F$738,10)</f>
        <v>#REF!</v>
      </c>
      <c r="C516" s="20">
        <v>159.81700000000001</v>
      </c>
    </row>
    <row r="517" spans="1:3" x14ac:dyDescent="0.45">
      <c r="A517" t="s">
        <v>4304</v>
      </c>
      <c r="B517" t="e">
        <f>VLOOKUP(A517,Register!$B$4:$F$738,10)</f>
        <v>#REF!</v>
      </c>
      <c r="C517" s="20">
        <v>159.80000000000001</v>
      </c>
    </row>
    <row r="518" spans="1:3" x14ac:dyDescent="0.45">
      <c r="A518" t="s">
        <v>2510</v>
      </c>
      <c r="B518" t="e">
        <f>VLOOKUP(A518,Register!$B$4:$F$738,10)</f>
        <v>#REF!</v>
      </c>
      <c r="C518" s="20">
        <v>154.89250000000001</v>
      </c>
    </row>
    <row r="519" spans="1:3" x14ac:dyDescent="0.45">
      <c r="A519" t="s">
        <v>4305</v>
      </c>
      <c r="B519" t="e">
        <f>VLOOKUP(A519,Register!$B$4:$F$738,10)</f>
        <v>#REF!</v>
      </c>
      <c r="C519" s="20">
        <v>150.93</v>
      </c>
    </row>
    <row r="520" spans="1:3" x14ac:dyDescent="0.45">
      <c r="A520" t="s">
        <v>4306</v>
      </c>
      <c r="B520" t="e">
        <f>VLOOKUP(A520,Register!$B$4:$F$738,10)</f>
        <v>#REF!</v>
      </c>
      <c r="C520" s="20">
        <v>150</v>
      </c>
    </row>
    <row r="521" spans="1:3" x14ac:dyDescent="0.45">
      <c r="A521" t="s">
        <v>492</v>
      </c>
      <c r="B521" t="e">
        <f>VLOOKUP(A521,Register!$B$4:$F$738,10)</f>
        <v>#REF!</v>
      </c>
      <c r="C521" s="20">
        <v>141</v>
      </c>
    </row>
    <row r="522" spans="1:3" x14ac:dyDescent="0.45">
      <c r="A522" t="s">
        <v>1177</v>
      </c>
      <c r="B522" t="e">
        <f>VLOOKUP(A522,Register!$B$4:$F$738,10)</f>
        <v>#REF!</v>
      </c>
      <c r="C522" s="20">
        <v>138.9</v>
      </c>
    </row>
    <row r="523" spans="1:3" x14ac:dyDescent="0.45">
      <c r="A523" t="s">
        <v>3453</v>
      </c>
      <c r="B523" t="e">
        <f>VLOOKUP(A523,Register!$B$4:$F$738,10)</f>
        <v>#REF!</v>
      </c>
      <c r="C523" s="20">
        <v>133.94999999999999</v>
      </c>
    </row>
    <row r="524" spans="1:3" x14ac:dyDescent="0.45">
      <c r="A524" t="s">
        <v>4307</v>
      </c>
      <c r="B524" t="e">
        <f>VLOOKUP(A524,Register!$B$4:$F$738,10)</f>
        <v>#N/A</v>
      </c>
      <c r="C524" s="20">
        <v>131.64000000000001</v>
      </c>
    </row>
    <row r="525" spans="1:3" x14ac:dyDescent="0.45">
      <c r="A525" t="s">
        <v>4308</v>
      </c>
      <c r="B525" t="e">
        <f>VLOOKUP(A525,Register!$B$4:$F$738,10)</f>
        <v>#N/A</v>
      </c>
      <c r="C525" s="20">
        <v>131.1</v>
      </c>
    </row>
    <row r="526" spans="1:3" x14ac:dyDescent="0.45">
      <c r="A526" t="s">
        <v>2833</v>
      </c>
      <c r="B526" t="e">
        <f>VLOOKUP(A526,Register!$B$4:$F$738,10)</f>
        <v>#REF!</v>
      </c>
      <c r="C526" s="20">
        <v>122.2052</v>
      </c>
    </row>
    <row r="527" spans="1:3" x14ac:dyDescent="0.45">
      <c r="A527" t="s">
        <v>4309</v>
      </c>
      <c r="B527" t="e">
        <f>VLOOKUP(A527,Register!$B$4:$F$738,10)</f>
        <v>#REF!</v>
      </c>
      <c r="C527" s="20">
        <v>120</v>
      </c>
    </row>
    <row r="528" spans="1:3" x14ac:dyDescent="0.45">
      <c r="A528" t="s">
        <v>2171</v>
      </c>
      <c r="B528" t="e">
        <f>VLOOKUP(A528,Register!$B$4:$F$738,10)</f>
        <v>#REF!</v>
      </c>
      <c r="C528" s="20">
        <v>119.25</v>
      </c>
    </row>
    <row r="529" spans="1:3" x14ac:dyDescent="0.45">
      <c r="A529" t="s">
        <v>4310</v>
      </c>
      <c r="B529" t="e">
        <f>VLOOKUP(A529,Register!$B$4:$F$738,10)</f>
        <v>#REF!</v>
      </c>
      <c r="C529" s="20">
        <v>119.09</v>
      </c>
    </row>
    <row r="530" spans="1:3" x14ac:dyDescent="0.45">
      <c r="A530" t="s">
        <v>4311</v>
      </c>
      <c r="B530" t="e">
        <f>VLOOKUP(A530,Register!$B$4:$F$738,10)</f>
        <v>#REF!</v>
      </c>
      <c r="C530" s="20">
        <v>112.21</v>
      </c>
    </row>
    <row r="531" spans="1:3" x14ac:dyDescent="0.45">
      <c r="A531" t="s">
        <v>2467</v>
      </c>
      <c r="B531" t="e">
        <f>VLOOKUP(A531,Register!$B$4:$F$738,10)</f>
        <v>#REF!</v>
      </c>
      <c r="C531" s="20">
        <v>112.2</v>
      </c>
    </row>
    <row r="532" spans="1:3" x14ac:dyDescent="0.45">
      <c r="A532" t="s">
        <v>4312</v>
      </c>
      <c r="B532" t="e">
        <f>VLOOKUP(A532,Register!$B$4:$F$738,10)</f>
        <v>#REF!</v>
      </c>
      <c r="C532" s="20">
        <v>110.52999999999999</v>
      </c>
    </row>
    <row r="533" spans="1:3" x14ac:dyDescent="0.45">
      <c r="A533" t="s">
        <v>2940</v>
      </c>
      <c r="B533" t="e">
        <f>VLOOKUP(A533,Register!$B$4:$F$738,10)</f>
        <v>#REF!</v>
      </c>
      <c r="C533" s="20">
        <v>101.46</v>
      </c>
    </row>
    <row r="534" spans="1:3" x14ac:dyDescent="0.45">
      <c r="A534" t="s">
        <v>2450</v>
      </c>
      <c r="B534" t="e">
        <f>VLOOKUP(A534,Register!$B$4:$F$738,10)</f>
        <v>#REF!</v>
      </c>
      <c r="C534" s="20">
        <v>96.75</v>
      </c>
    </row>
    <row r="535" spans="1:3" x14ac:dyDescent="0.45">
      <c r="A535" t="s">
        <v>4313</v>
      </c>
      <c r="B535" t="e">
        <f>VLOOKUP(A535,Register!$B$4:$F$738,10)</f>
        <v>#REF!</v>
      </c>
      <c r="C535" s="20">
        <v>91.509999999999991</v>
      </c>
    </row>
    <row r="536" spans="1:3" x14ac:dyDescent="0.45">
      <c r="A536" t="s">
        <v>4314</v>
      </c>
      <c r="B536" t="e">
        <f>VLOOKUP(A536,Register!$B$4:$F$738,10)</f>
        <v>#REF!</v>
      </c>
      <c r="C536" s="20">
        <v>90</v>
      </c>
    </row>
    <row r="537" spans="1:3" x14ac:dyDescent="0.45">
      <c r="A537" t="s">
        <v>1415</v>
      </c>
      <c r="B537" t="e">
        <f>VLOOKUP(A537,Register!$B$4:$F$738,10)</f>
        <v>#REF!</v>
      </c>
      <c r="C537" s="20">
        <v>89.1</v>
      </c>
    </row>
    <row r="538" spans="1:3" x14ac:dyDescent="0.45">
      <c r="A538" t="s">
        <v>1384</v>
      </c>
      <c r="B538" t="e">
        <f>VLOOKUP(A538,Register!$B$4:$F$738,10)</f>
        <v>#N/A</v>
      </c>
      <c r="C538" s="20">
        <v>87.460000000000008</v>
      </c>
    </row>
    <row r="539" spans="1:3" x14ac:dyDescent="0.45">
      <c r="A539" t="s">
        <v>4315</v>
      </c>
      <c r="B539" t="e">
        <f>VLOOKUP(A539,Register!$B$4:$F$738,10)</f>
        <v>#REF!</v>
      </c>
      <c r="C539" s="20">
        <v>83.046800000000005</v>
      </c>
    </row>
    <row r="540" spans="1:3" x14ac:dyDescent="0.45">
      <c r="A540" t="s">
        <v>4316</v>
      </c>
      <c r="B540" t="e">
        <f>VLOOKUP(A540,Register!$B$4:$F$738,10)</f>
        <v>#REF!</v>
      </c>
      <c r="C540" s="20">
        <v>82.5</v>
      </c>
    </row>
    <row r="541" spans="1:3" x14ac:dyDescent="0.45">
      <c r="A541" t="s">
        <v>4317</v>
      </c>
      <c r="B541" t="e">
        <f>VLOOKUP(A541,Register!$B$4:$F$738,10)</f>
        <v>#REF!</v>
      </c>
      <c r="C541" s="20">
        <v>81.8</v>
      </c>
    </row>
    <row r="542" spans="1:3" x14ac:dyDescent="0.45">
      <c r="A542" t="s">
        <v>616</v>
      </c>
      <c r="B542" t="e">
        <f>VLOOKUP(A542,Register!$B$4:$F$738,10)</f>
        <v>#REF!</v>
      </c>
      <c r="C542" s="20">
        <v>80.345200000000006</v>
      </c>
    </row>
    <row r="543" spans="1:3" x14ac:dyDescent="0.45">
      <c r="A543" t="s">
        <v>4318</v>
      </c>
      <c r="B543" t="e">
        <f>VLOOKUP(A543,Register!$B$4:$F$738,10)</f>
        <v>#REF!</v>
      </c>
      <c r="C543" s="20">
        <v>78</v>
      </c>
    </row>
    <row r="544" spans="1:3" x14ac:dyDescent="0.45">
      <c r="A544" t="s">
        <v>4319</v>
      </c>
      <c r="B544" t="e">
        <f>VLOOKUP(A544,Register!$B$4:$F$738,10)</f>
        <v>#REF!</v>
      </c>
      <c r="C544" s="20">
        <v>73.400000000000006</v>
      </c>
    </row>
    <row r="545" spans="1:3" x14ac:dyDescent="0.45">
      <c r="A545" t="s">
        <v>4320</v>
      </c>
      <c r="B545" t="e">
        <f>VLOOKUP(A545,Register!$B$4:$F$738,10)</f>
        <v>#REF!</v>
      </c>
      <c r="C545" s="20">
        <v>72.72</v>
      </c>
    </row>
    <row r="546" spans="1:3" x14ac:dyDescent="0.45">
      <c r="A546" t="s">
        <v>4321</v>
      </c>
      <c r="B546" t="e">
        <f>VLOOKUP(A546,Register!$B$4:$F$738,10)</f>
        <v>#REF!</v>
      </c>
      <c r="C546" s="20">
        <v>71.64</v>
      </c>
    </row>
    <row r="547" spans="1:3" x14ac:dyDescent="0.45">
      <c r="A547" t="s">
        <v>4322</v>
      </c>
      <c r="B547" t="e">
        <f>VLOOKUP(A547,Register!$B$4:$F$738,10)</f>
        <v>#REF!</v>
      </c>
      <c r="C547" s="20">
        <v>67.489999999999995</v>
      </c>
    </row>
    <row r="548" spans="1:3" x14ac:dyDescent="0.45">
      <c r="A548" t="s">
        <v>4323</v>
      </c>
      <c r="B548" t="e">
        <f>VLOOKUP(A548,Register!$B$4:$F$738,10)</f>
        <v>#REF!</v>
      </c>
      <c r="C548" s="20">
        <v>65.790000000000006</v>
      </c>
    </row>
    <row r="549" spans="1:3" x14ac:dyDescent="0.45">
      <c r="A549" t="s">
        <v>4324</v>
      </c>
      <c r="B549" t="e">
        <f>VLOOKUP(A549,Register!$B$4:$F$738,10)</f>
        <v>#REF!</v>
      </c>
      <c r="C549" s="20">
        <v>58.18</v>
      </c>
    </row>
    <row r="550" spans="1:3" x14ac:dyDescent="0.45">
      <c r="A550" t="s">
        <v>844</v>
      </c>
      <c r="B550" t="e">
        <f>VLOOKUP(A550,Register!$B$4:$F$738,10)</f>
        <v>#REF!</v>
      </c>
      <c r="C550" s="20">
        <v>51.96</v>
      </c>
    </row>
    <row r="551" spans="1:3" x14ac:dyDescent="0.45">
      <c r="A551" t="s">
        <v>4325</v>
      </c>
      <c r="B551" t="e">
        <f>VLOOKUP(A551,Register!$B$4:$F$738,10)</f>
        <v>#REF!</v>
      </c>
      <c r="C551" s="20">
        <v>50.82</v>
      </c>
    </row>
    <row r="552" spans="1:3" x14ac:dyDescent="0.45">
      <c r="A552" t="s">
        <v>555</v>
      </c>
      <c r="B552" t="e">
        <f>VLOOKUP(A552,Register!$B$4:$F$738,10)</f>
        <v>#REF!</v>
      </c>
      <c r="C552" s="20">
        <v>46.59</v>
      </c>
    </row>
    <row r="553" spans="1:3" x14ac:dyDescent="0.45">
      <c r="A553" t="s">
        <v>4326</v>
      </c>
      <c r="B553" t="e">
        <f>VLOOKUP(A553,Register!$B$4:$F$738,10)</f>
        <v>#REF!</v>
      </c>
      <c r="C553" s="20">
        <v>46.2</v>
      </c>
    </row>
    <row r="554" spans="1:3" x14ac:dyDescent="0.45">
      <c r="A554" t="s">
        <v>4327</v>
      </c>
      <c r="B554" t="e">
        <f>VLOOKUP(A554,Register!$B$4:$F$738,10)</f>
        <v>#REF!</v>
      </c>
      <c r="C554" s="20">
        <v>46</v>
      </c>
    </row>
    <row r="555" spans="1:3" x14ac:dyDescent="0.45">
      <c r="A555" t="s">
        <v>3647</v>
      </c>
      <c r="B555" t="e">
        <f>VLOOKUP(A555,Register!$B$4:$F$738,10)</f>
        <v>#REF!</v>
      </c>
      <c r="C555" s="20">
        <v>44.401499999999999</v>
      </c>
    </row>
    <row r="556" spans="1:3" x14ac:dyDescent="0.45">
      <c r="A556" t="s">
        <v>4328</v>
      </c>
      <c r="B556" t="e">
        <f>VLOOKUP(A556,Register!$B$4:$F$738,10)</f>
        <v>#REF!</v>
      </c>
      <c r="C556" s="20">
        <v>43.370000000000005</v>
      </c>
    </row>
    <row r="557" spans="1:3" x14ac:dyDescent="0.45">
      <c r="A557" t="s">
        <v>1307</v>
      </c>
      <c r="B557" t="e">
        <f>VLOOKUP(A557,Register!$B$4:$F$738,10)</f>
        <v>#REF!</v>
      </c>
      <c r="C557" s="20">
        <v>41.6</v>
      </c>
    </row>
    <row r="558" spans="1:3" x14ac:dyDescent="0.45">
      <c r="A558" t="s">
        <v>4329</v>
      </c>
      <c r="B558" t="e">
        <f>VLOOKUP(A558,Register!$B$4:$F$738,10)</f>
        <v>#REF!</v>
      </c>
      <c r="C558" s="20">
        <v>36.299999999999997</v>
      </c>
    </row>
    <row r="559" spans="1:3" x14ac:dyDescent="0.45">
      <c r="A559" t="s">
        <v>850</v>
      </c>
      <c r="B559" t="e">
        <f>VLOOKUP(A559,Register!$B$4:$F$738,10)</f>
        <v>#REF!</v>
      </c>
      <c r="C559" s="20">
        <v>36</v>
      </c>
    </row>
    <row r="560" spans="1:3" x14ac:dyDescent="0.45">
      <c r="A560" t="s">
        <v>4330</v>
      </c>
      <c r="B560" t="e">
        <f>VLOOKUP(A560,Register!$B$4:$F$738,10)</f>
        <v>#REF!</v>
      </c>
      <c r="C560" s="20">
        <v>33.75</v>
      </c>
    </row>
    <row r="561" spans="1:3" x14ac:dyDescent="0.45">
      <c r="A561" t="s">
        <v>528</v>
      </c>
      <c r="B561" t="e">
        <f>VLOOKUP(A561,Register!$B$4:$F$738,10)</f>
        <v>#REF!</v>
      </c>
      <c r="C561" s="20">
        <v>26.55</v>
      </c>
    </row>
    <row r="562" spans="1:3" x14ac:dyDescent="0.45">
      <c r="A562" t="s">
        <v>860</v>
      </c>
      <c r="B562" t="e">
        <f>VLOOKUP(A562,Register!$B$4:$F$738,10)</f>
        <v>#REF!</v>
      </c>
      <c r="C562" s="20">
        <v>16.399999999999999</v>
      </c>
    </row>
    <row r="563" spans="1:3" x14ac:dyDescent="0.45">
      <c r="A563" t="s">
        <v>4331</v>
      </c>
      <c r="B563" t="e">
        <f>VLOOKUP(A563,Register!$B$4:$F$738,10)</f>
        <v>#REF!</v>
      </c>
      <c r="C563" s="20">
        <v>10.91</v>
      </c>
    </row>
    <row r="564" spans="1:3" x14ac:dyDescent="0.45">
      <c r="A564" t="s">
        <v>4332</v>
      </c>
      <c r="B564" t="e">
        <f>VLOOKUP(A564,Register!$B$4:$F$738,10)</f>
        <v>#REF!</v>
      </c>
      <c r="C564" s="20">
        <v>5.45</v>
      </c>
    </row>
    <row r="565" spans="1:3" x14ac:dyDescent="0.45">
      <c r="A565" t="s">
        <v>3735</v>
      </c>
      <c r="B565" t="e">
        <f>VLOOKUP(A565,Register!$B$4:$F$738,10)</f>
        <v>#N/A</v>
      </c>
      <c r="C565" s="20">
        <v>5.0719999999999983</v>
      </c>
    </row>
    <row r="566" spans="1:3" x14ac:dyDescent="0.45">
      <c r="A566" t="s">
        <v>4333</v>
      </c>
      <c r="B566" t="e">
        <f>VLOOKUP(A566,Register!$B$4:$F$738,10)</f>
        <v>#REF!</v>
      </c>
      <c r="C566" s="20">
        <v>1.55E-2</v>
      </c>
    </row>
  </sheetData>
  <mergeCells count="1">
    <mergeCell ref="E9:R39"/>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91819-D1FE-492A-B071-72D15CC6A204}">
  <sheetPr codeName="Sheet10"/>
  <dimension ref="A1:XDH46"/>
  <sheetViews>
    <sheetView workbookViewId="0">
      <selection activeCell="H23" sqref="H23"/>
    </sheetView>
  </sheetViews>
  <sheetFormatPr defaultColWidth="9.1328125" defaultRowHeight="10.5" x14ac:dyDescent="0.35"/>
  <cols>
    <col min="1" max="1" width="43.86328125" style="49" customWidth="1"/>
    <col min="2" max="2" width="35.3984375" style="48" customWidth="1"/>
    <col min="3" max="3" width="7.6640625" style="48" customWidth="1"/>
    <col min="4" max="16384" width="9.1328125" style="48"/>
  </cols>
  <sheetData>
    <row r="1" spans="1:16336" x14ac:dyDescent="0.35">
      <c r="A1" s="45"/>
      <c r="B1" s="46"/>
      <c r="C1" s="83"/>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2"/>
      <c r="BA1" s="42"/>
      <c r="BB1" s="42"/>
      <c r="BC1" s="42"/>
      <c r="BD1" s="42"/>
      <c r="BE1" s="42"/>
      <c r="BF1" s="42"/>
      <c r="BG1" s="42"/>
      <c r="BH1" s="42"/>
      <c r="BI1" s="42"/>
      <c r="BJ1" s="42"/>
      <c r="BK1" s="42"/>
      <c r="BL1" s="42"/>
      <c r="BM1" s="42"/>
      <c r="BN1" s="42"/>
      <c r="BO1" s="42"/>
      <c r="BP1" s="42"/>
      <c r="BQ1" s="42"/>
      <c r="BR1" s="42"/>
      <c r="BS1" s="42"/>
      <c r="BT1" s="42"/>
      <c r="BU1" s="42"/>
      <c r="BV1" s="42"/>
      <c r="BW1" s="42"/>
      <c r="BX1" s="42"/>
      <c r="BY1" s="42"/>
      <c r="BZ1" s="42"/>
      <c r="CA1" s="42"/>
      <c r="CB1" s="42"/>
      <c r="CC1" s="42"/>
      <c r="CD1" s="42"/>
      <c r="CE1" s="42"/>
      <c r="CF1" s="42"/>
      <c r="CG1" s="42"/>
      <c r="CH1" s="42"/>
      <c r="CI1" s="42"/>
      <c r="CJ1" s="42"/>
      <c r="CK1" s="42"/>
      <c r="CL1" s="42"/>
      <c r="CM1" s="42"/>
      <c r="CN1" s="42"/>
      <c r="CO1" s="42"/>
      <c r="CP1" s="42"/>
      <c r="CQ1" s="42"/>
      <c r="CR1" s="42"/>
      <c r="CS1" s="42"/>
      <c r="CT1" s="42"/>
      <c r="CU1" s="42"/>
      <c r="CV1" s="42"/>
      <c r="CW1" s="42"/>
      <c r="CX1" s="42"/>
      <c r="CY1" s="42"/>
      <c r="CZ1" s="42"/>
      <c r="DA1" s="42"/>
      <c r="DB1" s="42"/>
      <c r="DC1" s="42"/>
      <c r="DD1" s="42"/>
      <c r="DE1" s="42"/>
      <c r="DF1" s="42"/>
      <c r="DG1" s="42"/>
      <c r="DH1" s="42"/>
      <c r="DI1" s="42"/>
      <c r="DJ1" s="42"/>
      <c r="DK1" s="42"/>
      <c r="DL1" s="42"/>
      <c r="DM1" s="42"/>
      <c r="DN1" s="42"/>
      <c r="DO1" s="42"/>
      <c r="DP1" s="42"/>
      <c r="DQ1" s="42"/>
      <c r="DR1" s="42"/>
      <c r="DS1" s="42"/>
      <c r="DT1" s="42"/>
      <c r="DU1" s="42"/>
      <c r="DV1" s="42"/>
      <c r="DW1" s="42"/>
      <c r="DX1" s="42"/>
      <c r="DY1" s="42"/>
      <c r="DZ1" s="42"/>
      <c r="EA1" s="42"/>
      <c r="EB1" s="42"/>
      <c r="EC1" s="42"/>
      <c r="ED1" s="42"/>
      <c r="EE1" s="42"/>
      <c r="EF1" s="42"/>
      <c r="EG1" s="42"/>
      <c r="EH1" s="42"/>
      <c r="EI1" s="42"/>
      <c r="EJ1" s="42"/>
      <c r="EK1" s="42"/>
      <c r="EL1" s="42"/>
      <c r="EM1" s="42"/>
      <c r="EN1" s="42"/>
      <c r="EO1" s="42"/>
      <c r="EP1" s="42"/>
      <c r="EQ1" s="42"/>
      <c r="ER1" s="42"/>
      <c r="ES1" s="42"/>
      <c r="ET1" s="42"/>
      <c r="EU1" s="42"/>
      <c r="EV1" s="42"/>
      <c r="EW1" s="42"/>
      <c r="EX1" s="42"/>
      <c r="EY1" s="42"/>
      <c r="EZ1" s="42"/>
      <c r="FA1" s="42"/>
      <c r="FB1" s="42"/>
      <c r="FC1" s="42"/>
      <c r="FD1" s="42"/>
      <c r="FE1" s="42"/>
      <c r="FF1" s="42"/>
      <c r="FG1" s="42"/>
      <c r="FH1" s="42"/>
      <c r="FI1" s="42"/>
      <c r="FJ1" s="42"/>
      <c r="FK1" s="42"/>
      <c r="FL1" s="42"/>
      <c r="FM1" s="42"/>
      <c r="FN1" s="42"/>
      <c r="FO1" s="42"/>
      <c r="FP1" s="42"/>
      <c r="FQ1" s="42"/>
      <c r="FR1" s="42"/>
      <c r="FS1" s="42"/>
      <c r="FT1" s="42"/>
      <c r="FU1" s="42"/>
      <c r="FV1" s="42"/>
      <c r="FW1" s="42"/>
      <c r="FX1" s="42"/>
      <c r="FY1" s="42"/>
      <c r="FZ1" s="42"/>
      <c r="GA1" s="42"/>
      <c r="GB1" s="42"/>
      <c r="GC1" s="42"/>
      <c r="GD1" s="42"/>
      <c r="GE1" s="42"/>
      <c r="GF1" s="42"/>
      <c r="GG1" s="42"/>
      <c r="GH1" s="42"/>
      <c r="GI1" s="42"/>
      <c r="GJ1" s="42"/>
      <c r="GK1" s="42"/>
      <c r="GL1" s="42"/>
      <c r="GM1" s="42"/>
      <c r="GN1" s="42"/>
      <c r="GO1" s="42"/>
      <c r="GP1" s="42"/>
      <c r="GQ1" s="42"/>
      <c r="GR1" s="42"/>
      <c r="GS1" s="42"/>
      <c r="GT1" s="42"/>
      <c r="GU1" s="42"/>
      <c r="GV1" s="42"/>
      <c r="GW1" s="42"/>
      <c r="GX1" s="42"/>
      <c r="GY1" s="42"/>
      <c r="GZ1" s="42"/>
      <c r="HA1" s="42"/>
      <c r="HB1" s="42"/>
      <c r="HC1" s="42"/>
      <c r="HD1" s="42"/>
      <c r="HE1" s="42"/>
      <c r="HF1" s="42"/>
      <c r="HG1" s="42"/>
      <c r="HH1" s="42"/>
      <c r="HI1" s="42"/>
      <c r="HJ1" s="42"/>
      <c r="HK1" s="42"/>
      <c r="HL1" s="42"/>
      <c r="HM1" s="42"/>
      <c r="HN1" s="42"/>
      <c r="HO1" s="42"/>
      <c r="HP1" s="42"/>
      <c r="HQ1" s="42"/>
      <c r="HR1" s="42"/>
      <c r="HS1" s="42"/>
      <c r="HT1" s="42"/>
      <c r="HU1" s="42"/>
      <c r="HV1" s="42"/>
      <c r="HW1" s="42"/>
      <c r="HX1" s="42"/>
      <c r="HY1" s="42"/>
      <c r="HZ1" s="42"/>
      <c r="IA1" s="42"/>
      <c r="IB1" s="42"/>
      <c r="IC1" s="42"/>
      <c r="ID1" s="42"/>
      <c r="IE1" s="42"/>
      <c r="IF1" s="42"/>
      <c r="IG1" s="42"/>
      <c r="IH1" s="42"/>
      <c r="II1" s="42"/>
      <c r="IJ1" s="42"/>
      <c r="IK1" s="42"/>
      <c r="IL1" s="42"/>
      <c r="IM1" s="42"/>
      <c r="IN1" s="42"/>
      <c r="IO1" s="42"/>
      <c r="IP1" s="42"/>
      <c r="IQ1" s="42"/>
      <c r="IR1" s="42"/>
      <c r="IS1" s="42"/>
      <c r="IT1" s="42"/>
      <c r="IU1" s="42"/>
      <c r="IV1" s="42"/>
      <c r="IW1" s="42"/>
      <c r="IX1" s="42"/>
      <c r="IY1" s="42"/>
      <c r="IZ1" s="42"/>
      <c r="JA1" s="42"/>
      <c r="JB1" s="42"/>
      <c r="JC1" s="42"/>
      <c r="JD1" s="42"/>
      <c r="JE1" s="42"/>
      <c r="JF1" s="42"/>
      <c r="JG1" s="42"/>
      <c r="JH1" s="42"/>
      <c r="JI1" s="42"/>
      <c r="JJ1" s="42"/>
      <c r="JK1" s="42"/>
      <c r="JL1" s="42"/>
      <c r="JM1" s="42"/>
      <c r="JN1" s="42"/>
      <c r="JO1" s="42"/>
      <c r="JP1" s="42"/>
      <c r="JQ1" s="42"/>
      <c r="JR1" s="42"/>
      <c r="JS1" s="42"/>
      <c r="JT1" s="42"/>
      <c r="JU1" s="42"/>
      <c r="JV1" s="42"/>
      <c r="JW1" s="42"/>
      <c r="JX1" s="42"/>
      <c r="JY1" s="42"/>
      <c r="JZ1" s="42"/>
      <c r="KA1" s="42"/>
      <c r="KB1" s="42"/>
      <c r="KC1" s="42"/>
      <c r="KD1" s="42"/>
      <c r="KE1" s="42"/>
      <c r="KF1" s="42"/>
      <c r="KG1" s="42"/>
      <c r="KH1" s="42"/>
      <c r="KI1" s="42"/>
      <c r="KJ1" s="42"/>
      <c r="KK1" s="42"/>
      <c r="KL1" s="42"/>
      <c r="KM1" s="42"/>
      <c r="KN1" s="42"/>
      <c r="KO1" s="42"/>
      <c r="KP1" s="42"/>
      <c r="KQ1" s="42"/>
      <c r="KR1" s="42"/>
      <c r="KS1" s="42"/>
      <c r="KT1" s="42"/>
      <c r="KU1" s="42"/>
      <c r="KV1" s="42"/>
      <c r="KW1" s="42"/>
      <c r="KX1" s="42"/>
      <c r="KY1" s="42"/>
      <c r="KZ1" s="42"/>
      <c r="LA1" s="42"/>
      <c r="LB1" s="42"/>
      <c r="LC1" s="42"/>
      <c r="LD1" s="42"/>
      <c r="LE1" s="42"/>
      <c r="LF1" s="42"/>
      <c r="LG1" s="42"/>
      <c r="LH1" s="42"/>
      <c r="LI1" s="42"/>
      <c r="LJ1" s="42"/>
      <c r="LK1" s="42"/>
      <c r="LL1" s="42"/>
      <c r="LM1" s="42"/>
      <c r="LN1" s="42"/>
      <c r="LO1" s="42"/>
      <c r="LP1" s="42"/>
      <c r="LQ1" s="42"/>
      <c r="LR1" s="42"/>
      <c r="LS1" s="42"/>
      <c r="LT1" s="42"/>
      <c r="LU1" s="42"/>
      <c r="LV1" s="42"/>
      <c r="LW1" s="42"/>
      <c r="LX1" s="42"/>
      <c r="LY1" s="42"/>
      <c r="LZ1" s="42"/>
      <c r="MA1" s="42"/>
      <c r="MB1" s="42"/>
      <c r="MC1" s="42"/>
      <c r="MD1" s="42"/>
      <c r="ME1" s="42"/>
      <c r="MF1" s="42"/>
      <c r="MG1" s="42"/>
      <c r="MH1" s="42"/>
      <c r="MI1" s="42"/>
      <c r="MJ1" s="42"/>
      <c r="MK1" s="42"/>
      <c r="ML1" s="42"/>
      <c r="MM1" s="42"/>
      <c r="MN1" s="42"/>
      <c r="MO1" s="42"/>
      <c r="MP1" s="42"/>
      <c r="MQ1" s="42"/>
      <c r="MR1" s="42"/>
      <c r="MS1" s="42"/>
      <c r="MT1" s="42"/>
      <c r="MU1" s="42"/>
      <c r="MV1" s="42"/>
      <c r="MW1" s="42"/>
      <c r="MX1" s="42"/>
      <c r="MY1" s="42"/>
      <c r="MZ1" s="42"/>
      <c r="NA1" s="42"/>
      <c r="NB1" s="42"/>
      <c r="NC1" s="42"/>
      <c r="ND1" s="42"/>
      <c r="NE1" s="42"/>
      <c r="NF1" s="42"/>
      <c r="NG1" s="42"/>
      <c r="NH1" s="42"/>
      <c r="NI1" s="42"/>
      <c r="NJ1" s="42"/>
      <c r="NK1" s="42"/>
      <c r="NL1" s="42"/>
      <c r="NM1" s="42"/>
      <c r="NN1" s="42"/>
      <c r="NO1" s="42"/>
      <c r="NP1" s="42"/>
      <c r="NQ1" s="42"/>
      <c r="NR1" s="42"/>
      <c r="NS1" s="42"/>
      <c r="NT1" s="42"/>
      <c r="NU1" s="42"/>
      <c r="NV1" s="42"/>
      <c r="NW1" s="42"/>
      <c r="NX1" s="42"/>
      <c r="NY1" s="42"/>
      <c r="NZ1" s="42"/>
      <c r="OA1" s="42"/>
      <c r="OB1" s="42"/>
      <c r="OC1" s="42"/>
      <c r="OD1" s="42"/>
      <c r="OE1" s="42"/>
      <c r="OF1" s="42"/>
      <c r="OG1" s="42"/>
      <c r="OH1" s="42"/>
      <c r="OI1" s="42"/>
      <c r="OJ1" s="42"/>
      <c r="OK1" s="42"/>
      <c r="OL1" s="42"/>
      <c r="OM1" s="42"/>
      <c r="ON1" s="42"/>
      <c r="OO1" s="42"/>
      <c r="OP1" s="42"/>
      <c r="OQ1" s="42"/>
      <c r="OR1" s="42"/>
      <c r="OS1" s="42"/>
      <c r="OT1" s="42"/>
      <c r="OU1" s="42"/>
      <c r="OV1" s="42"/>
      <c r="OW1" s="42"/>
      <c r="OX1" s="42"/>
      <c r="OY1" s="42"/>
      <c r="OZ1" s="42"/>
      <c r="PA1" s="42"/>
      <c r="PB1" s="42"/>
      <c r="PC1" s="42"/>
      <c r="PD1" s="42"/>
      <c r="PE1" s="42"/>
      <c r="PF1" s="42"/>
      <c r="PG1" s="42"/>
      <c r="PH1" s="42"/>
      <c r="PI1" s="42"/>
      <c r="PJ1" s="42"/>
      <c r="PK1" s="42"/>
      <c r="PL1" s="42"/>
      <c r="PM1" s="42"/>
      <c r="PN1" s="42"/>
      <c r="PO1" s="42"/>
      <c r="PP1" s="42"/>
      <c r="PQ1" s="42"/>
      <c r="PR1" s="42"/>
      <c r="PS1" s="42"/>
      <c r="PT1" s="42"/>
      <c r="PU1" s="42"/>
      <c r="PV1" s="42"/>
      <c r="PW1" s="42"/>
      <c r="PX1" s="42"/>
      <c r="PY1" s="42"/>
      <c r="PZ1" s="42"/>
      <c r="QA1" s="42"/>
      <c r="QB1" s="42"/>
      <c r="QC1" s="42"/>
      <c r="QD1" s="42"/>
      <c r="QE1" s="42"/>
      <c r="QF1" s="42"/>
      <c r="QG1" s="42"/>
      <c r="QH1" s="42"/>
      <c r="QI1" s="42"/>
      <c r="QJ1" s="42"/>
      <c r="QK1" s="42"/>
      <c r="QL1" s="42"/>
      <c r="QM1" s="42"/>
      <c r="QN1" s="42"/>
      <c r="QO1" s="42"/>
      <c r="QP1" s="42"/>
      <c r="QQ1" s="42"/>
      <c r="QR1" s="42"/>
      <c r="QS1" s="42"/>
      <c r="QT1" s="42"/>
      <c r="QU1" s="42"/>
      <c r="QV1" s="42"/>
      <c r="QW1" s="42"/>
      <c r="QX1" s="42"/>
      <c r="QY1" s="42"/>
      <c r="QZ1" s="42"/>
      <c r="RA1" s="42"/>
      <c r="RB1" s="42"/>
      <c r="RC1" s="42"/>
      <c r="RD1" s="42"/>
      <c r="RE1" s="42"/>
      <c r="RF1" s="42"/>
      <c r="RG1" s="42"/>
      <c r="RH1" s="42"/>
      <c r="RI1" s="42"/>
      <c r="RJ1" s="42"/>
      <c r="RK1" s="42"/>
      <c r="RL1" s="42"/>
      <c r="RM1" s="42"/>
      <c r="RN1" s="42"/>
      <c r="RO1" s="42"/>
      <c r="RP1" s="42"/>
      <c r="RQ1" s="42"/>
      <c r="RR1" s="42"/>
      <c r="RS1" s="42"/>
      <c r="RT1" s="42"/>
      <c r="RU1" s="42"/>
      <c r="RV1" s="42"/>
      <c r="RW1" s="42"/>
      <c r="RX1" s="42"/>
      <c r="RY1" s="42"/>
      <c r="RZ1" s="42"/>
      <c r="SA1" s="42"/>
      <c r="SB1" s="42"/>
      <c r="SC1" s="42"/>
      <c r="SD1" s="42"/>
      <c r="SE1" s="42"/>
      <c r="SF1" s="42"/>
      <c r="SG1" s="42"/>
      <c r="SH1" s="42"/>
      <c r="SI1" s="42"/>
      <c r="SJ1" s="42"/>
      <c r="SK1" s="42"/>
      <c r="SL1" s="42"/>
      <c r="SM1" s="42"/>
      <c r="SN1" s="42"/>
      <c r="SO1" s="42"/>
      <c r="SP1" s="42"/>
      <c r="SQ1" s="42"/>
      <c r="SR1" s="42"/>
      <c r="SS1" s="42"/>
      <c r="ST1" s="42"/>
      <c r="SU1" s="42"/>
      <c r="SV1" s="42"/>
      <c r="SW1" s="42"/>
      <c r="SX1" s="42"/>
      <c r="SY1" s="42"/>
      <c r="SZ1" s="42"/>
      <c r="TA1" s="42"/>
      <c r="TB1" s="42"/>
      <c r="TC1" s="42"/>
      <c r="TD1" s="42"/>
      <c r="TE1" s="42"/>
      <c r="TF1" s="42"/>
      <c r="TG1" s="42"/>
      <c r="TH1" s="42"/>
      <c r="TI1" s="42"/>
      <c r="TJ1" s="42"/>
      <c r="TK1" s="42"/>
      <c r="TL1" s="42"/>
      <c r="TM1" s="42"/>
      <c r="TN1" s="42"/>
      <c r="TO1" s="42"/>
      <c r="TP1" s="42"/>
      <c r="TQ1" s="42"/>
      <c r="TR1" s="42"/>
      <c r="TS1" s="42"/>
      <c r="TT1" s="42"/>
      <c r="TU1" s="42"/>
      <c r="TV1" s="42"/>
      <c r="TW1" s="42"/>
      <c r="TX1" s="42"/>
      <c r="TY1" s="42"/>
      <c r="TZ1" s="42"/>
      <c r="UA1" s="42"/>
      <c r="UB1" s="42"/>
      <c r="UC1" s="42"/>
      <c r="UD1" s="42"/>
      <c r="UE1" s="42"/>
      <c r="UF1" s="42"/>
      <c r="UG1" s="42"/>
      <c r="UH1" s="42"/>
      <c r="UI1" s="42"/>
      <c r="UJ1" s="42"/>
      <c r="UK1" s="42"/>
      <c r="UL1" s="42"/>
      <c r="UM1" s="42"/>
      <c r="UN1" s="42"/>
      <c r="UO1" s="42"/>
      <c r="UP1" s="42"/>
      <c r="UQ1" s="42"/>
      <c r="UR1" s="42"/>
      <c r="US1" s="42"/>
      <c r="UT1" s="42"/>
      <c r="UU1" s="42"/>
      <c r="UV1" s="42"/>
      <c r="UW1" s="42"/>
      <c r="UX1" s="42"/>
      <c r="UY1" s="42"/>
      <c r="UZ1" s="42"/>
      <c r="VA1" s="42"/>
      <c r="VB1" s="42"/>
      <c r="VC1" s="42"/>
      <c r="VD1" s="42"/>
      <c r="VE1" s="42"/>
      <c r="VF1" s="42"/>
      <c r="VG1" s="42"/>
      <c r="VH1" s="42"/>
      <c r="VI1" s="42"/>
      <c r="VJ1" s="42"/>
      <c r="VK1" s="42"/>
      <c r="VL1" s="42"/>
      <c r="VM1" s="42"/>
      <c r="VN1" s="42"/>
      <c r="VO1" s="42"/>
      <c r="VP1" s="42"/>
      <c r="VQ1" s="42"/>
      <c r="VR1" s="42"/>
      <c r="VS1" s="42"/>
      <c r="VT1" s="42"/>
      <c r="VU1" s="42"/>
      <c r="VV1" s="42"/>
      <c r="VW1" s="42"/>
      <c r="VX1" s="42"/>
      <c r="VY1" s="42"/>
      <c r="VZ1" s="42"/>
      <c r="WA1" s="42"/>
      <c r="WB1" s="42"/>
      <c r="WC1" s="42"/>
      <c r="WD1" s="42"/>
      <c r="WE1" s="42"/>
      <c r="WF1" s="42"/>
      <c r="WG1" s="42"/>
      <c r="WH1" s="42"/>
      <c r="WI1" s="42"/>
      <c r="WJ1" s="42"/>
      <c r="WK1" s="42"/>
      <c r="WL1" s="42"/>
      <c r="WM1" s="42"/>
      <c r="WN1" s="42"/>
      <c r="WO1" s="42"/>
      <c r="WP1" s="42"/>
      <c r="WQ1" s="42"/>
      <c r="WR1" s="42"/>
      <c r="WS1" s="42"/>
      <c r="WT1" s="42"/>
      <c r="WU1" s="42"/>
      <c r="WV1" s="42"/>
      <c r="WW1" s="42"/>
      <c r="WX1" s="42"/>
      <c r="WY1" s="42"/>
      <c r="WZ1" s="42"/>
      <c r="XA1" s="42"/>
      <c r="XB1" s="42"/>
      <c r="XC1" s="42"/>
      <c r="XD1" s="42"/>
      <c r="XE1" s="42"/>
      <c r="XF1" s="42"/>
      <c r="XG1" s="42"/>
      <c r="XH1" s="42"/>
      <c r="XI1" s="42"/>
      <c r="XJ1" s="42"/>
      <c r="XK1" s="42"/>
      <c r="XL1" s="42"/>
      <c r="XM1" s="42"/>
      <c r="XN1" s="42"/>
      <c r="XO1" s="42"/>
      <c r="XP1" s="42"/>
      <c r="XQ1" s="42"/>
      <c r="XR1" s="42"/>
      <c r="XS1" s="42"/>
      <c r="XT1" s="42"/>
      <c r="XU1" s="42"/>
      <c r="XV1" s="42"/>
      <c r="XW1" s="42"/>
      <c r="XX1" s="42"/>
      <c r="XY1" s="42"/>
      <c r="XZ1" s="42"/>
      <c r="YA1" s="42"/>
      <c r="YB1" s="42"/>
      <c r="YC1" s="42"/>
      <c r="YD1" s="42"/>
      <c r="YE1" s="42"/>
      <c r="YF1" s="42"/>
      <c r="YG1" s="42"/>
      <c r="YH1" s="42"/>
      <c r="YI1" s="42"/>
      <c r="YJ1" s="42"/>
      <c r="YK1" s="42"/>
      <c r="YL1" s="42"/>
      <c r="YM1" s="42"/>
      <c r="YN1" s="42"/>
      <c r="YO1" s="42"/>
      <c r="YP1" s="42"/>
      <c r="YQ1" s="42"/>
      <c r="YR1" s="42"/>
      <c r="YS1" s="42"/>
      <c r="YT1" s="42"/>
      <c r="YU1" s="42"/>
      <c r="YV1" s="42"/>
      <c r="YW1" s="42"/>
      <c r="YX1" s="42"/>
      <c r="YY1" s="42"/>
      <c r="YZ1" s="42"/>
      <c r="ZA1" s="42"/>
      <c r="ZB1" s="42"/>
      <c r="ZC1" s="42"/>
      <c r="ZD1" s="42"/>
      <c r="ZE1" s="42"/>
      <c r="ZF1" s="42"/>
      <c r="ZG1" s="42"/>
      <c r="ZH1" s="42"/>
      <c r="ZI1" s="42"/>
      <c r="ZJ1" s="42"/>
      <c r="ZK1" s="42"/>
      <c r="ZL1" s="42"/>
      <c r="ZM1" s="42"/>
      <c r="ZN1" s="42"/>
      <c r="ZO1" s="42"/>
      <c r="ZP1" s="42"/>
      <c r="ZQ1" s="42"/>
      <c r="ZR1" s="42"/>
      <c r="ZS1" s="42"/>
      <c r="ZT1" s="42"/>
      <c r="ZU1" s="42"/>
      <c r="ZV1" s="42"/>
      <c r="ZW1" s="42"/>
      <c r="ZX1" s="42"/>
      <c r="ZY1" s="42"/>
      <c r="ZZ1" s="42"/>
      <c r="AAA1" s="42"/>
      <c r="AAB1" s="42"/>
      <c r="AAC1" s="42"/>
      <c r="AAD1" s="42"/>
      <c r="AAE1" s="42"/>
      <c r="AAF1" s="42"/>
      <c r="AAG1" s="42"/>
      <c r="AAH1" s="42"/>
      <c r="AAI1" s="42"/>
      <c r="AAJ1" s="42"/>
      <c r="AAK1" s="42"/>
      <c r="AAL1" s="42"/>
      <c r="AAM1" s="42"/>
      <c r="AAN1" s="42"/>
      <c r="AAO1" s="42"/>
      <c r="AAP1" s="42"/>
      <c r="AAQ1" s="42"/>
      <c r="AAR1" s="42"/>
      <c r="AAS1" s="42"/>
      <c r="AAT1" s="42"/>
      <c r="AAU1" s="42"/>
      <c r="AAV1" s="42"/>
      <c r="AAW1" s="42"/>
      <c r="AAX1" s="42"/>
      <c r="AAY1" s="42"/>
      <c r="AAZ1" s="42"/>
      <c r="ABA1" s="42"/>
      <c r="ABB1" s="42"/>
      <c r="ABC1" s="42"/>
      <c r="ABD1" s="42"/>
      <c r="ABE1" s="42"/>
      <c r="ABF1" s="42"/>
      <c r="ABG1" s="42"/>
      <c r="ABH1" s="42"/>
      <c r="ABI1" s="42"/>
      <c r="ABJ1" s="42"/>
      <c r="ABK1" s="42"/>
      <c r="ABL1" s="42"/>
      <c r="ABM1" s="42"/>
      <c r="ABN1" s="42"/>
      <c r="ABO1" s="42"/>
      <c r="ABP1" s="42"/>
      <c r="ABQ1" s="42"/>
      <c r="ABR1" s="42"/>
      <c r="ABS1" s="42"/>
      <c r="ABT1" s="42"/>
      <c r="ABU1" s="42"/>
      <c r="ABV1" s="42"/>
      <c r="ABW1" s="42"/>
      <c r="ABX1" s="42"/>
      <c r="ABY1" s="42"/>
      <c r="ABZ1" s="42"/>
      <c r="ACA1" s="42"/>
      <c r="ACB1" s="42"/>
      <c r="ACC1" s="42"/>
      <c r="ACD1" s="42"/>
      <c r="ACE1" s="42"/>
      <c r="ACF1" s="42"/>
      <c r="ACG1" s="42"/>
      <c r="ACH1" s="42"/>
      <c r="ACI1" s="42"/>
      <c r="ACJ1" s="42"/>
      <c r="ACK1" s="42"/>
      <c r="ACL1" s="42"/>
      <c r="ACM1" s="42"/>
      <c r="ACN1" s="42"/>
      <c r="ACO1" s="42"/>
      <c r="ACP1" s="42"/>
      <c r="ACQ1" s="42"/>
      <c r="ACR1" s="42"/>
      <c r="ACS1" s="42"/>
      <c r="ACT1" s="42"/>
      <c r="ACU1" s="42"/>
      <c r="ACV1" s="42"/>
      <c r="ACW1" s="42"/>
      <c r="ACX1" s="42"/>
      <c r="ACY1" s="42"/>
      <c r="ACZ1" s="42"/>
      <c r="ADA1" s="42"/>
      <c r="ADB1" s="42"/>
      <c r="ADC1" s="42"/>
      <c r="ADD1" s="42"/>
      <c r="ADE1" s="42"/>
      <c r="ADF1" s="42"/>
      <c r="ADG1" s="42"/>
      <c r="ADH1" s="42"/>
      <c r="ADI1" s="42"/>
      <c r="ADJ1" s="42"/>
      <c r="ADK1" s="42"/>
      <c r="ADL1" s="42"/>
      <c r="ADM1" s="42"/>
      <c r="ADN1" s="42"/>
      <c r="ADO1" s="42"/>
      <c r="ADP1" s="42"/>
      <c r="ADQ1" s="42"/>
      <c r="ADR1" s="42"/>
      <c r="ADS1" s="42"/>
      <c r="ADT1" s="42"/>
      <c r="ADU1" s="42"/>
      <c r="ADV1" s="42"/>
      <c r="ADW1" s="42"/>
      <c r="ADX1" s="42"/>
      <c r="ADY1" s="42"/>
      <c r="ADZ1" s="42"/>
      <c r="AEA1" s="42"/>
      <c r="AEB1" s="42"/>
      <c r="AEC1" s="42"/>
      <c r="AED1" s="42"/>
      <c r="AEE1" s="42"/>
      <c r="AEF1" s="42"/>
      <c r="AEG1" s="42"/>
      <c r="AEH1" s="42"/>
      <c r="AEI1" s="42"/>
      <c r="AEJ1" s="42"/>
      <c r="AEK1" s="42"/>
      <c r="AEL1" s="42"/>
      <c r="AEM1" s="42"/>
      <c r="AEN1" s="42"/>
      <c r="AEO1" s="42"/>
      <c r="AEP1" s="42"/>
      <c r="AEQ1" s="42"/>
      <c r="AER1" s="42"/>
      <c r="AES1" s="42"/>
      <c r="AET1" s="42"/>
      <c r="AEU1" s="42"/>
      <c r="AEV1" s="42"/>
      <c r="AEW1" s="42"/>
      <c r="AEX1" s="42"/>
      <c r="AEY1" s="42"/>
      <c r="AEZ1" s="42"/>
      <c r="AFA1" s="42"/>
      <c r="AFB1" s="42"/>
      <c r="AFC1" s="42"/>
      <c r="AFD1" s="42"/>
      <c r="AFE1" s="42"/>
      <c r="AFF1" s="42"/>
      <c r="AFG1" s="42"/>
      <c r="AFH1" s="42"/>
      <c r="AFI1" s="42"/>
      <c r="AFJ1" s="42"/>
      <c r="AFK1" s="42"/>
      <c r="AFL1" s="42"/>
      <c r="AFM1" s="42"/>
      <c r="AFN1" s="42"/>
      <c r="AFO1" s="42"/>
      <c r="AFP1" s="42"/>
      <c r="AFQ1" s="42"/>
      <c r="AFR1" s="42"/>
      <c r="AFS1" s="42"/>
      <c r="AFT1" s="42"/>
      <c r="AFU1" s="42"/>
      <c r="AFV1" s="42"/>
      <c r="AFW1" s="42"/>
      <c r="AFX1" s="42"/>
      <c r="AFY1" s="42"/>
      <c r="AFZ1" s="42"/>
      <c r="AGA1" s="42"/>
      <c r="AGB1" s="42"/>
      <c r="AGC1" s="42"/>
      <c r="AGD1" s="42"/>
      <c r="AGE1" s="42"/>
      <c r="AGF1" s="42"/>
      <c r="AGG1" s="42"/>
      <c r="AGH1" s="42"/>
      <c r="AGI1" s="42"/>
      <c r="AGJ1" s="42"/>
      <c r="AGK1" s="42"/>
      <c r="AGL1" s="42"/>
      <c r="AGM1" s="42"/>
      <c r="AGN1" s="42"/>
      <c r="AGO1" s="42"/>
      <c r="AGP1" s="42"/>
      <c r="AGQ1" s="42"/>
      <c r="AGR1" s="42"/>
      <c r="AGS1" s="42"/>
      <c r="AGT1" s="42"/>
      <c r="AGU1" s="42"/>
      <c r="AGV1" s="42"/>
      <c r="AGW1" s="42"/>
      <c r="AGX1" s="42"/>
      <c r="AGY1" s="42"/>
      <c r="AGZ1" s="42"/>
      <c r="AHA1" s="42"/>
      <c r="AHB1" s="42"/>
      <c r="AHC1" s="42"/>
      <c r="AHD1" s="42"/>
      <c r="AHE1" s="42"/>
      <c r="AHF1" s="42"/>
      <c r="AHG1" s="42"/>
      <c r="AHH1" s="42"/>
      <c r="AHI1" s="42"/>
      <c r="AHJ1" s="42"/>
      <c r="AHK1" s="42"/>
      <c r="AHL1" s="42"/>
      <c r="AHM1" s="42"/>
      <c r="AHN1" s="42"/>
      <c r="AHO1" s="42"/>
      <c r="AHP1" s="42"/>
      <c r="AHQ1" s="42"/>
      <c r="AHR1" s="42"/>
      <c r="AHS1" s="42"/>
      <c r="AHT1" s="42"/>
      <c r="AHU1" s="42"/>
      <c r="AHV1" s="42"/>
      <c r="AHW1" s="42"/>
      <c r="AHX1" s="42"/>
      <c r="AHY1" s="42"/>
      <c r="AHZ1" s="42"/>
      <c r="AIA1" s="42"/>
      <c r="AIB1" s="42"/>
      <c r="AIC1" s="42"/>
      <c r="AID1" s="42"/>
      <c r="AIE1" s="42"/>
      <c r="AIF1" s="42"/>
      <c r="AIG1" s="42"/>
      <c r="AIH1" s="42"/>
      <c r="AII1" s="42"/>
      <c r="AIJ1" s="42"/>
      <c r="AIK1" s="42"/>
      <c r="AIL1" s="42"/>
      <c r="AIM1" s="42"/>
      <c r="AIN1" s="42"/>
      <c r="AIO1" s="42"/>
      <c r="AIP1" s="42"/>
      <c r="AIQ1" s="42"/>
      <c r="AIR1" s="42"/>
      <c r="AIS1" s="42"/>
      <c r="AIT1" s="42"/>
      <c r="AIU1" s="42"/>
      <c r="AIV1" s="42"/>
      <c r="AIW1" s="42"/>
      <c r="AIX1" s="42"/>
      <c r="AIY1" s="42"/>
      <c r="AIZ1" s="42"/>
      <c r="AJA1" s="42"/>
      <c r="AJB1" s="42"/>
      <c r="AJC1" s="42"/>
      <c r="AJD1" s="42"/>
      <c r="AJE1" s="42"/>
      <c r="AJF1" s="42"/>
      <c r="AJG1" s="42"/>
      <c r="AJH1" s="42"/>
      <c r="AJI1" s="42"/>
      <c r="AJJ1" s="42"/>
      <c r="AJK1" s="42"/>
      <c r="AJL1" s="42"/>
      <c r="AJM1" s="42"/>
      <c r="AJN1" s="42"/>
      <c r="AJO1" s="42"/>
      <c r="AJP1" s="42"/>
      <c r="AJQ1" s="42"/>
      <c r="AJR1" s="42"/>
      <c r="AJS1" s="42"/>
      <c r="AJT1" s="42"/>
      <c r="AJU1" s="42"/>
      <c r="AJV1" s="42"/>
      <c r="AJW1" s="42"/>
      <c r="AJX1" s="42"/>
      <c r="AJY1" s="42"/>
      <c r="AJZ1" s="42"/>
      <c r="AKA1" s="42"/>
      <c r="AKB1" s="42"/>
      <c r="AKC1" s="42"/>
      <c r="AKD1" s="42"/>
      <c r="AKE1" s="42"/>
      <c r="AKF1" s="42"/>
      <c r="AKG1" s="42"/>
      <c r="AKH1" s="42"/>
      <c r="AKI1" s="42"/>
      <c r="AKJ1" s="42"/>
      <c r="AKK1" s="42"/>
      <c r="AKL1" s="42"/>
      <c r="AKM1" s="42"/>
      <c r="AKN1" s="42"/>
      <c r="AKO1" s="42"/>
      <c r="AKP1" s="42"/>
      <c r="AKQ1" s="42"/>
      <c r="AKR1" s="42"/>
      <c r="AKS1" s="42"/>
      <c r="AKT1" s="42"/>
      <c r="AKU1" s="42"/>
      <c r="AKV1" s="42"/>
      <c r="AKW1" s="42"/>
      <c r="AKX1" s="42"/>
      <c r="AKY1" s="42"/>
      <c r="AKZ1" s="42"/>
      <c r="ALA1" s="42"/>
      <c r="ALB1" s="42"/>
      <c r="ALC1" s="42"/>
      <c r="ALD1" s="42"/>
      <c r="ALE1" s="42"/>
      <c r="ALF1" s="42"/>
      <c r="ALG1" s="42"/>
      <c r="ALH1" s="42"/>
      <c r="ALI1" s="42"/>
      <c r="ALJ1" s="42"/>
      <c r="ALK1" s="42"/>
      <c r="ALL1" s="42"/>
      <c r="ALM1" s="42"/>
      <c r="ALN1" s="42"/>
      <c r="ALO1" s="42"/>
      <c r="ALP1" s="42"/>
      <c r="ALQ1" s="42"/>
      <c r="ALR1" s="42"/>
      <c r="ALS1" s="42"/>
      <c r="ALT1" s="42"/>
      <c r="ALU1" s="42"/>
      <c r="ALV1" s="42"/>
      <c r="ALW1" s="42"/>
      <c r="ALX1" s="42"/>
      <c r="ALY1" s="42"/>
      <c r="ALZ1" s="42"/>
      <c r="AMA1" s="42"/>
      <c r="AMB1" s="42"/>
      <c r="AMC1" s="42"/>
      <c r="AMD1" s="42"/>
      <c r="AME1" s="42"/>
      <c r="AMF1" s="42"/>
      <c r="AMG1" s="42"/>
      <c r="AMH1" s="42"/>
      <c r="AMI1" s="42"/>
      <c r="AMJ1" s="42"/>
      <c r="AMK1" s="42"/>
      <c r="AML1" s="42"/>
      <c r="AMM1" s="42"/>
      <c r="AMN1" s="42"/>
      <c r="AMO1" s="42"/>
      <c r="AMP1" s="42"/>
      <c r="AMQ1" s="42"/>
      <c r="AMR1" s="42"/>
      <c r="AMS1" s="42"/>
      <c r="AMT1" s="42"/>
      <c r="AMU1" s="42"/>
      <c r="AMV1" s="42"/>
      <c r="AMW1" s="42"/>
      <c r="AMX1" s="42"/>
      <c r="AMY1" s="42"/>
      <c r="AMZ1" s="42"/>
      <c r="ANA1" s="42"/>
      <c r="ANB1" s="42"/>
      <c r="ANC1" s="42"/>
      <c r="AND1" s="42"/>
      <c r="ANE1" s="42"/>
      <c r="ANF1" s="42"/>
      <c r="ANG1" s="42"/>
      <c r="ANH1" s="42"/>
      <c r="ANI1" s="42"/>
      <c r="ANJ1" s="42"/>
      <c r="ANK1" s="42"/>
      <c r="ANL1" s="42"/>
      <c r="ANM1" s="42"/>
      <c r="ANN1" s="42"/>
      <c r="ANO1" s="42"/>
      <c r="ANP1" s="42"/>
      <c r="ANQ1" s="42"/>
      <c r="ANR1" s="42"/>
      <c r="ANS1" s="42"/>
      <c r="ANT1" s="42"/>
      <c r="ANU1" s="42"/>
      <c r="ANV1" s="42"/>
      <c r="ANW1" s="42"/>
      <c r="ANX1" s="42"/>
      <c r="ANY1" s="42"/>
      <c r="ANZ1" s="42"/>
      <c r="AOA1" s="42"/>
      <c r="AOB1" s="42"/>
      <c r="AOC1" s="42"/>
      <c r="AOD1" s="42"/>
      <c r="AOE1" s="42"/>
      <c r="AOF1" s="42"/>
      <c r="AOG1" s="42"/>
      <c r="AOH1" s="42"/>
      <c r="AOI1" s="42"/>
      <c r="AOJ1" s="42"/>
      <c r="AOK1" s="42"/>
      <c r="AOL1" s="42"/>
      <c r="AOM1" s="42"/>
      <c r="AON1" s="42"/>
      <c r="AOO1" s="42"/>
      <c r="AOP1" s="42"/>
      <c r="AOQ1" s="42"/>
      <c r="AOR1" s="42"/>
      <c r="AOS1" s="42"/>
      <c r="AOT1" s="42"/>
      <c r="AOU1" s="42"/>
      <c r="AOV1" s="42"/>
      <c r="AOW1" s="42"/>
      <c r="AOX1" s="42"/>
      <c r="AOY1" s="42"/>
      <c r="AOZ1" s="42"/>
      <c r="APA1" s="42"/>
      <c r="APB1" s="42"/>
      <c r="APC1" s="42"/>
      <c r="APD1" s="42"/>
      <c r="APE1" s="42"/>
      <c r="APF1" s="42"/>
      <c r="APG1" s="42"/>
      <c r="APH1" s="42"/>
      <c r="API1" s="42"/>
      <c r="APJ1" s="42"/>
      <c r="APK1" s="42"/>
      <c r="APL1" s="42"/>
      <c r="APM1" s="42"/>
      <c r="APN1" s="42"/>
      <c r="APO1" s="42"/>
      <c r="APP1" s="42"/>
      <c r="APQ1" s="42"/>
      <c r="APR1" s="42"/>
      <c r="APS1" s="42"/>
      <c r="APT1" s="42"/>
      <c r="APU1" s="42"/>
      <c r="APV1" s="42"/>
      <c r="APW1" s="42"/>
      <c r="APX1" s="42"/>
      <c r="APY1" s="42"/>
      <c r="APZ1" s="42"/>
      <c r="AQA1" s="42"/>
      <c r="AQB1" s="42"/>
      <c r="AQC1" s="42"/>
      <c r="AQD1" s="42"/>
      <c r="AQE1" s="42"/>
      <c r="AQF1" s="42"/>
      <c r="AQG1" s="42"/>
      <c r="AQH1" s="42"/>
      <c r="AQI1" s="42"/>
      <c r="AQJ1" s="42"/>
      <c r="AQK1" s="42"/>
      <c r="AQL1" s="42"/>
      <c r="AQM1" s="42"/>
      <c r="AQN1" s="42"/>
      <c r="AQO1" s="42"/>
      <c r="AQP1" s="42"/>
      <c r="AQQ1" s="42"/>
      <c r="AQR1" s="42"/>
      <c r="AQS1" s="42"/>
      <c r="AQT1" s="42"/>
      <c r="AQU1" s="42"/>
      <c r="AQV1" s="42"/>
      <c r="AQW1" s="42"/>
      <c r="AQX1" s="42"/>
      <c r="AQY1" s="42"/>
      <c r="AQZ1" s="42"/>
      <c r="ARA1" s="42"/>
      <c r="ARB1" s="42"/>
      <c r="ARC1" s="42"/>
      <c r="ARD1" s="42"/>
      <c r="ARE1" s="42"/>
      <c r="ARF1" s="42"/>
      <c r="ARG1" s="42"/>
      <c r="ARH1" s="42"/>
      <c r="ARI1" s="42"/>
      <c r="ARJ1" s="42"/>
      <c r="ARK1" s="42"/>
      <c r="ARL1" s="42"/>
      <c r="ARM1" s="42"/>
      <c r="ARN1" s="42"/>
      <c r="ARO1" s="42"/>
      <c r="ARP1" s="42"/>
      <c r="ARQ1" s="42"/>
      <c r="ARR1" s="42"/>
      <c r="ARS1" s="42"/>
      <c r="ART1" s="42"/>
      <c r="ARU1" s="42"/>
      <c r="ARV1" s="42"/>
      <c r="ARW1" s="42"/>
      <c r="ARX1" s="42"/>
      <c r="ARY1" s="42"/>
      <c r="ARZ1" s="42"/>
      <c r="ASA1" s="42"/>
      <c r="ASB1" s="42"/>
      <c r="ASC1" s="42"/>
      <c r="ASD1" s="42"/>
      <c r="ASE1" s="42"/>
      <c r="ASF1" s="42"/>
      <c r="ASG1" s="42"/>
      <c r="ASH1" s="42"/>
      <c r="ASI1" s="42"/>
      <c r="ASJ1" s="42"/>
      <c r="ASK1" s="42"/>
      <c r="ASL1" s="42"/>
      <c r="ASM1" s="42"/>
      <c r="ASN1" s="42"/>
      <c r="ASO1" s="42"/>
      <c r="ASP1" s="42"/>
      <c r="ASQ1" s="42"/>
      <c r="ASR1" s="42"/>
      <c r="ASS1" s="42"/>
      <c r="AST1" s="42"/>
      <c r="ASU1" s="42"/>
      <c r="ASV1" s="42"/>
      <c r="ASW1" s="42"/>
      <c r="ASX1" s="42"/>
      <c r="ASY1" s="42"/>
      <c r="ASZ1" s="42"/>
      <c r="ATA1" s="42"/>
      <c r="ATB1" s="42"/>
      <c r="ATC1" s="42"/>
      <c r="ATD1" s="42"/>
      <c r="ATE1" s="42"/>
      <c r="ATF1" s="42"/>
      <c r="ATG1" s="42"/>
      <c r="ATH1" s="42"/>
      <c r="ATI1" s="42"/>
      <c r="ATJ1" s="42"/>
      <c r="ATK1" s="42"/>
      <c r="ATL1" s="42"/>
      <c r="ATM1" s="42"/>
      <c r="ATN1" s="42"/>
      <c r="ATO1" s="42"/>
      <c r="ATP1" s="42"/>
      <c r="ATQ1" s="42"/>
      <c r="ATR1" s="42"/>
      <c r="ATS1" s="42"/>
      <c r="ATT1" s="42"/>
      <c r="ATU1" s="42"/>
      <c r="ATV1" s="42"/>
      <c r="ATW1" s="42"/>
      <c r="ATX1" s="42"/>
      <c r="ATY1" s="42"/>
      <c r="ATZ1" s="42"/>
      <c r="AUA1" s="42"/>
      <c r="AUB1" s="42"/>
      <c r="AUC1" s="42"/>
      <c r="AUD1" s="42"/>
      <c r="AUE1" s="42"/>
      <c r="AUF1" s="42"/>
      <c r="AUG1" s="42"/>
      <c r="AUH1" s="42"/>
      <c r="AUI1" s="42"/>
      <c r="AUJ1" s="42"/>
      <c r="AUK1" s="42"/>
      <c r="AUL1" s="42"/>
      <c r="AUM1" s="42"/>
      <c r="AUN1" s="42"/>
      <c r="AUO1" s="42"/>
      <c r="AUP1" s="42"/>
      <c r="AUQ1" s="42"/>
      <c r="AUR1" s="42"/>
      <c r="AUS1" s="42"/>
      <c r="AUT1" s="42"/>
      <c r="AUU1" s="42"/>
      <c r="AUV1" s="42"/>
      <c r="AUW1" s="42"/>
      <c r="AUX1" s="42"/>
      <c r="AUY1" s="42"/>
      <c r="AUZ1" s="42"/>
      <c r="AVA1" s="42"/>
      <c r="AVB1" s="42"/>
      <c r="AVC1" s="42"/>
      <c r="AVD1" s="42"/>
      <c r="AVE1" s="42"/>
      <c r="AVF1" s="42"/>
      <c r="AVG1" s="42"/>
      <c r="AVH1" s="42"/>
      <c r="AVI1" s="42"/>
      <c r="AVJ1" s="42"/>
      <c r="AVK1" s="42"/>
      <c r="AVL1" s="42"/>
      <c r="AVM1" s="42"/>
      <c r="AVN1" s="42"/>
      <c r="AVO1" s="42"/>
      <c r="AVP1" s="42"/>
      <c r="AVQ1" s="42"/>
      <c r="AVR1" s="42"/>
      <c r="AVS1" s="42"/>
      <c r="AVT1" s="42"/>
      <c r="AVU1" s="42"/>
      <c r="AVV1" s="42"/>
      <c r="AVW1" s="42"/>
      <c r="AVX1" s="42"/>
      <c r="AVY1" s="42"/>
      <c r="AVZ1" s="42"/>
      <c r="AWA1" s="42"/>
      <c r="AWB1" s="42"/>
      <c r="AWC1" s="42"/>
      <c r="AWD1" s="42"/>
      <c r="AWE1" s="42"/>
      <c r="AWF1" s="42"/>
      <c r="AWG1" s="42"/>
      <c r="AWH1" s="42"/>
      <c r="AWI1" s="42"/>
      <c r="AWJ1" s="42"/>
      <c r="AWK1" s="42"/>
      <c r="AWL1" s="42"/>
      <c r="AWM1" s="42"/>
      <c r="AWN1" s="42"/>
      <c r="AWO1" s="42"/>
      <c r="AWP1" s="42"/>
      <c r="AWQ1" s="42"/>
      <c r="AWR1" s="42"/>
      <c r="AWS1" s="42"/>
      <c r="AWT1" s="42"/>
      <c r="AWU1" s="42"/>
      <c r="AWV1" s="42"/>
      <c r="AWW1" s="42"/>
      <c r="AWX1" s="42"/>
      <c r="AWY1" s="42"/>
      <c r="AWZ1" s="42"/>
      <c r="AXA1" s="42"/>
      <c r="AXB1" s="42"/>
      <c r="AXC1" s="42"/>
      <c r="AXD1" s="42"/>
      <c r="AXE1" s="42"/>
      <c r="AXF1" s="42"/>
      <c r="AXG1" s="42"/>
      <c r="AXH1" s="42"/>
      <c r="AXI1" s="42"/>
      <c r="AXJ1" s="42"/>
      <c r="AXK1" s="42"/>
      <c r="AXL1" s="42"/>
      <c r="AXM1" s="42"/>
      <c r="AXN1" s="42"/>
      <c r="AXO1" s="42"/>
      <c r="AXP1" s="42"/>
      <c r="AXQ1" s="42"/>
      <c r="AXR1" s="42"/>
      <c r="AXS1" s="42"/>
      <c r="AXT1" s="42"/>
      <c r="AXU1" s="42"/>
      <c r="AXV1" s="42"/>
      <c r="AXW1" s="42"/>
      <c r="AXX1" s="42"/>
      <c r="AXY1" s="42"/>
      <c r="AXZ1" s="42"/>
      <c r="AYA1" s="42"/>
      <c r="AYB1" s="42"/>
      <c r="AYC1" s="42"/>
      <c r="AYD1" s="42"/>
      <c r="AYE1" s="42"/>
      <c r="AYF1" s="42"/>
      <c r="AYG1" s="42"/>
      <c r="AYH1" s="42"/>
      <c r="AYI1" s="42"/>
      <c r="AYJ1" s="42"/>
      <c r="AYK1" s="42"/>
      <c r="AYL1" s="42"/>
      <c r="AYM1" s="42"/>
      <c r="AYN1" s="42"/>
      <c r="AYO1" s="42"/>
      <c r="AYP1" s="42"/>
      <c r="AYQ1" s="42"/>
      <c r="AYR1" s="42"/>
      <c r="AYS1" s="42"/>
      <c r="AYT1" s="42"/>
      <c r="AYU1" s="42"/>
      <c r="AYV1" s="42"/>
      <c r="AYW1" s="42"/>
      <c r="AYX1" s="42"/>
      <c r="AYY1" s="42"/>
      <c r="AYZ1" s="42"/>
      <c r="AZA1" s="42"/>
      <c r="AZB1" s="42"/>
      <c r="AZC1" s="42"/>
      <c r="AZD1" s="42"/>
      <c r="AZE1" s="42"/>
      <c r="AZF1" s="42"/>
      <c r="AZG1" s="42"/>
      <c r="AZH1" s="42"/>
      <c r="AZI1" s="42"/>
      <c r="AZJ1" s="42"/>
      <c r="AZK1" s="42"/>
      <c r="AZL1" s="42"/>
      <c r="AZM1" s="42"/>
      <c r="AZN1" s="42"/>
      <c r="AZO1" s="42"/>
      <c r="AZP1" s="42"/>
      <c r="AZQ1" s="42"/>
      <c r="AZR1" s="42"/>
      <c r="AZS1" s="42"/>
      <c r="AZT1" s="42"/>
      <c r="AZU1" s="42"/>
      <c r="AZV1" s="42"/>
      <c r="AZW1" s="42"/>
      <c r="AZX1" s="42"/>
      <c r="AZY1" s="42"/>
      <c r="AZZ1" s="42"/>
      <c r="BAA1" s="42"/>
      <c r="BAB1" s="42"/>
      <c r="BAC1" s="42"/>
      <c r="BAD1" s="42"/>
      <c r="BAE1" s="42"/>
      <c r="BAF1" s="42"/>
      <c r="BAG1" s="42"/>
      <c r="BAH1" s="42"/>
      <c r="BAI1" s="42"/>
      <c r="BAJ1" s="42"/>
      <c r="BAK1" s="42"/>
      <c r="BAL1" s="42"/>
      <c r="BAM1" s="42"/>
      <c r="BAN1" s="42"/>
      <c r="BAO1" s="42"/>
      <c r="BAP1" s="42"/>
      <c r="BAQ1" s="42"/>
      <c r="BAR1" s="42"/>
      <c r="BAS1" s="42"/>
      <c r="BAT1" s="42"/>
      <c r="BAU1" s="42"/>
      <c r="BAV1" s="42"/>
      <c r="BAW1" s="42"/>
      <c r="BAX1" s="42"/>
      <c r="BAY1" s="42"/>
      <c r="BAZ1" s="42"/>
      <c r="BBA1" s="42"/>
      <c r="BBB1" s="42"/>
      <c r="BBC1" s="42"/>
      <c r="BBD1" s="42"/>
      <c r="BBE1" s="42"/>
      <c r="BBF1" s="42"/>
      <c r="BBG1" s="42"/>
      <c r="BBH1" s="42"/>
      <c r="BBI1" s="42"/>
      <c r="BBJ1" s="42"/>
      <c r="BBK1" s="42"/>
      <c r="BBL1" s="42"/>
      <c r="BBM1" s="42"/>
      <c r="BBN1" s="42"/>
      <c r="BBO1" s="42"/>
      <c r="BBP1" s="42"/>
      <c r="BBQ1" s="42"/>
      <c r="BBR1" s="42"/>
      <c r="BBS1" s="42"/>
      <c r="BBT1" s="42"/>
      <c r="BBU1" s="42"/>
      <c r="BBV1" s="42"/>
      <c r="BBW1" s="42"/>
      <c r="BBX1" s="42"/>
      <c r="BBY1" s="42"/>
      <c r="BBZ1" s="42"/>
      <c r="BCA1" s="42"/>
      <c r="BCB1" s="42"/>
      <c r="BCC1" s="42"/>
      <c r="BCD1" s="42"/>
      <c r="BCE1" s="42"/>
      <c r="BCF1" s="42"/>
      <c r="BCG1" s="42"/>
      <c r="BCH1" s="42"/>
      <c r="BCI1" s="42"/>
      <c r="BCJ1" s="42"/>
      <c r="BCK1" s="42"/>
      <c r="BCL1" s="42"/>
      <c r="BCM1" s="42"/>
      <c r="BCN1" s="42"/>
      <c r="BCO1" s="42"/>
      <c r="BCP1" s="42"/>
      <c r="BCQ1" s="42"/>
      <c r="BCR1" s="42"/>
      <c r="BCS1" s="42"/>
      <c r="BCT1" s="42"/>
      <c r="BCU1" s="42"/>
      <c r="BCV1" s="42"/>
      <c r="BCW1" s="42"/>
      <c r="BCX1" s="42"/>
      <c r="BCY1" s="42"/>
      <c r="BCZ1" s="42"/>
      <c r="BDA1" s="42"/>
      <c r="BDB1" s="42"/>
      <c r="BDC1" s="42"/>
      <c r="BDD1" s="42"/>
      <c r="BDE1" s="42"/>
      <c r="BDF1" s="42"/>
      <c r="BDG1" s="42"/>
      <c r="BDH1" s="42"/>
      <c r="BDI1" s="42"/>
      <c r="BDJ1" s="42"/>
      <c r="BDK1" s="42"/>
      <c r="BDL1" s="42"/>
      <c r="BDM1" s="42"/>
      <c r="BDN1" s="42"/>
      <c r="BDO1" s="42"/>
      <c r="BDP1" s="42"/>
      <c r="BDQ1" s="42"/>
      <c r="BDR1" s="42"/>
      <c r="BDS1" s="42"/>
      <c r="BDT1" s="42"/>
      <c r="BDU1" s="42"/>
      <c r="BDV1" s="42"/>
      <c r="BDW1" s="42"/>
      <c r="BDX1" s="42"/>
      <c r="BDY1" s="42"/>
      <c r="BDZ1" s="42"/>
      <c r="BEA1" s="42"/>
      <c r="BEB1" s="42"/>
      <c r="BEC1" s="42"/>
      <c r="BED1" s="42"/>
      <c r="BEE1" s="42"/>
      <c r="BEF1" s="42"/>
      <c r="BEG1" s="42"/>
      <c r="BEH1" s="42"/>
      <c r="BEI1" s="42"/>
      <c r="BEJ1" s="42"/>
      <c r="BEK1" s="42"/>
      <c r="BEL1" s="42"/>
      <c r="BEM1" s="42"/>
      <c r="BEN1" s="42"/>
      <c r="BEO1" s="42"/>
      <c r="BEP1" s="42"/>
      <c r="BEQ1" s="42"/>
      <c r="BER1" s="42"/>
      <c r="BES1" s="42"/>
      <c r="BET1" s="42"/>
      <c r="BEU1" s="42"/>
      <c r="BEV1" s="42"/>
      <c r="BEW1" s="42"/>
      <c r="BEX1" s="42"/>
      <c r="BEY1" s="42"/>
      <c r="BEZ1" s="42"/>
      <c r="BFA1" s="42"/>
      <c r="BFB1" s="42"/>
      <c r="BFC1" s="42"/>
      <c r="BFD1" s="42"/>
      <c r="BFE1" s="42"/>
      <c r="BFF1" s="42"/>
      <c r="BFG1" s="42"/>
      <c r="BFH1" s="42"/>
      <c r="BFI1" s="42"/>
      <c r="BFJ1" s="42"/>
      <c r="BFK1" s="42"/>
      <c r="BFL1" s="42"/>
      <c r="BFM1" s="42"/>
      <c r="BFN1" s="42"/>
      <c r="BFO1" s="42"/>
      <c r="BFP1" s="42"/>
      <c r="BFQ1" s="42"/>
      <c r="BFR1" s="42"/>
      <c r="BFS1" s="42"/>
      <c r="BFT1" s="42"/>
      <c r="BFU1" s="42"/>
      <c r="BFV1" s="42"/>
      <c r="BFW1" s="42"/>
      <c r="BFX1" s="42"/>
      <c r="BFY1" s="42"/>
      <c r="BFZ1" s="42"/>
      <c r="BGA1" s="42"/>
      <c r="BGB1" s="42"/>
      <c r="BGC1" s="42"/>
      <c r="BGD1" s="42"/>
      <c r="BGE1" s="42"/>
      <c r="BGF1" s="42"/>
      <c r="BGG1" s="42"/>
      <c r="BGH1" s="42"/>
      <c r="BGI1" s="42"/>
      <c r="BGJ1" s="42"/>
      <c r="BGK1" s="42"/>
      <c r="BGL1" s="42"/>
      <c r="BGM1" s="42"/>
      <c r="BGN1" s="42"/>
      <c r="BGO1" s="42"/>
      <c r="BGP1" s="42"/>
      <c r="BGQ1" s="42"/>
      <c r="BGR1" s="42"/>
      <c r="BGS1" s="42"/>
      <c r="BGT1" s="42"/>
      <c r="BGU1" s="42"/>
      <c r="BGV1" s="42"/>
      <c r="BGW1" s="42"/>
      <c r="BGX1" s="42"/>
      <c r="BGY1" s="42"/>
      <c r="BGZ1" s="42"/>
      <c r="BHA1" s="42"/>
      <c r="BHB1" s="42"/>
      <c r="BHC1" s="42"/>
      <c r="BHD1" s="42"/>
      <c r="BHE1" s="42"/>
      <c r="BHF1" s="42"/>
      <c r="BHG1" s="42"/>
      <c r="BHH1" s="42"/>
      <c r="BHI1" s="42"/>
      <c r="BHJ1" s="42"/>
      <c r="BHK1" s="42"/>
      <c r="BHL1" s="42"/>
      <c r="BHM1" s="42"/>
      <c r="BHN1" s="42"/>
      <c r="BHO1" s="42"/>
      <c r="BHP1" s="42"/>
      <c r="BHQ1" s="42"/>
      <c r="BHR1" s="42"/>
      <c r="BHS1" s="42"/>
      <c r="BHT1" s="42"/>
      <c r="BHU1" s="42"/>
      <c r="BHV1" s="42"/>
      <c r="BHW1" s="42"/>
      <c r="BHX1" s="42"/>
      <c r="BHY1" s="42"/>
      <c r="BHZ1" s="42"/>
      <c r="BIA1" s="42"/>
      <c r="BIB1" s="42"/>
      <c r="BIC1" s="42"/>
      <c r="BID1" s="42"/>
      <c r="BIE1" s="42"/>
      <c r="BIF1" s="42"/>
      <c r="BIG1" s="42"/>
      <c r="BIH1" s="42"/>
      <c r="BII1" s="42"/>
      <c r="BIJ1" s="42"/>
      <c r="BIK1" s="42"/>
      <c r="BIL1" s="42"/>
      <c r="BIM1" s="42"/>
      <c r="BIN1" s="42"/>
      <c r="BIO1" s="42"/>
      <c r="BIP1" s="42"/>
      <c r="BIQ1" s="42"/>
      <c r="BIR1" s="42"/>
      <c r="BIS1" s="42"/>
      <c r="BIT1" s="42"/>
      <c r="BIU1" s="42"/>
      <c r="BIV1" s="42"/>
      <c r="BIW1" s="42"/>
      <c r="BIX1" s="42"/>
      <c r="BIY1" s="42"/>
      <c r="BIZ1" s="42"/>
      <c r="BJA1" s="42"/>
      <c r="BJB1" s="42"/>
      <c r="BJC1" s="42"/>
      <c r="BJD1" s="42"/>
      <c r="BJE1" s="42"/>
      <c r="BJF1" s="42"/>
      <c r="BJG1" s="42"/>
      <c r="BJH1" s="42"/>
      <c r="BJI1" s="42"/>
      <c r="BJJ1" s="42"/>
      <c r="BJK1" s="42"/>
      <c r="BJL1" s="42"/>
      <c r="BJM1" s="42"/>
      <c r="BJN1" s="42"/>
      <c r="BJO1" s="42"/>
      <c r="BJP1" s="42"/>
      <c r="BJQ1" s="42"/>
      <c r="BJR1" s="42"/>
      <c r="BJS1" s="42"/>
      <c r="BJT1" s="42"/>
      <c r="BJU1" s="42"/>
      <c r="BJV1" s="42"/>
      <c r="BJW1" s="42"/>
      <c r="BJX1" s="42"/>
      <c r="BJY1" s="42"/>
      <c r="BJZ1" s="42"/>
      <c r="BKA1" s="42"/>
      <c r="BKB1" s="42"/>
      <c r="BKC1" s="42"/>
      <c r="BKD1" s="42"/>
      <c r="BKE1" s="42"/>
      <c r="BKF1" s="42"/>
      <c r="BKG1" s="42"/>
      <c r="BKH1" s="42"/>
      <c r="BKI1" s="42"/>
      <c r="BKJ1" s="42"/>
      <c r="BKK1" s="42"/>
      <c r="BKL1" s="42"/>
      <c r="BKM1" s="42"/>
      <c r="BKN1" s="42"/>
      <c r="BKO1" s="42"/>
      <c r="BKP1" s="42"/>
      <c r="BKQ1" s="42"/>
      <c r="BKR1" s="42"/>
      <c r="BKS1" s="42"/>
      <c r="BKT1" s="42"/>
      <c r="BKU1" s="42"/>
      <c r="BKV1" s="42"/>
      <c r="BKW1" s="42"/>
      <c r="BKX1" s="42"/>
      <c r="BKY1" s="42"/>
      <c r="BKZ1" s="42"/>
      <c r="BLA1" s="42"/>
      <c r="BLB1" s="42"/>
      <c r="BLC1" s="42"/>
      <c r="BLD1" s="42"/>
      <c r="BLE1" s="42"/>
      <c r="BLF1" s="42"/>
      <c r="BLG1" s="42"/>
      <c r="BLH1" s="42"/>
      <c r="BLI1" s="42"/>
      <c r="BLJ1" s="42"/>
      <c r="BLK1" s="42"/>
      <c r="BLL1" s="42"/>
      <c r="BLM1" s="42"/>
      <c r="BLN1" s="42"/>
      <c r="BLO1" s="42"/>
      <c r="BLP1" s="42"/>
      <c r="BLQ1" s="42"/>
      <c r="BLR1" s="42"/>
      <c r="BLS1" s="42"/>
      <c r="BLT1" s="42"/>
      <c r="BLU1" s="42"/>
      <c r="BLV1" s="42"/>
      <c r="BLW1" s="42"/>
      <c r="BLX1" s="42"/>
      <c r="BLY1" s="42"/>
      <c r="BLZ1" s="42"/>
      <c r="BMA1" s="42"/>
      <c r="BMB1" s="42"/>
      <c r="BMC1" s="42"/>
      <c r="BMD1" s="42"/>
      <c r="BME1" s="42"/>
      <c r="BMF1" s="42"/>
      <c r="BMG1" s="42"/>
      <c r="BMH1" s="42"/>
      <c r="BMI1" s="42"/>
      <c r="BMJ1" s="42"/>
      <c r="BMK1" s="42"/>
      <c r="BML1" s="42"/>
      <c r="BMM1" s="42"/>
      <c r="BMN1" s="42"/>
      <c r="BMO1" s="42"/>
      <c r="BMP1" s="42"/>
      <c r="BMQ1" s="42"/>
      <c r="BMR1" s="42"/>
      <c r="BMS1" s="42"/>
      <c r="BMT1" s="42"/>
      <c r="BMU1" s="42"/>
      <c r="BMV1" s="42"/>
      <c r="BMW1" s="42"/>
      <c r="BMX1" s="42"/>
      <c r="BMY1" s="42"/>
      <c r="BMZ1" s="42"/>
      <c r="BNA1" s="42"/>
      <c r="BNB1" s="42"/>
      <c r="BNC1" s="42"/>
      <c r="BND1" s="42"/>
      <c r="BNE1" s="42"/>
      <c r="BNF1" s="42"/>
      <c r="BNG1" s="42"/>
      <c r="BNH1" s="42"/>
      <c r="BNI1" s="42"/>
      <c r="BNJ1" s="42"/>
      <c r="BNK1" s="42"/>
      <c r="BNL1" s="42"/>
      <c r="BNM1" s="42"/>
      <c r="BNN1" s="42"/>
      <c r="BNO1" s="42"/>
      <c r="BNP1" s="42"/>
      <c r="BNQ1" s="42"/>
      <c r="BNR1" s="42"/>
      <c r="BNS1" s="42"/>
      <c r="BNT1" s="42"/>
      <c r="BNU1" s="42"/>
      <c r="BNV1" s="42"/>
      <c r="BNW1" s="42"/>
      <c r="BNX1" s="42"/>
      <c r="BNY1" s="42"/>
      <c r="BNZ1" s="42"/>
      <c r="BOA1" s="42"/>
      <c r="BOB1" s="42"/>
      <c r="BOC1" s="42"/>
      <c r="BOD1" s="42"/>
      <c r="BOE1" s="42"/>
      <c r="BOF1" s="42"/>
      <c r="BOG1" s="42"/>
      <c r="BOH1" s="42"/>
      <c r="BOI1" s="42"/>
      <c r="BOJ1" s="42"/>
      <c r="BOK1" s="42"/>
      <c r="BOL1" s="42"/>
      <c r="BOM1" s="42"/>
      <c r="BON1" s="42"/>
      <c r="BOO1" s="42"/>
      <c r="BOP1" s="42"/>
      <c r="BOQ1" s="42"/>
      <c r="BOR1" s="42"/>
      <c r="BOS1" s="42"/>
      <c r="BOT1" s="42"/>
      <c r="BOU1" s="42"/>
      <c r="BOV1" s="42"/>
      <c r="BOW1" s="42"/>
      <c r="BOX1" s="42"/>
      <c r="BOY1" s="42"/>
      <c r="BOZ1" s="42"/>
      <c r="BPA1" s="42"/>
      <c r="BPB1" s="42"/>
      <c r="BPC1" s="42"/>
      <c r="BPD1" s="42"/>
      <c r="BPE1" s="42"/>
      <c r="BPF1" s="42"/>
      <c r="BPG1" s="42"/>
      <c r="BPH1" s="42"/>
      <c r="BPI1" s="42"/>
      <c r="BPJ1" s="42"/>
      <c r="BPK1" s="42"/>
      <c r="BPL1" s="42"/>
      <c r="BPM1" s="42"/>
      <c r="BPN1" s="42"/>
      <c r="BPO1" s="42"/>
      <c r="BPP1" s="42"/>
      <c r="BPQ1" s="42"/>
      <c r="BPR1" s="42"/>
      <c r="BPS1" s="42"/>
      <c r="BPT1" s="42"/>
      <c r="BPU1" s="42"/>
      <c r="BPV1" s="42"/>
      <c r="BPW1" s="42"/>
      <c r="BPX1" s="42"/>
      <c r="BPY1" s="42"/>
      <c r="BPZ1" s="42"/>
      <c r="BQA1" s="42"/>
      <c r="BQB1" s="42"/>
      <c r="BQC1" s="42"/>
      <c r="BQD1" s="42"/>
      <c r="BQE1" s="42"/>
      <c r="BQF1" s="42"/>
      <c r="BQG1" s="42"/>
      <c r="BQH1" s="42"/>
      <c r="BQI1" s="42"/>
      <c r="BQJ1" s="42"/>
      <c r="BQK1" s="42"/>
      <c r="BQL1" s="42"/>
      <c r="BQM1" s="42"/>
      <c r="BQN1" s="42"/>
      <c r="BQO1" s="42"/>
      <c r="BQP1" s="42"/>
      <c r="BQQ1" s="42"/>
      <c r="BQR1" s="42"/>
      <c r="BQS1" s="42"/>
      <c r="BQT1" s="42"/>
      <c r="BQU1" s="42"/>
      <c r="BQV1" s="42"/>
      <c r="BQW1" s="42"/>
      <c r="BQX1" s="42"/>
      <c r="BQY1" s="42"/>
      <c r="BQZ1" s="42"/>
      <c r="BRA1" s="42"/>
      <c r="BRB1" s="42"/>
      <c r="BRC1" s="42"/>
      <c r="BRD1" s="42"/>
      <c r="BRE1" s="42"/>
      <c r="BRF1" s="42"/>
      <c r="BRG1" s="42"/>
      <c r="BRH1" s="42"/>
      <c r="BRI1" s="42"/>
      <c r="BRJ1" s="42"/>
      <c r="BRK1" s="42"/>
      <c r="BRL1" s="42"/>
      <c r="BRM1" s="42"/>
      <c r="BRN1" s="42"/>
      <c r="BRO1" s="42"/>
      <c r="BRP1" s="42"/>
      <c r="BRQ1" s="42"/>
      <c r="BRR1" s="42"/>
      <c r="BRS1" s="42"/>
      <c r="BRT1" s="42"/>
      <c r="BRU1" s="42"/>
      <c r="BRV1" s="42"/>
      <c r="BRW1" s="42"/>
      <c r="BRX1" s="42"/>
      <c r="BRY1" s="42"/>
      <c r="BRZ1" s="42"/>
      <c r="BSA1" s="42"/>
      <c r="BSB1" s="42"/>
      <c r="BSC1" s="42"/>
      <c r="BSD1" s="42"/>
      <c r="BSE1" s="42"/>
      <c r="BSF1" s="42"/>
      <c r="BSG1" s="42"/>
      <c r="BSH1" s="42"/>
      <c r="BSI1" s="42"/>
      <c r="BSJ1" s="42"/>
      <c r="BSK1" s="42"/>
      <c r="BSL1" s="42"/>
      <c r="BSM1" s="42"/>
      <c r="BSN1" s="42"/>
      <c r="BSO1" s="42"/>
      <c r="BSP1" s="42"/>
      <c r="BSQ1" s="42"/>
      <c r="BSR1" s="42"/>
      <c r="BSS1" s="42"/>
      <c r="BST1" s="42"/>
      <c r="BSU1" s="42"/>
      <c r="BSV1" s="42"/>
      <c r="BSW1" s="42"/>
      <c r="BSX1" s="42"/>
      <c r="BSY1" s="42"/>
      <c r="BSZ1" s="42"/>
      <c r="BTA1" s="42"/>
      <c r="BTB1" s="42"/>
      <c r="BTC1" s="42"/>
      <c r="BTD1" s="42"/>
      <c r="BTE1" s="42"/>
      <c r="BTF1" s="42"/>
      <c r="BTG1" s="42"/>
      <c r="BTH1" s="42"/>
      <c r="BTI1" s="42"/>
      <c r="BTJ1" s="42"/>
      <c r="BTK1" s="42"/>
      <c r="BTL1" s="42"/>
      <c r="BTM1" s="42"/>
      <c r="BTN1" s="42"/>
      <c r="BTO1" s="42"/>
      <c r="BTP1" s="42"/>
      <c r="BTQ1" s="42"/>
      <c r="BTR1" s="42"/>
      <c r="BTS1" s="42"/>
      <c r="BTT1" s="42"/>
      <c r="BTU1" s="42"/>
      <c r="BTV1" s="42"/>
      <c r="BTW1" s="42"/>
      <c r="BTX1" s="42"/>
      <c r="BTY1" s="42"/>
      <c r="BTZ1" s="42"/>
      <c r="BUA1" s="42"/>
      <c r="BUB1" s="42"/>
      <c r="BUC1" s="42"/>
      <c r="BUD1" s="42"/>
      <c r="BUE1" s="42"/>
      <c r="BUF1" s="42"/>
      <c r="BUG1" s="42"/>
      <c r="BUH1" s="42"/>
      <c r="BUI1" s="42"/>
      <c r="BUJ1" s="42"/>
      <c r="BUK1" s="42"/>
      <c r="BUL1" s="42"/>
      <c r="BUM1" s="42"/>
      <c r="BUN1" s="42"/>
      <c r="BUO1" s="42"/>
      <c r="BUP1" s="42"/>
      <c r="BUQ1" s="42"/>
      <c r="BUR1" s="42"/>
      <c r="BUS1" s="42"/>
      <c r="BUT1" s="42"/>
      <c r="BUU1" s="42"/>
      <c r="BUV1" s="42"/>
      <c r="BUW1" s="42"/>
      <c r="BUX1" s="42"/>
      <c r="BUY1" s="42"/>
      <c r="BUZ1" s="42"/>
      <c r="BVA1" s="42"/>
      <c r="BVB1" s="42"/>
      <c r="BVC1" s="42"/>
      <c r="BVD1" s="42"/>
      <c r="BVE1" s="42"/>
      <c r="BVF1" s="42"/>
      <c r="BVG1" s="42"/>
      <c r="BVH1" s="42"/>
      <c r="BVI1" s="42"/>
      <c r="BVJ1" s="42"/>
      <c r="BVK1" s="42"/>
      <c r="BVL1" s="42"/>
      <c r="BVM1" s="42"/>
      <c r="BVN1" s="42"/>
      <c r="BVO1" s="42"/>
      <c r="BVP1" s="42"/>
      <c r="BVQ1" s="42"/>
      <c r="BVR1" s="42"/>
      <c r="BVS1" s="42"/>
      <c r="BVT1" s="42"/>
      <c r="BVU1" s="42"/>
      <c r="BVV1" s="42"/>
      <c r="BVW1" s="42"/>
      <c r="BVX1" s="42"/>
      <c r="BVY1" s="42"/>
      <c r="BVZ1" s="42"/>
      <c r="BWA1" s="42"/>
      <c r="BWB1" s="42"/>
      <c r="BWC1" s="42"/>
      <c r="BWD1" s="42"/>
      <c r="BWE1" s="42"/>
      <c r="BWF1" s="42"/>
      <c r="BWG1" s="42"/>
      <c r="BWH1" s="42"/>
      <c r="BWI1" s="42"/>
      <c r="BWJ1" s="42"/>
      <c r="BWK1" s="42"/>
      <c r="BWL1" s="42"/>
      <c r="BWM1" s="42"/>
      <c r="BWN1" s="42"/>
      <c r="BWO1" s="42"/>
      <c r="BWP1" s="42"/>
      <c r="BWQ1" s="42"/>
      <c r="BWR1" s="42"/>
      <c r="BWS1" s="42"/>
      <c r="BWT1" s="42"/>
      <c r="BWU1" s="42"/>
      <c r="BWV1" s="42"/>
      <c r="BWW1" s="42"/>
      <c r="BWX1" s="42"/>
      <c r="BWY1" s="42"/>
      <c r="BWZ1" s="42"/>
      <c r="BXA1" s="42"/>
      <c r="BXB1" s="42"/>
      <c r="BXC1" s="42"/>
      <c r="BXD1" s="42"/>
      <c r="BXE1" s="42"/>
      <c r="BXF1" s="42"/>
      <c r="BXG1" s="42"/>
      <c r="BXH1" s="42"/>
      <c r="BXI1" s="42"/>
      <c r="BXJ1" s="42"/>
      <c r="BXK1" s="42"/>
      <c r="BXL1" s="42"/>
      <c r="BXM1" s="42"/>
      <c r="BXN1" s="42"/>
      <c r="BXO1" s="42"/>
      <c r="BXP1" s="42"/>
      <c r="BXQ1" s="42"/>
      <c r="BXR1" s="42"/>
      <c r="BXS1" s="42"/>
      <c r="BXT1" s="42"/>
      <c r="BXU1" s="42"/>
      <c r="BXV1" s="42"/>
      <c r="BXW1" s="42"/>
      <c r="BXX1" s="42"/>
      <c r="BXY1" s="42"/>
      <c r="BXZ1" s="42"/>
      <c r="BYA1" s="42"/>
      <c r="BYB1" s="42"/>
      <c r="BYC1" s="42"/>
      <c r="BYD1" s="42"/>
      <c r="BYE1" s="42"/>
      <c r="BYF1" s="42"/>
      <c r="BYG1" s="42"/>
      <c r="BYH1" s="42"/>
      <c r="BYI1" s="42"/>
      <c r="BYJ1" s="42"/>
      <c r="BYK1" s="42"/>
      <c r="BYL1" s="42"/>
      <c r="BYM1" s="42"/>
      <c r="BYN1" s="42"/>
      <c r="BYO1" s="42"/>
      <c r="BYP1" s="42"/>
      <c r="BYQ1" s="42"/>
      <c r="BYR1" s="42"/>
      <c r="BYS1" s="42"/>
      <c r="BYT1" s="42"/>
      <c r="BYU1" s="42"/>
      <c r="BYV1" s="42"/>
      <c r="BYW1" s="42"/>
      <c r="BYX1" s="42"/>
      <c r="BYY1" s="42"/>
      <c r="BYZ1" s="42"/>
      <c r="BZA1" s="42"/>
      <c r="BZB1" s="42"/>
      <c r="BZC1" s="42"/>
      <c r="BZD1" s="42"/>
      <c r="BZE1" s="42"/>
      <c r="BZF1" s="42"/>
      <c r="BZG1" s="42"/>
      <c r="BZH1" s="42"/>
      <c r="BZI1" s="42"/>
      <c r="BZJ1" s="42"/>
      <c r="BZK1" s="42"/>
      <c r="BZL1" s="42"/>
      <c r="BZM1" s="42"/>
      <c r="BZN1" s="42"/>
      <c r="BZO1" s="42"/>
      <c r="BZP1" s="42"/>
      <c r="BZQ1" s="42"/>
      <c r="BZR1" s="42"/>
      <c r="BZS1" s="42"/>
      <c r="BZT1" s="42"/>
      <c r="BZU1" s="42"/>
      <c r="BZV1" s="42"/>
      <c r="BZW1" s="42"/>
      <c r="BZX1" s="42"/>
      <c r="BZY1" s="42"/>
      <c r="BZZ1" s="42"/>
      <c r="CAA1" s="42"/>
      <c r="CAB1" s="42"/>
      <c r="CAC1" s="42"/>
      <c r="CAD1" s="42"/>
      <c r="CAE1" s="42"/>
      <c r="CAF1" s="42"/>
      <c r="CAG1" s="42"/>
      <c r="CAH1" s="42"/>
      <c r="CAI1" s="42"/>
      <c r="CAJ1" s="42"/>
      <c r="CAK1" s="42"/>
      <c r="CAL1" s="42"/>
      <c r="CAM1" s="42"/>
      <c r="CAN1" s="42"/>
      <c r="CAO1" s="42"/>
      <c r="CAP1" s="42"/>
      <c r="CAQ1" s="42"/>
      <c r="CAR1" s="42"/>
      <c r="CAS1" s="42"/>
      <c r="CAT1" s="42"/>
      <c r="CAU1" s="42"/>
      <c r="CAV1" s="42"/>
      <c r="CAW1" s="42"/>
      <c r="CAX1" s="42"/>
      <c r="CAY1" s="42"/>
      <c r="CAZ1" s="42"/>
      <c r="CBA1" s="42"/>
      <c r="CBB1" s="42"/>
      <c r="CBC1" s="42"/>
      <c r="CBD1" s="42"/>
      <c r="CBE1" s="42"/>
      <c r="CBF1" s="42"/>
      <c r="CBG1" s="42"/>
      <c r="CBH1" s="42"/>
      <c r="CBI1" s="42"/>
      <c r="CBJ1" s="42"/>
      <c r="CBK1" s="42"/>
      <c r="CBL1" s="42"/>
      <c r="CBM1" s="42"/>
      <c r="CBN1" s="42"/>
      <c r="CBO1" s="42"/>
      <c r="CBP1" s="42"/>
      <c r="CBQ1" s="42"/>
      <c r="CBR1" s="42"/>
      <c r="CBS1" s="42"/>
      <c r="CBT1" s="42"/>
      <c r="CBU1" s="42"/>
      <c r="CBV1" s="42"/>
      <c r="CBW1" s="42"/>
      <c r="CBX1" s="42"/>
      <c r="CBY1" s="42"/>
      <c r="CBZ1" s="42"/>
      <c r="CCA1" s="42"/>
      <c r="CCB1" s="42"/>
      <c r="CCC1" s="42"/>
      <c r="CCD1" s="42"/>
      <c r="CCE1" s="42"/>
      <c r="CCF1" s="42"/>
      <c r="CCG1" s="42"/>
      <c r="CCH1" s="42"/>
      <c r="CCI1" s="42"/>
      <c r="CCJ1" s="42"/>
      <c r="CCK1" s="42"/>
      <c r="CCL1" s="42"/>
      <c r="CCM1" s="42"/>
      <c r="CCN1" s="42"/>
      <c r="CCO1" s="42"/>
      <c r="CCP1" s="42"/>
      <c r="CCQ1" s="42"/>
      <c r="CCR1" s="42"/>
      <c r="CCS1" s="42"/>
      <c r="CCT1" s="42"/>
      <c r="CCU1" s="42"/>
      <c r="CCV1" s="42"/>
      <c r="CCW1" s="42"/>
      <c r="CCX1" s="42"/>
      <c r="CCY1" s="42"/>
      <c r="CCZ1" s="42"/>
      <c r="CDA1" s="42"/>
      <c r="CDB1" s="42"/>
      <c r="CDC1" s="42"/>
      <c r="CDD1" s="42"/>
      <c r="CDE1" s="42"/>
      <c r="CDF1" s="42"/>
      <c r="CDG1" s="42"/>
      <c r="CDH1" s="42"/>
      <c r="CDI1" s="42"/>
      <c r="CDJ1" s="42"/>
      <c r="CDK1" s="42"/>
      <c r="CDL1" s="42"/>
      <c r="CDM1" s="42"/>
      <c r="CDN1" s="42"/>
      <c r="CDO1" s="42"/>
      <c r="CDP1" s="42"/>
      <c r="CDQ1" s="42"/>
      <c r="CDR1" s="42"/>
      <c r="CDS1" s="42"/>
      <c r="CDT1" s="42"/>
      <c r="CDU1" s="42"/>
      <c r="CDV1" s="42"/>
      <c r="CDW1" s="42"/>
      <c r="CDX1" s="42"/>
      <c r="CDY1" s="42"/>
      <c r="CDZ1" s="42"/>
      <c r="CEA1" s="42"/>
      <c r="CEB1" s="42"/>
      <c r="CEC1" s="42"/>
      <c r="CED1" s="42"/>
      <c r="CEE1" s="42"/>
      <c r="CEF1" s="42"/>
      <c r="CEG1" s="42"/>
      <c r="CEH1" s="42"/>
      <c r="CEI1" s="42"/>
      <c r="CEJ1" s="42"/>
      <c r="CEK1" s="42"/>
      <c r="CEL1" s="42"/>
      <c r="CEM1" s="42"/>
      <c r="CEN1" s="42"/>
      <c r="CEO1" s="42"/>
      <c r="CEP1" s="42"/>
      <c r="CEQ1" s="42"/>
      <c r="CER1" s="42"/>
      <c r="CES1" s="42"/>
      <c r="CET1" s="42"/>
      <c r="CEU1" s="42"/>
      <c r="CEV1" s="42"/>
      <c r="CEW1" s="42"/>
      <c r="CEX1" s="42"/>
      <c r="CEY1" s="42"/>
      <c r="CEZ1" s="42"/>
      <c r="CFA1" s="42"/>
      <c r="CFB1" s="42"/>
      <c r="CFC1" s="42"/>
      <c r="CFD1" s="42"/>
      <c r="CFE1" s="42"/>
      <c r="CFF1" s="42"/>
      <c r="CFG1" s="42"/>
      <c r="CFH1" s="42"/>
      <c r="CFI1" s="42"/>
      <c r="CFJ1" s="42"/>
      <c r="CFK1" s="42"/>
      <c r="CFL1" s="42"/>
      <c r="CFM1" s="42"/>
      <c r="CFN1" s="42"/>
      <c r="CFO1" s="42"/>
      <c r="CFP1" s="42"/>
      <c r="CFQ1" s="42"/>
      <c r="CFR1" s="42"/>
      <c r="CFS1" s="42"/>
      <c r="CFT1" s="42"/>
      <c r="CFU1" s="42"/>
      <c r="CFV1" s="42"/>
      <c r="CFW1" s="42"/>
      <c r="CFX1" s="42"/>
      <c r="CFY1" s="42"/>
      <c r="CFZ1" s="42"/>
      <c r="CGA1" s="42"/>
      <c r="CGB1" s="42"/>
      <c r="CGC1" s="42"/>
      <c r="CGD1" s="42"/>
      <c r="CGE1" s="42"/>
      <c r="CGF1" s="42"/>
      <c r="CGG1" s="42"/>
      <c r="CGH1" s="42"/>
      <c r="CGI1" s="42"/>
      <c r="CGJ1" s="42"/>
      <c r="CGK1" s="42"/>
      <c r="CGL1" s="42"/>
      <c r="CGM1" s="42"/>
      <c r="CGN1" s="42"/>
      <c r="CGO1" s="42"/>
      <c r="CGP1" s="42"/>
      <c r="CGQ1" s="42"/>
      <c r="CGR1" s="42"/>
      <c r="CGS1" s="42"/>
      <c r="CGT1" s="42"/>
      <c r="CGU1" s="42"/>
      <c r="CGV1" s="42"/>
      <c r="CGW1" s="42"/>
      <c r="CGX1" s="42"/>
      <c r="CGY1" s="42"/>
      <c r="CGZ1" s="42"/>
      <c r="CHA1" s="42"/>
      <c r="CHB1" s="42"/>
      <c r="CHC1" s="42"/>
      <c r="CHD1" s="42"/>
      <c r="CHE1" s="42"/>
      <c r="CHF1" s="42"/>
      <c r="CHG1" s="42"/>
      <c r="CHH1" s="42"/>
      <c r="CHI1" s="42"/>
      <c r="CHJ1" s="42"/>
      <c r="CHK1" s="42"/>
      <c r="CHL1" s="42"/>
      <c r="CHM1" s="42"/>
      <c r="CHN1" s="42"/>
      <c r="CHO1" s="42"/>
      <c r="CHP1" s="42"/>
      <c r="CHQ1" s="42"/>
      <c r="CHR1" s="42"/>
      <c r="CHS1" s="42"/>
      <c r="CHT1" s="42"/>
      <c r="CHU1" s="42"/>
      <c r="CHV1" s="42"/>
      <c r="CHW1" s="42"/>
      <c r="CHX1" s="42"/>
      <c r="CHY1" s="42"/>
      <c r="CHZ1" s="42"/>
      <c r="CIA1" s="42"/>
      <c r="CIB1" s="42"/>
      <c r="CIC1" s="42"/>
      <c r="CID1" s="42"/>
      <c r="CIE1" s="42"/>
      <c r="CIF1" s="42"/>
      <c r="CIG1" s="42"/>
      <c r="CIH1" s="42"/>
      <c r="CII1" s="42"/>
      <c r="CIJ1" s="42"/>
      <c r="CIK1" s="42"/>
      <c r="CIL1" s="42"/>
      <c r="CIM1" s="42"/>
      <c r="CIN1" s="42"/>
      <c r="CIO1" s="42"/>
      <c r="CIP1" s="42"/>
      <c r="CIQ1" s="42"/>
      <c r="CIR1" s="42"/>
      <c r="CIS1" s="42"/>
      <c r="CIT1" s="42"/>
      <c r="CIU1" s="42"/>
      <c r="CIV1" s="42"/>
      <c r="CIW1" s="42"/>
      <c r="CIX1" s="42"/>
      <c r="CIY1" s="42"/>
      <c r="CIZ1" s="42"/>
      <c r="CJA1" s="42"/>
      <c r="CJB1" s="42"/>
      <c r="CJC1" s="42"/>
      <c r="CJD1" s="42"/>
      <c r="CJE1" s="42"/>
      <c r="CJF1" s="42"/>
      <c r="CJG1" s="42"/>
      <c r="CJH1" s="42"/>
      <c r="CJI1" s="42"/>
      <c r="CJJ1" s="42"/>
      <c r="CJK1" s="42"/>
      <c r="CJL1" s="42"/>
      <c r="CJM1" s="42"/>
      <c r="CJN1" s="42"/>
      <c r="CJO1" s="42"/>
      <c r="CJP1" s="42"/>
      <c r="CJQ1" s="42"/>
      <c r="CJR1" s="42"/>
      <c r="CJS1" s="42"/>
      <c r="CJT1" s="42"/>
      <c r="CJU1" s="42"/>
      <c r="CJV1" s="42"/>
      <c r="CJW1" s="42"/>
      <c r="CJX1" s="42"/>
      <c r="CJY1" s="42"/>
      <c r="CJZ1" s="42"/>
      <c r="CKA1" s="42"/>
      <c r="CKB1" s="42"/>
      <c r="CKC1" s="42"/>
      <c r="CKD1" s="42"/>
      <c r="CKE1" s="42"/>
      <c r="CKF1" s="42"/>
      <c r="CKG1" s="42"/>
      <c r="CKH1" s="42"/>
      <c r="CKI1" s="42"/>
      <c r="CKJ1" s="42"/>
      <c r="CKK1" s="42"/>
      <c r="CKL1" s="42"/>
      <c r="CKM1" s="42"/>
      <c r="CKN1" s="42"/>
      <c r="CKO1" s="42"/>
      <c r="CKP1" s="42"/>
      <c r="CKQ1" s="42"/>
      <c r="CKR1" s="42"/>
      <c r="CKS1" s="42"/>
      <c r="CKT1" s="42"/>
      <c r="CKU1" s="42"/>
      <c r="CKV1" s="42"/>
      <c r="CKW1" s="42"/>
      <c r="CKX1" s="42"/>
      <c r="CKY1" s="42"/>
      <c r="CKZ1" s="42"/>
      <c r="CLA1" s="42"/>
      <c r="CLB1" s="42"/>
      <c r="CLC1" s="42"/>
      <c r="CLD1" s="42"/>
      <c r="CLE1" s="42"/>
      <c r="CLF1" s="42"/>
      <c r="CLG1" s="42"/>
      <c r="CLH1" s="42"/>
      <c r="CLI1" s="42"/>
      <c r="CLJ1" s="42"/>
      <c r="CLK1" s="42"/>
      <c r="CLL1" s="42"/>
      <c r="CLM1" s="42"/>
      <c r="CLN1" s="42"/>
      <c r="CLO1" s="42"/>
      <c r="CLP1" s="42"/>
      <c r="CLQ1" s="42"/>
      <c r="CLR1" s="42"/>
      <c r="CLS1" s="42"/>
      <c r="CLT1" s="42"/>
      <c r="CLU1" s="42"/>
      <c r="CLV1" s="42"/>
      <c r="CLW1" s="42"/>
      <c r="CLX1" s="42"/>
      <c r="CLY1" s="42"/>
      <c r="CLZ1" s="42"/>
      <c r="CMA1" s="42"/>
      <c r="CMB1" s="42"/>
      <c r="CMC1" s="42"/>
      <c r="CMD1" s="42"/>
      <c r="CME1" s="42"/>
      <c r="CMF1" s="42"/>
      <c r="CMG1" s="42"/>
      <c r="CMH1" s="42"/>
      <c r="CMI1" s="42"/>
      <c r="CMJ1" s="42"/>
      <c r="CMK1" s="42"/>
      <c r="CML1" s="42"/>
      <c r="CMM1" s="42"/>
      <c r="CMN1" s="42"/>
      <c r="CMO1" s="42"/>
      <c r="CMP1" s="42"/>
      <c r="CMQ1" s="42"/>
      <c r="CMR1" s="42"/>
      <c r="CMS1" s="42"/>
      <c r="CMT1" s="42"/>
      <c r="CMU1" s="42"/>
      <c r="CMV1" s="42"/>
      <c r="CMW1" s="42"/>
      <c r="CMX1" s="42"/>
      <c r="CMY1" s="42"/>
      <c r="CMZ1" s="42"/>
      <c r="CNA1" s="42"/>
      <c r="CNB1" s="42"/>
      <c r="CNC1" s="42"/>
      <c r="CND1" s="42"/>
      <c r="CNE1" s="42"/>
      <c r="CNF1" s="42"/>
      <c r="CNG1" s="42"/>
      <c r="CNH1" s="42"/>
      <c r="CNI1" s="42"/>
      <c r="CNJ1" s="42"/>
      <c r="CNK1" s="42"/>
      <c r="CNL1" s="42"/>
      <c r="CNM1" s="42"/>
      <c r="CNN1" s="42"/>
      <c r="CNO1" s="42"/>
      <c r="CNP1" s="42"/>
      <c r="CNQ1" s="42"/>
      <c r="CNR1" s="42"/>
      <c r="CNS1" s="42"/>
      <c r="CNT1" s="42"/>
      <c r="CNU1" s="42"/>
      <c r="CNV1" s="42"/>
      <c r="CNW1" s="42"/>
      <c r="CNX1" s="42"/>
      <c r="CNY1" s="42"/>
      <c r="CNZ1" s="42"/>
      <c r="COA1" s="42"/>
      <c r="COB1" s="42"/>
      <c r="COC1" s="42"/>
      <c r="COD1" s="42"/>
      <c r="COE1" s="42"/>
      <c r="COF1" s="42"/>
      <c r="COG1" s="42"/>
      <c r="COH1" s="42"/>
      <c r="COI1" s="42"/>
      <c r="COJ1" s="42"/>
      <c r="COK1" s="42"/>
      <c r="COL1" s="42"/>
      <c r="COM1" s="42"/>
      <c r="CON1" s="42"/>
      <c r="COO1" s="42"/>
      <c r="COP1" s="42"/>
      <c r="COQ1" s="42"/>
      <c r="COR1" s="42"/>
      <c r="COS1" s="42"/>
      <c r="COT1" s="42"/>
      <c r="COU1" s="42"/>
      <c r="COV1" s="42"/>
      <c r="COW1" s="42"/>
      <c r="COX1" s="42"/>
      <c r="COY1" s="42"/>
      <c r="COZ1" s="42"/>
      <c r="CPA1" s="42"/>
      <c r="CPB1" s="42"/>
      <c r="CPC1" s="42"/>
      <c r="CPD1" s="42"/>
      <c r="CPE1" s="42"/>
      <c r="CPF1" s="42"/>
      <c r="CPG1" s="42"/>
      <c r="CPH1" s="42"/>
      <c r="CPI1" s="42"/>
      <c r="CPJ1" s="42"/>
      <c r="CPK1" s="42"/>
      <c r="CPL1" s="42"/>
      <c r="CPM1" s="42"/>
      <c r="CPN1" s="42"/>
      <c r="CPO1" s="42"/>
      <c r="CPP1" s="42"/>
      <c r="CPQ1" s="42"/>
      <c r="CPR1" s="42"/>
      <c r="CPS1" s="42"/>
      <c r="CPT1" s="42"/>
      <c r="CPU1" s="42"/>
      <c r="CPV1" s="42"/>
      <c r="CPW1" s="42"/>
      <c r="CPX1" s="42"/>
      <c r="CPY1" s="42"/>
      <c r="CPZ1" s="42"/>
      <c r="CQA1" s="42"/>
      <c r="CQB1" s="42"/>
      <c r="CQC1" s="42"/>
      <c r="CQD1" s="42"/>
      <c r="CQE1" s="42"/>
      <c r="CQF1" s="42"/>
      <c r="CQG1" s="42"/>
      <c r="CQH1" s="42"/>
      <c r="CQI1" s="42"/>
      <c r="CQJ1" s="42"/>
      <c r="CQK1" s="42"/>
      <c r="CQL1" s="42"/>
      <c r="CQM1" s="42"/>
      <c r="CQN1" s="42"/>
      <c r="CQO1" s="42"/>
      <c r="CQP1" s="42"/>
      <c r="CQQ1" s="42"/>
      <c r="CQR1" s="42"/>
      <c r="CQS1" s="42"/>
      <c r="CQT1" s="42"/>
      <c r="CQU1" s="42"/>
      <c r="CQV1" s="42"/>
      <c r="CQW1" s="42"/>
      <c r="CQX1" s="42"/>
      <c r="CQY1" s="42"/>
      <c r="CQZ1" s="42"/>
      <c r="CRA1" s="42"/>
      <c r="CRB1" s="42"/>
      <c r="CRC1" s="42"/>
      <c r="CRD1" s="42"/>
      <c r="CRE1" s="42"/>
      <c r="CRF1" s="42"/>
      <c r="CRG1" s="42"/>
      <c r="CRH1" s="42"/>
      <c r="CRI1" s="42"/>
      <c r="CRJ1" s="42"/>
      <c r="CRK1" s="42"/>
      <c r="CRL1" s="42"/>
      <c r="CRM1" s="42"/>
      <c r="CRN1" s="42"/>
      <c r="CRO1" s="42"/>
      <c r="CRP1" s="42"/>
      <c r="CRQ1" s="42"/>
      <c r="CRR1" s="42"/>
      <c r="CRS1" s="42"/>
      <c r="CRT1" s="42"/>
      <c r="CRU1" s="42"/>
      <c r="CRV1" s="42"/>
      <c r="CRW1" s="42"/>
      <c r="CRX1" s="42"/>
      <c r="CRY1" s="42"/>
      <c r="CRZ1" s="42"/>
      <c r="CSA1" s="42"/>
      <c r="CSB1" s="42"/>
      <c r="CSC1" s="42"/>
      <c r="CSD1" s="42"/>
      <c r="CSE1" s="42"/>
      <c r="CSF1" s="42"/>
      <c r="CSG1" s="42"/>
      <c r="CSH1" s="42"/>
      <c r="CSI1" s="42"/>
      <c r="CSJ1" s="42"/>
      <c r="CSK1" s="42"/>
      <c r="CSL1" s="42"/>
      <c r="CSM1" s="42"/>
      <c r="CSN1" s="42"/>
      <c r="CSO1" s="42"/>
      <c r="CSP1" s="42"/>
      <c r="CSQ1" s="42"/>
      <c r="CSR1" s="42"/>
      <c r="CSS1" s="42"/>
      <c r="CST1" s="42"/>
      <c r="CSU1" s="42"/>
      <c r="CSV1" s="42"/>
      <c r="CSW1" s="42"/>
      <c r="CSX1" s="42"/>
      <c r="CSY1" s="42"/>
      <c r="CSZ1" s="42"/>
      <c r="CTA1" s="42"/>
      <c r="CTB1" s="42"/>
      <c r="CTC1" s="42"/>
      <c r="CTD1" s="42"/>
      <c r="CTE1" s="42"/>
      <c r="CTF1" s="42"/>
      <c r="CTG1" s="42"/>
      <c r="CTH1" s="42"/>
      <c r="CTI1" s="42"/>
      <c r="CTJ1" s="42"/>
      <c r="CTK1" s="42"/>
      <c r="CTL1" s="42"/>
      <c r="CTM1" s="42"/>
      <c r="CTN1" s="42"/>
      <c r="CTO1" s="42"/>
      <c r="CTP1" s="42"/>
      <c r="CTQ1" s="42"/>
      <c r="CTR1" s="42"/>
      <c r="CTS1" s="42"/>
      <c r="CTT1" s="42"/>
      <c r="CTU1" s="42"/>
      <c r="CTV1" s="42"/>
      <c r="CTW1" s="42"/>
      <c r="CTX1" s="42"/>
      <c r="CTY1" s="42"/>
      <c r="CTZ1" s="42"/>
      <c r="CUA1" s="42"/>
      <c r="CUB1" s="42"/>
      <c r="CUC1" s="42"/>
      <c r="CUD1" s="42"/>
      <c r="CUE1" s="42"/>
      <c r="CUF1" s="42"/>
      <c r="CUG1" s="42"/>
      <c r="CUH1" s="42"/>
      <c r="CUI1" s="42"/>
      <c r="CUJ1" s="42"/>
      <c r="CUK1" s="42"/>
      <c r="CUL1" s="42"/>
      <c r="CUM1" s="42"/>
      <c r="CUN1" s="42"/>
      <c r="CUO1" s="42"/>
      <c r="CUP1" s="42"/>
      <c r="CUQ1" s="42"/>
      <c r="CUR1" s="42"/>
      <c r="CUS1" s="42"/>
      <c r="CUT1" s="42"/>
      <c r="CUU1" s="42"/>
      <c r="CUV1" s="42"/>
      <c r="CUW1" s="42"/>
      <c r="CUX1" s="42"/>
      <c r="CUY1" s="42"/>
      <c r="CUZ1" s="42"/>
      <c r="CVA1" s="42"/>
      <c r="CVB1" s="42"/>
      <c r="CVC1" s="42"/>
      <c r="CVD1" s="42"/>
      <c r="CVE1" s="42"/>
      <c r="CVF1" s="42"/>
      <c r="CVG1" s="42"/>
      <c r="CVH1" s="42"/>
      <c r="CVI1" s="42"/>
      <c r="CVJ1" s="42"/>
      <c r="CVK1" s="42"/>
      <c r="CVL1" s="42"/>
      <c r="CVM1" s="42"/>
      <c r="CVN1" s="42"/>
      <c r="CVO1" s="42"/>
      <c r="CVP1" s="42"/>
      <c r="CVQ1" s="42"/>
      <c r="CVR1" s="42"/>
      <c r="CVS1" s="42"/>
      <c r="CVT1" s="42"/>
      <c r="CVU1" s="42"/>
      <c r="CVV1" s="42"/>
      <c r="CVW1" s="42"/>
      <c r="CVX1" s="42"/>
      <c r="CVY1" s="42"/>
      <c r="CVZ1" s="42"/>
      <c r="CWA1" s="42"/>
      <c r="CWB1" s="42"/>
      <c r="CWC1" s="42"/>
      <c r="CWD1" s="42"/>
      <c r="CWE1" s="42"/>
      <c r="CWF1" s="42"/>
      <c r="CWG1" s="42"/>
      <c r="CWH1" s="42"/>
      <c r="CWI1" s="42"/>
      <c r="CWJ1" s="42"/>
      <c r="CWK1" s="42"/>
      <c r="CWL1" s="42"/>
      <c r="CWM1" s="42"/>
      <c r="CWN1" s="42"/>
      <c r="CWO1" s="42"/>
      <c r="CWP1" s="42"/>
      <c r="CWQ1" s="42"/>
      <c r="CWR1" s="42"/>
      <c r="CWS1" s="42"/>
      <c r="CWT1" s="42"/>
      <c r="CWU1" s="42"/>
      <c r="CWV1" s="42"/>
      <c r="CWW1" s="42"/>
      <c r="CWX1" s="42"/>
      <c r="CWY1" s="42"/>
      <c r="CWZ1" s="42"/>
      <c r="CXA1" s="42"/>
      <c r="CXB1" s="42"/>
      <c r="CXC1" s="42"/>
      <c r="CXD1" s="42"/>
      <c r="CXE1" s="42"/>
      <c r="CXF1" s="42"/>
      <c r="CXG1" s="42"/>
      <c r="CXH1" s="42"/>
      <c r="CXI1" s="42"/>
      <c r="CXJ1" s="42"/>
      <c r="CXK1" s="42"/>
      <c r="CXL1" s="42"/>
      <c r="CXM1" s="42"/>
      <c r="CXN1" s="42"/>
      <c r="CXO1" s="42"/>
      <c r="CXP1" s="42"/>
      <c r="CXQ1" s="42"/>
      <c r="CXR1" s="42"/>
      <c r="CXS1" s="42"/>
      <c r="CXT1" s="42"/>
      <c r="CXU1" s="42"/>
      <c r="CXV1" s="42"/>
      <c r="CXW1" s="42"/>
      <c r="CXX1" s="42"/>
      <c r="CXY1" s="42"/>
      <c r="CXZ1" s="42"/>
      <c r="CYA1" s="42"/>
      <c r="CYB1" s="42"/>
      <c r="CYC1" s="42"/>
      <c r="CYD1" s="42"/>
      <c r="CYE1" s="42"/>
      <c r="CYF1" s="42"/>
      <c r="CYG1" s="42"/>
      <c r="CYH1" s="42"/>
      <c r="CYI1" s="42"/>
      <c r="CYJ1" s="42"/>
      <c r="CYK1" s="42"/>
      <c r="CYL1" s="42"/>
      <c r="CYM1" s="42"/>
      <c r="CYN1" s="42"/>
      <c r="CYO1" s="42"/>
      <c r="CYP1" s="42"/>
      <c r="CYQ1" s="42"/>
      <c r="CYR1" s="42"/>
      <c r="CYS1" s="42"/>
      <c r="CYT1" s="42"/>
      <c r="CYU1" s="42"/>
      <c r="CYV1" s="42"/>
      <c r="CYW1" s="42"/>
      <c r="CYX1" s="42"/>
      <c r="CYY1" s="42"/>
      <c r="CYZ1" s="42"/>
      <c r="CZA1" s="42"/>
      <c r="CZB1" s="42"/>
      <c r="CZC1" s="42"/>
      <c r="CZD1" s="42"/>
      <c r="CZE1" s="42"/>
      <c r="CZF1" s="42"/>
      <c r="CZG1" s="42"/>
      <c r="CZH1" s="42"/>
      <c r="CZI1" s="42"/>
      <c r="CZJ1" s="42"/>
      <c r="CZK1" s="42"/>
      <c r="CZL1" s="42"/>
      <c r="CZM1" s="42"/>
      <c r="CZN1" s="42"/>
      <c r="CZO1" s="42"/>
      <c r="CZP1" s="42"/>
      <c r="CZQ1" s="42"/>
      <c r="CZR1" s="42"/>
      <c r="CZS1" s="42"/>
      <c r="CZT1" s="42"/>
      <c r="CZU1" s="42"/>
      <c r="CZV1" s="42"/>
      <c r="CZW1" s="42"/>
      <c r="CZX1" s="42"/>
      <c r="CZY1" s="42"/>
      <c r="CZZ1" s="42"/>
      <c r="DAA1" s="42"/>
      <c r="DAB1" s="42"/>
      <c r="DAC1" s="42"/>
      <c r="DAD1" s="42"/>
      <c r="DAE1" s="42"/>
      <c r="DAF1" s="42"/>
      <c r="DAG1" s="42"/>
      <c r="DAH1" s="42"/>
      <c r="DAI1" s="42"/>
      <c r="DAJ1" s="42"/>
      <c r="DAK1" s="42"/>
      <c r="DAL1" s="42"/>
      <c r="DAM1" s="42"/>
      <c r="DAN1" s="42"/>
      <c r="DAO1" s="42"/>
      <c r="DAP1" s="42"/>
      <c r="DAQ1" s="42"/>
      <c r="DAR1" s="42"/>
      <c r="DAS1" s="42"/>
      <c r="DAT1" s="42"/>
      <c r="DAU1" s="42"/>
      <c r="DAV1" s="42"/>
      <c r="DAW1" s="42"/>
      <c r="DAX1" s="42"/>
      <c r="DAY1" s="42"/>
      <c r="DAZ1" s="42"/>
      <c r="DBA1" s="42"/>
      <c r="DBB1" s="42"/>
      <c r="DBC1" s="42"/>
      <c r="DBD1" s="42"/>
      <c r="DBE1" s="42"/>
      <c r="DBF1" s="42"/>
      <c r="DBG1" s="42"/>
      <c r="DBH1" s="42"/>
      <c r="DBI1" s="42"/>
      <c r="DBJ1" s="42"/>
      <c r="DBK1" s="42"/>
      <c r="DBL1" s="42"/>
      <c r="DBM1" s="42"/>
      <c r="DBN1" s="42"/>
      <c r="DBO1" s="42"/>
      <c r="DBP1" s="42"/>
      <c r="DBQ1" s="42"/>
      <c r="DBR1" s="42"/>
      <c r="DBS1" s="42"/>
      <c r="DBT1" s="42"/>
      <c r="DBU1" s="42"/>
      <c r="DBV1" s="42"/>
      <c r="DBW1" s="42"/>
      <c r="DBX1" s="42"/>
      <c r="DBY1" s="42"/>
      <c r="DBZ1" s="42"/>
      <c r="DCA1" s="42"/>
      <c r="DCB1" s="42"/>
      <c r="DCC1" s="42"/>
      <c r="DCD1" s="42"/>
      <c r="DCE1" s="42"/>
      <c r="DCF1" s="42"/>
      <c r="DCG1" s="42"/>
      <c r="DCH1" s="42"/>
      <c r="DCI1" s="42"/>
      <c r="DCJ1" s="42"/>
      <c r="DCK1" s="42"/>
      <c r="DCL1" s="42"/>
      <c r="DCM1" s="42"/>
      <c r="DCN1" s="42"/>
      <c r="DCO1" s="42"/>
      <c r="DCP1" s="42"/>
      <c r="DCQ1" s="42"/>
      <c r="DCR1" s="42"/>
      <c r="DCS1" s="42"/>
      <c r="DCT1" s="42"/>
      <c r="DCU1" s="42"/>
      <c r="DCV1" s="42"/>
      <c r="DCW1" s="42"/>
      <c r="DCX1" s="42"/>
      <c r="DCY1" s="42"/>
      <c r="DCZ1" s="42"/>
      <c r="DDA1" s="42"/>
      <c r="DDB1" s="42"/>
      <c r="DDC1" s="42"/>
      <c r="DDD1" s="42"/>
      <c r="DDE1" s="42"/>
      <c r="DDF1" s="42"/>
      <c r="DDG1" s="42"/>
      <c r="DDH1" s="42"/>
      <c r="DDI1" s="42"/>
      <c r="DDJ1" s="42"/>
      <c r="DDK1" s="42"/>
      <c r="DDL1" s="42"/>
      <c r="DDM1" s="42"/>
      <c r="DDN1" s="42"/>
      <c r="DDO1" s="42"/>
      <c r="DDP1" s="42"/>
      <c r="DDQ1" s="42"/>
      <c r="DDR1" s="42"/>
      <c r="DDS1" s="42"/>
      <c r="DDT1" s="42"/>
      <c r="DDU1" s="42"/>
      <c r="DDV1" s="42"/>
      <c r="DDW1" s="42"/>
      <c r="DDX1" s="42"/>
      <c r="DDY1" s="42"/>
      <c r="DDZ1" s="42"/>
      <c r="DEA1" s="42"/>
      <c r="DEB1" s="42"/>
      <c r="DEC1" s="42"/>
      <c r="DED1" s="42"/>
      <c r="DEE1" s="42"/>
      <c r="DEF1" s="42"/>
      <c r="DEG1" s="42"/>
      <c r="DEH1" s="42"/>
      <c r="DEI1" s="42"/>
      <c r="DEJ1" s="42"/>
      <c r="DEK1" s="42"/>
      <c r="DEL1" s="42"/>
      <c r="DEM1" s="42"/>
      <c r="DEN1" s="42"/>
      <c r="DEO1" s="42"/>
      <c r="DEP1" s="42"/>
      <c r="DEQ1" s="42"/>
      <c r="DER1" s="42"/>
      <c r="DES1" s="42"/>
      <c r="DET1" s="42"/>
      <c r="DEU1" s="42"/>
      <c r="DEV1" s="42"/>
      <c r="DEW1" s="42"/>
      <c r="DEX1" s="42"/>
      <c r="DEY1" s="42"/>
      <c r="DEZ1" s="42"/>
      <c r="DFA1" s="42"/>
      <c r="DFB1" s="42"/>
      <c r="DFC1" s="42"/>
      <c r="DFD1" s="42"/>
      <c r="DFE1" s="42"/>
      <c r="DFF1" s="42"/>
      <c r="DFG1" s="42"/>
      <c r="DFH1" s="42"/>
      <c r="DFI1" s="42"/>
      <c r="DFJ1" s="42"/>
      <c r="DFK1" s="42"/>
      <c r="DFL1" s="42"/>
      <c r="DFM1" s="42"/>
      <c r="DFN1" s="42"/>
      <c r="DFO1" s="42"/>
      <c r="DFP1" s="42"/>
      <c r="DFQ1" s="42"/>
      <c r="DFR1" s="42"/>
      <c r="DFS1" s="42"/>
      <c r="DFT1" s="42"/>
      <c r="DFU1" s="42"/>
      <c r="DFV1" s="42"/>
      <c r="DFW1" s="42"/>
      <c r="DFX1" s="42"/>
      <c r="DFY1" s="42"/>
      <c r="DFZ1" s="42"/>
      <c r="DGA1" s="42"/>
      <c r="DGB1" s="42"/>
      <c r="DGC1" s="42"/>
      <c r="DGD1" s="42"/>
      <c r="DGE1" s="42"/>
      <c r="DGF1" s="42"/>
      <c r="DGG1" s="42"/>
      <c r="DGH1" s="42"/>
      <c r="DGI1" s="42"/>
      <c r="DGJ1" s="42"/>
      <c r="DGK1" s="42"/>
      <c r="DGL1" s="42"/>
      <c r="DGM1" s="42"/>
      <c r="DGN1" s="42"/>
      <c r="DGO1" s="42"/>
      <c r="DGP1" s="42"/>
      <c r="DGQ1" s="42"/>
      <c r="DGR1" s="42"/>
      <c r="DGS1" s="42"/>
      <c r="DGT1" s="42"/>
      <c r="DGU1" s="42"/>
      <c r="DGV1" s="42"/>
      <c r="DGW1" s="42"/>
      <c r="DGX1" s="42"/>
      <c r="DGY1" s="42"/>
      <c r="DGZ1" s="42"/>
      <c r="DHA1" s="42"/>
      <c r="DHB1" s="42"/>
      <c r="DHC1" s="42"/>
      <c r="DHD1" s="42"/>
      <c r="DHE1" s="42"/>
      <c r="DHF1" s="42"/>
      <c r="DHG1" s="42"/>
      <c r="DHH1" s="42"/>
      <c r="DHI1" s="42"/>
      <c r="DHJ1" s="42"/>
      <c r="DHK1" s="42"/>
      <c r="DHL1" s="42"/>
      <c r="DHM1" s="42"/>
      <c r="DHN1" s="42"/>
      <c r="DHO1" s="42"/>
      <c r="DHP1" s="42"/>
      <c r="DHQ1" s="42"/>
      <c r="DHR1" s="42"/>
      <c r="DHS1" s="42"/>
      <c r="DHT1" s="42"/>
      <c r="DHU1" s="42"/>
      <c r="DHV1" s="42"/>
      <c r="DHW1" s="42"/>
      <c r="DHX1" s="42"/>
      <c r="DHY1" s="42"/>
      <c r="DHZ1" s="42"/>
      <c r="DIA1" s="42"/>
      <c r="DIB1" s="42"/>
      <c r="DIC1" s="42"/>
      <c r="DID1" s="42"/>
      <c r="DIE1" s="42"/>
      <c r="DIF1" s="42"/>
      <c r="DIG1" s="42"/>
      <c r="DIH1" s="42"/>
      <c r="DII1" s="42"/>
      <c r="DIJ1" s="42"/>
      <c r="DIK1" s="42"/>
      <c r="DIL1" s="42"/>
      <c r="DIM1" s="42"/>
      <c r="DIN1" s="42"/>
      <c r="DIO1" s="42"/>
      <c r="DIP1" s="42"/>
      <c r="DIQ1" s="42"/>
      <c r="DIR1" s="42"/>
      <c r="DIS1" s="42"/>
      <c r="DIT1" s="42"/>
      <c r="DIU1" s="42"/>
      <c r="DIV1" s="42"/>
      <c r="DIW1" s="42"/>
      <c r="DIX1" s="42"/>
      <c r="DIY1" s="42"/>
      <c r="DIZ1" s="42"/>
      <c r="DJA1" s="42"/>
      <c r="DJB1" s="42"/>
      <c r="DJC1" s="42"/>
      <c r="DJD1" s="42"/>
      <c r="DJE1" s="42"/>
      <c r="DJF1" s="42"/>
      <c r="DJG1" s="42"/>
      <c r="DJH1" s="42"/>
      <c r="DJI1" s="42"/>
      <c r="DJJ1" s="42"/>
      <c r="DJK1" s="42"/>
      <c r="DJL1" s="42"/>
      <c r="DJM1" s="42"/>
      <c r="DJN1" s="42"/>
      <c r="DJO1" s="42"/>
      <c r="DJP1" s="42"/>
      <c r="DJQ1" s="42"/>
      <c r="DJR1" s="42"/>
      <c r="DJS1" s="42"/>
      <c r="DJT1" s="42"/>
      <c r="DJU1" s="42"/>
      <c r="DJV1" s="42"/>
      <c r="DJW1" s="42"/>
      <c r="DJX1" s="42"/>
      <c r="DJY1" s="42"/>
      <c r="DJZ1" s="42"/>
      <c r="DKA1" s="42"/>
      <c r="DKB1" s="42"/>
      <c r="DKC1" s="42"/>
      <c r="DKD1" s="42"/>
      <c r="DKE1" s="42"/>
      <c r="DKF1" s="42"/>
      <c r="DKG1" s="42"/>
      <c r="DKH1" s="42"/>
      <c r="DKI1" s="42"/>
      <c r="DKJ1" s="42"/>
      <c r="DKK1" s="42"/>
      <c r="DKL1" s="42"/>
      <c r="DKM1" s="42"/>
      <c r="DKN1" s="42"/>
      <c r="DKO1" s="42"/>
      <c r="DKP1" s="42"/>
      <c r="DKQ1" s="42"/>
      <c r="DKR1" s="42"/>
      <c r="DKS1" s="42"/>
      <c r="DKT1" s="42"/>
      <c r="DKU1" s="42"/>
      <c r="DKV1" s="42"/>
      <c r="DKW1" s="42"/>
      <c r="DKX1" s="42"/>
      <c r="DKY1" s="42"/>
      <c r="DKZ1" s="42"/>
      <c r="DLA1" s="42"/>
      <c r="DLB1" s="42"/>
      <c r="DLC1" s="42"/>
      <c r="DLD1" s="42"/>
      <c r="DLE1" s="42"/>
      <c r="DLF1" s="42"/>
      <c r="DLG1" s="42"/>
      <c r="DLH1" s="42"/>
      <c r="DLI1" s="42"/>
      <c r="DLJ1" s="42"/>
      <c r="DLK1" s="42"/>
      <c r="DLL1" s="42"/>
      <c r="DLM1" s="42"/>
      <c r="DLN1" s="42"/>
      <c r="DLO1" s="42"/>
      <c r="DLP1" s="42"/>
      <c r="DLQ1" s="42"/>
      <c r="DLR1" s="42"/>
      <c r="DLS1" s="42"/>
      <c r="DLT1" s="42"/>
      <c r="DLU1" s="42"/>
      <c r="DLV1" s="42"/>
      <c r="DLW1" s="42"/>
      <c r="DLX1" s="42"/>
      <c r="DLY1" s="42"/>
      <c r="DLZ1" s="42"/>
      <c r="DMA1" s="42"/>
      <c r="DMB1" s="42"/>
      <c r="DMC1" s="42"/>
      <c r="DMD1" s="42"/>
      <c r="DME1" s="42"/>
      <c r="DMF1" s="42"/>
      <c r="DMG1" s="42"/>
      <c r="DMH1" s="42"/>
      <c r="DMI1" s="42"/>
      <c r="DMJ1" s="42"/>
      <c r="DMK1" s="42"/>
      <c r="DML1" s="42"/>
      <c r="DMM1" s="42"/>
      <c r="DMN1" s="42"/>
      <c r="DMO1" s="42"/>
      <c r="DMP1" s="42"/>
      <c r="DMQ1" s="42"/>
      <c r="DMR1" s="42"/>
      <c r="DMS1" s="42"/>
      <c r="DMT1" s="42"/>
      <c r="DMU1" s="42"/>
      <c r="DMV1" s="42"/>
      <c r="DMW1" s="42"/>
      <c r="DMX1" s="42"/>
      <c r="DMY1" s="42"/>
      <c r="DMZ1" s="42"/>
      <c r="DNA1" s="42"/>
      <c r="DNB1" s="42"/>
      <c r="DNC1" s="42"/>
      <c r="DND1" s="42"/>
      <c r="DNE1" s="42"/>
      <c r="DNF1" s="42"/>
      <c r="DNG1" s="42"/>
      <c r="DNH1" s="42"/>
      <c r="DNI1" s="42"/>
      <c r="DNJ1" s="42"/>
      <c r="DNK1" s="42"/>
      <c r="DNL1" s="42"/>
      <c r="DNM1" s="42"/>
      <c r="DNN1" s="42"/>
      <c r="DNO1" s="42"/>
      <c r="DNP1" s="42"/>
      <c r="DNQ1" s="42"/>
      <c r="DNR1" s="42"/>
      <c r="DNS1" s="42"/>
      <c r="DNT1" s="42"/>
      <c r="DNU1" s="42"/>
      <c r="DNV1" s="42"/>
      <c r="DNW1" s="42"/>
      <c r="DNX1" s="42"/>
      <c r="DNY1" s="42"/>
      <c r="DNZ1" s="42"/>
      <c r="DOA1" s="42"/>
      <c r="DOB1" s="42"/>
      <c r="DOC1" s="42"/>
      <c r="DOD1" s="42"/>
      <c r="DOE1" s="42"/>
      <c r="DOF1" s="42"/>
      <c r="DOG1" s="42"/>
      <c r="DOH1" s="42"/>
      <c r="DOI1" s="42"/>
      <c r="DOJ1" s="42"/>
      <c r="DOK1" s="42"/>
      <c r="DOL1" s="42"/>
      <c r="DOM1" s="42"/>
      <c r="DON1" s="42"/>
      <c r="DOO1" s="42"/>
      <c r="DOP1" s="42"/>
      <c r="DOQ1" s="42"/>
      <c r="DOR1" s="42"/>
      <c r="DOS1" s="42"/>
      <c r="DOT1" s="42"/>
      <c r="DOU1" s="42"/>
      <c r="DOV1" s="42"/>
      <c r="DOW1" s="42"/>
      <c r="DOX1" s="42"/>
      <c r="DOY1" s="42"/>
      <c r="DOZ1" s="42"/>
      <c r="DPA1" s="42"/>
      <c r="DPB1" s="42"/>
      <c r="DPC1" s="42"/>
      <c r="DPD1" s="42"/>
      <c r="DPE1" s="42"/>
      <c r="DPF1" s="42"/>
      <c r="DPG1" s="42"/>
      <c r="DPH1" s="42"/>
      <c r="DPI1" s="42"/>
      <c r="DPJ1" s="42"/>
      <c r="DPK1" s="42"/>
      <c r="DPL1" s="42"/>
      <c r="DPM1" s="42"/>
      <c r="DPN1" s="42"/>
      <c r="DPO1" s="42"/>
      <c r="DPP1" s="42"/>
      <c r="DPQ1" s="42"/>
      <c r="DPR1" s="42"/>
      <c r="DPS1" s="42"/>
      <c r="DPT1" s="42"/>
      <c r="DPU1" s="42"/>
      <c r="DPV1" s="42"/>
      <c r="DPW1" s="42"/>
      <c r="DPX1" s="42"/>
      <c r="DPY1" s="42"/>
      <c r="DPZ1" s="42"/>
      <c r="DQA1" s="42"/>
      <c r="DQB1" s="42"/>
      <c r="DQC1" s="42"/>
      <c r="DQD1" s="42"/>
      <c r="DQE1" s="42"/>
      <c r="DQF1" s="42"/>
      <c r="DQG1" s="42"/>
      <c r="DQH1" s="42"/>
      <c r="DQI1" s="42"/>
      <c r="DQJ1" s="42"/>
      <c r="DQK1" s="42"/>
      <c r="DQL1" s="42"/>
      <c r="DQM1" s="42"/>
      <c r="DQN1" s="42"/>
      <c r="DQO1" s="42"/>
      <c r="DQP1" s="42"/>
      <c r="DQQ1" s="42"/>
      <c r="DQR1" s="42"/>
      <c r="DQS1" s="42"/>
      <c r="DQT1" s="42"/>
      <c r="DQU1" s="42"/>
      <c r="DQV1" s="42"/>
      <c r="DQW1" s="42"/>
      <c r="DQX1" s="42"/>
      <c r="DQY1" s="42"/>
      <c r="DQZ1" s="42"/>
      <c r="DRA1" s="42"/>
      <c r="DRB1" s="42"/>
      <c r="DRC1" s="42"/>
      <c r="DRD1" s="42"/>
      <c r="DRE1" s="42"/>
      <c r="DRF1" s="42"/>
      <c r="DRG1" s="42"/>
      <c r="DRH1" s="42"/>
      <c r="DRI1" s="42"/>
      <c r="DRJ1" s="42"/>
      <c r="DRK1" s="42"/>
      <c r="DRL1" s="42"/>
      <c r="DRM1" s="42"/>
      <c r="DRN1" s="42"/>
      <c r="DRO1" s="42"/>
      <c r="DRP1" s="42"/>
      <c r="DRQ1" s="42"/>
      <c r="DRR1" s="42"/>
      <c r="DRS1" s="42"/>
      <c r="DRT1" s="42"/>
      <c r="DRU1" s="42"/>
      <c r="DRV1" s="42"/>
      <c r="DRW1" s="42"/>
      <c r="DRX1" s="42"/>
      <c r="DRY1" s="42"/>
      <c r="DRZ1" s="42"/>
      <c r="DSA1" s="42"/>
      <c r="DSB1" s="42"/>
      <c r="DSC1" s="42"/>
      <c r="DSD1" s="42"/>
      <c r="DSE1" s="42"/>
      <c r="DSF1" s="42"/>
      <c r="DSG1" s="42"/>
      <c r="DSH1" s="42"/>
      <c r="DSI1" s="42"/>
      <c r="DSJ1" s="42"/>
      <c r="DSK1" s="42"/>
      <c r="DSL1" s="42"/>
      <c r="DSM1" s="42"/>
      <c r="DSN1" s="42"/>
      <c r="DSO1" s="42"/>
      <c r="DSP1" s="42"/>
      <c r="DSQ1" s="42"/>
      <c r="DSR1" s="42"/>
      <c r="DSS1" s="42"/>
      <c r="DST1" s="42"/>
      <c r="DSU1" s="42"/>
      <c r="DSV1" s="42"/>
      <c r="DSW1" s="42"/>
      <c r="DSX1" s="42"/>
      <c r="DSY1" s="42"/>
      <c r="DSZ1" s="42"/>
      <c r="DTA1" s="42"/>
      <c r="DTB1" s="42"/>
      <c r="DTC1" s="42"/>
      <c r="DTD1" s="42"/>
      <c r="DTE1" s="42"/>
      <c r="DTF1" s="42"/>
      <c r="DTG1" s="42"/>
      <c r="DTH1" s="42"/>
      <c r="DTI1" s="42"/>
      <c r="DTJ1" s="42"/>
      <c r="DTK1" s="42"/>
      <c r="DTL1" s="42"/>
      <c r="DTM1" s="42"/>
      <c r="DTN1" s="42"/>
      <c r="DTO1" s="42"/>
      <c r="DTP1" s="42"/>
      <c r="DTQ1" s="42"/>
      <c r="DTR1" s="42"/>
      <c r="DTS1" s="42"/>
      <c r="DTT1" s="42"/>
      <c r="DTU1" s="42"/>
      <c r="DTV1" s="42"/>
      <c r="DTW1" s="42"/>
      <c r="DTX1" s="42"/>
      <c r="DTY1" s="42"/>
      <c r="DTZ1" s="42"/>
      <c r="DUA1" s="42"/>
      <c r="DUB1" s="42"/>
      <c r="DUC1" s="42"/>
      <c r="DUD1" s="42"/>
      <c r="DUE1" s="42"/>
      <c r="DUF1" s="42"/>
      <c r="DUG1" s="42"/>
      <c r="DUH1" s="42"/>
      <c r="DUI1" s="42"/>
      <c r="DUJ1" s="42"/>
      <c r="DUK1" s="42"/>
      <c r="DUL1" s="42"/>
      <c r="DUM1" s="42"/>
      <c r="DUN1" s="42"/>
      <c r="DUO1" s="42"/>
      <c r="DUP1" s="42"/>
      <c r="DUQ1" s="42"/>
      <c r="DUR1" s="42"/>
      <c r="DUS1" s="42"/>
      <c r="DUT1" s="42"/>
      <c r="DUU1" s="42"/>
      <c r="DUV1" s="42"/>
      <c r="DUW1" s="42"/>
      <c r="DUX1" s="42"/>
      <c r="DUY1" s="42"/>
      <c r="DUZ1" s="42"/>
      <c r="DVA1" s="42"/>
      <c r="DVB1" s="42"/>
      <c r="DVC1" s="42"/>
      <c r="DVD1" s="42"/>
      <c r="DVE1" s="42"/>
      <c r="DVF1" s="42"/>
      <c r="DVG1" s="42"/>
      <c r="DVH1" s="42"/>
      <c r="DVI1" s="42"/>
      <c r="DVJ1" s="42"/>
      <c r="DVK1" s="42"/>
      <c r="DVL1" s="42"/>
      <c r="DVM1" s="42"/>
      <c r="DVN1" s="42"/>
      <c r="DVO1" s="42"/>
      <c r="DVP1" s="42"/>
      <c r="DVQ1" s="42"/>
      <c r="DVR1" s="42"/>
      <c r="DVS1" s="42"/>
      <c r="DVT1" s="42"/>
      <c r="DVU1" s="42"/>
      <c r="DVV1" s="42"/>
      <c r="DVW1" s="42"/>
      <c r="DVX1" s="42"/>
      <c r="DVY1" s="42"/>
      <c r="DVZ1" s="42"/>
      <c r="DWA1" s="42"/>
      <c r="DWB1" s="42"/>
      <c r="DWC1" s="42"/>
      <c r="DWD1" s="42"/>
      <c r="DWE1" s="42"/>
      <c r="DWF1" s="42"/>
      <c r="DWG1" s="42"/>
      <c r="DWH1" s="42"/>
      <c r="DWI1" s="42"/>
      <c r="DWJ1" s="42"/>
      <c r="DWK1" s="42"/>
      <c r="DWL1" s="42"/>
      <c r="DWM1" s="42"/>
      <c r="DWN1" s="42"/>
      <c r="DWO1" s="42"/>
      <c r="DWP1" s="42"/>
      <c r="DWQ1" s="42"/>
      <c r="DWR1" s="42"/>
      <c r="DWS1" s="42"/>
      <c r="DWT1" s="42"/>
      <c r="DWU1" s="42"/>
      <c r="DWV1" s="42"/>
      <c r="DWW1" s="42"/>
      <c r="DWX1" s="42"/>
      <c r="DWY1" s="42"/>
      <c r="DWZ1" s="42"/>
      <c r="DXA1" s="42"/>
      <c r="DXB1" s="42"/>
      <c r="DXC1" s="42"/>
      <c r="DXD1" s="42"/>
      <c r="DXE1" s="42"/>
      <c r="DXF1" s="42"/>
      <c r="DXG1" s="42"/>
      <c r="DXH1" s="42"/>
      <c r="DXI1" s="42"/>
      <c r="DXJ1" s="42"/>
      <c r="DXK1" s="42"/>
      <c r="DXL1" s="42"/>
      <c r="DXM1" s="42"/>
      <c r="DXN1" s="42"/>
      <c r="DXO1" s="42"/>
      <c r="DXP1" s="42"/>
      <c r="DXQ1" s="42"/>
      <c r="DXR1" s="42"/>
      <c r="DXS1" s="42"/>
      <c r="DXT1" s="42"/>
      <c r="DXU1" s="42"/>
      <c r="DXV1" s="42"/>
      <c r="DXW1" s="42"/>
      <c r="DXX1" s="42"/>
      <c r="DXY1" s="42"/>
      <c r="DXZ1" s="42"/>
      <c r="DYA1" s="42"/>
      <c r="DYB1" s="42"/>
      <c r="DYC1" s="42"/>
      <c r="DYD1" s="42"/>
      <c r="DYE1" s="42"/>
      <c r="DYF1" s="42"/>
      <c r="DYG1" s="42"/>
      <c r="DYH1" s="42"/>
      <c r="DYI1" s="42"/>
      <c r="DYJ1" s="42"/>
      <c r="DYK1" s="42"/>
      <c r="DYL1" s="42"/>
      <c r="DYM1" s="42"/>
      <c r="DYN1" s="42"/>
      <c r="DYO1" s="42"/>
      <c r="DYP1" s="42"/>
      <c r="DYQ1" s="42"/>
      <c r="DYR1" s="42"/>
      <c r="DYS1" s="42"/>
      <c r="DYT1" s="42"/>
      <c r="DYU1" s="42"/>
      <c r="DYV1" s="42"/>
      <c r="DYW1" s="42"/>
      <c r="DYX1" s="42"/>
      <c r="DYY1" s="42"/>
      <c r="DYZ1" s="42"/>
      <c r="DZA1" s="42"/>
      <c r="DZB1" s="42"/>
      <c r="DZC1" s="42"/>
      <c r="DZD1" s="42"/>
      <c r="DZE1" s="42"/>
      <c r="DZF1" s="42"/>
      <c r="DZG1" s="42"/>
      <c r="DZH1" s="42"/>
      <c r="DZI1" s="42"/>
      <c r="DZJ1" s="42"/>
      <c r="DZK1" s="42"/>
      <c r="DZL1" s="42"/>
      <c r="DZM1" s="42"/>
      <c r="DZN1" s="42"/>
      <c r="DZO1" s="42"/>
      <c r="DZP1" s="42"/>
      <c r="DZQ1" s="42"/>
      <c r="DZR1" s="42"/>
      <c r="DZS1" s="42"/>
      <c r="DZT1" s="42"/>
      <c r="DZU1" s="42"/>
      <c r="DZV1" s="42"/>
      <c r="DZW1" s="42"/>
      <c r="DZX1" s="42"/>
      <c r="DZY1" s="42"/>
      <c r="DZZ1" s="42"/>
      <c r="EAA1" s="42"/>
      <c r="EAB1" s="42"/>
      <c r="EAC1" s="42"/>
      <c r="EAD1" s="42"/>
      <c r="EAE1" s="42"/>
      <c r="EAF1" s="42"/>
      <c r="EAG1" s="42"/>
      <c r="EAH1" s="42"/>
      <c r="EAI1" s="42"/>
      <c r="EAJ1" s="42"/>
      <c r="EAK1" s="42"/>
      <c r="EAL1" s="42"/>
      <c r="EAM1" s="42"/>
      <c r="EAN1" s="42"/>
      <c r="EAO1" s="42"/>
      <c r="EAP1" s="42"/>
      <c r="EAQ1" s="42"/>
      <c r="EAR1" s="42"/>
      <c r="EAS1" s="42"/>
      <c r="EAT1" s="42"/>
      <c r="EAU1" s="42"/>
      <c r="EAV1" s="42"/>
      <c r="EAW1" s="42"/>
      <c r="EAX1" s="42"/>
      <c r="EAY1" s="42"/>
      <c r="EAZ1" s="42"/>
      <c r="EBA1" s="42"/>
      <c r="EBB1" s="42"/>
      <c r="EBC1" s="42"/>
      <c r="EBD1" s="42"/>
      <c r="EBE1" s="42"/>
      <c r="EBF1" s="42"/>
      <c r="EBG1" s="42"/>
      <c r="EBH1" s="42"/>
      <c r="EBI1" s="42"/>
      <c r="EBJ1" s="42"/>
      <c r="EBK1" s="42"/>
      <c r="EBL1" s="42"/>
      <c r="EBM1" s="42"/>
      <c r="EBN1" s="42"/>
      <c r="EBO1" s="42"/>
      <c r="EBP1" s="42"/>
      <c r="EBQ1" s="42"/>
      <c r="EBR1" s="42"/>
      <c r="EBS1" s="42"/>
      <c r="EBT1" s="42"/>
      <c r="EBU1" s="42"/>
      <c r="EBV1" s="42"/>
      <c r="EBW1" s="42"/>
      <c r="EBX1" s="42"/>
      <c r="EBY1" s="42"/>
      <c r="EBZ1" s="42"/>
      <c r="ECA1" s="42"/>
      <c r="ECB1" s="42"/>
      <c r="ECC1" s="42"/>
      <c r="ECD1" s="42"/>
      <c r="ECE1" s="42"/>
      <c r="ECF1" s="42"/>
      <c r="ECG1" s="42"/>
      <c r="ECH1" s="42"/>
      <c r="ECI1" s="42"/>
      <c r="ECJ1" s="42"/>
      <c r="ECK1" s="42"/>
      <c r="ECL1" s="42"/>
      <c r="ECM1" s="42"/>
      <c r="ECN1" s="42"/>
      <c r="ECO1" s="42"/>
      <c r="ECP1" s="42"/>
      <c r="ECQ1" s="42"/>
      <c r="ECR1" s="42"/>
      <c r="ECS1" s="42"/>
      <c r="ECT1" s="42"/>
      <c r="ECU1" s="42"/>
      <c r="ECV1" s="42"/>
      <c r="ECW1" s="42"/>
      <c r="ECX1" s="42"/>
      <c r="ECY1" s="42"/>
      <c r="ECZ1" s="42"/>
      <c r="EDA1" s="42"/>
      <c r="EDB1" s="42"/>
      <c r="EDC1" s="42"/>
      <c r="EDD1" s="42"/>
      <c r="EDE1" s="42"/>
      <c r="EDF1" s="42"/>
      <c r="EDG1" s="42"/>
      <c r="EDH1" s="42"/>
      <c r="EDI1" s="42"/>
      <c r="EDJ1" s="42"/>
      <c r="EDK1" s="42"/>
      <c r="EDL1" s="42"/>
      <c r="EDM1" s="42"/>
      <c r="EDN1" s="42"/>
      <c r="EDO1" s="42"/>
      <c r="EDP1" s="42"/>
      <c r="EDQ1" s="42"/>
      <c r="EDR1" s="42"/>
      <c r="EDS1" s="42"/>
      <c r="EDT1" s="42"/>
      <c r="EDU1" s="42"/>
      <c r="EDV1" s="42"/>
      <c r="EDW1" s="42"/>
      <c r="EDX1" s="42"/>
      <c r="EDY1" s="42"/>
      <c r="EDZ1" s="42"/>
      <c r="EEA1" s="42"/>
      <c r="EEB1" s="42"/>
      <c r="EEC1" s="42"/>
      <c r="EED1" s="42"/>
      <c r="EEE1" s="42"/>
      <c r="EEF1" s="42"/>
      <c r="EEG1" s="42"/>
      <c r="EEH1" s="42"/>
      <c r="EEI1" s="42"/>
      <c r="EEJ1" s="42"/>
      <c r="EEK1" s="42"/>
      <c r="EEL1" s="42"/>
      <c r="EEM1" s="42"/>
      <c r="EEN1" s="42"/>
      <c r="EEO1" s="42"/>
      <c r="EEP1" s="42"/>
      <c r="EEQ1" s="42"/>
      <c r="EER1" s="42"/>
      <c r="EES1" s="42"/>
      <c r="EET1" s="42"/>
      <c r="EEU1" s="42"/>
      <c r="EEV1" s="42"/>
      <c r="EEW1" s="42"/>
      <c r="EEX1" s="42"/>
      <c r="EEY1" s="42"/>
      <c r="EEZ1" s="42"/>
      <c r="EFA1" s="42"/>
      <c r="EFB1" s="42"/>
      <c r="EFC1" s="42"/>
      <c r="EFD1" s="42"/>
      <c r="EFE1" s="42"/>
      <c r="EFF1" s="42"/>
      <c r="EFG1" s="42"/>
      <c r="EFH1" s="42"/>
      <c r="EFI1" s="42"/>
      <c r="EFJ1" s="42"/>
      <c r="EFK1" s="42"/>
      <c r="EFL1" s="42"/>
      <c r="EFM1" s="42"/>
      <c r="EFN1" s="42"/>
      <c r="EFO1" s="42"/>
      <c r="EFP1" s="42"/>
      <c r="EFQ1" s="42"/>
      <c r="EFR1" s="42"/>
      <c r="EFS1" s="42"/>
      <c r="EFT1" s="42"/>
      <c r="EFU1" s="42"/>
      <c r="EFV1" s="42"/>
      <c r="EFW1" s="42"/>
      <c r="EFX1" s="42"/>
      <c r="EFY1" s="42"/>
      <c r="EFZ1" s="42"/>
      <c r="EGA1" s="42"/>
      <c r="EGB1" s="42"/>
      <c r="EGC1" s="42"/>
      <c r="EGD1" s="42"/>
      <c r="EGE1" s="42"/>
      <c r="EGF1" s="42"/>
      <c r="EGG1" s="42"/>
      <c r="EGH1" s="42"/>
      <c r="EGI1" s="42"/>
      <c r="EGJ1" s="42"/>
      <c r="EGK1" s="42"/>
      <c r="EGL1" s="42"/>
      <c r="EGM1" s="42"/>
      <c r="EGN1" s="42"/>
      <c r="EGO1" s="42"/>
      <c r="EGP1" s="42"/>
      <c r="EGQ1" s="42"/>
      <c r="EGR1" s="42"/>
      <c r="EGS1" s="42"/>
      <c r="EGT1" s="42"/>
      <c r="EGU1" s="42"/>
      <c r="EGV1" s="42"/>
      <c r="EGW1" s="42"/>
      <c r="EGX1" s="42"/>
      <c r="EGY1" s="42"/>
      <c r="EGZ1" s="42"/>
      <c r="EHA1" s="42"/>
      <c r="EHB1" s="42"/>
      <c r="EHC1" s="42"/>
      <c r="EHD1" s="42"/>
      <c r="EHE1" s="42"/>
      <c r="EHF1" s="42"/>
      <c r="EHG1" s="42"/>
      <c r="EHH1" s="42"/>
      <c r="EHI1" s="42"/>
      <c r="EHJ1" s="42"/>
      <c r="EHK1" s="42"/>
      <c r="EHL1" s="42"/>
      <c r="EHM1" s="42"/>
      <c r="EHN1" s="42"/>
      <c r="EHO1" s="42"/>
      <c r="EHP1" s="42"/>
      <c r="EHQ1" s="42"/>
      <c r="EHR1" s="42"/>
      <c r="EHS1" s="42"/>
      <c r="EHT1" s="42"/>
      <c r="EHU1" s="42"/>
      <c r="EHV1" s="42"/>
      <c r="EHW1" s="42"/>
      <c r="EHX1" s="42"/>
      <c r="EHY1" s="42"/>
      <c r="EHZ1" s="42"/>
      <c r="EIA1" s="42"/>
      <c r="EIB1" s="42"/>
      <c r="EIC1" s="42"/>
      <c r="EID1" s="42"/>
      <c r="EIE1" s="42"/>
      <c r="EIF1" s="42"/>
      <c r="EIG1" s="42"/>
      <c r="EIH1" s="42"/>
      <c r="EII1" s="42"/>
      <c r="EIJ1" s="42"/>
      <c r="EIK1" s="42"/>
      <c r="EIL1" s="42"/>
      <c r="EIM1" s="42"/>
      <c r="EIN1" s="42"/>
      <c r="EIO1" s="42"/>
      <c r="EIP1" s="42"/>
      <c r="EIQ1" s="42"/>
      <c r="EIR1" s="42"/>
      <c r="EIS1" s="42"/>
      <c r="EIT1" s="42"/>
      <c r="EIU1" s="42"/>
      <c r="EIV1" s="42"/>
      <c r="EIW1" s="42"/>
      <c r="EIX1" s="42"/>
      <c r="EIY1" s="42"/>
      <c r="EIZ1" s="42"/>
      <c r="EJA1" s="42"/>
      <c r="EJB1" s="42"/>
      <c r="EJC1" s="42"/>
      <c r="EJD1" s="42"/>
      <c r="EJE1" s="42"/>
      <c r="EJF1" s="42"/>
      <c r="EJG1" s="42"/>
      <c r="EJH1" s="42"/>
      <c r="EJI1" s="42"/>
      <c r="EJJ1" s="42"/>
      <c r="EJK1" s="42"/>
      <c r="EJL1" s="42"/>
      <c r="EJM1" s="42"/>
      <c r="EJN1" s="42"/>
      <c r="EJO1" s="42"/>
      <c r="EJP1" s="42"/>
      <c r="EJQ1" s="42"/>
      <c r="EJR1" s="42"/>
      <c r="EJS1" s="42"/>
      <c r="EJT1" s="42"/>
      <c r="EJU1" s="42"/>
      <c r="EJV1" s="42"/>
      <c r="EJW1" s="42"/>
      <c r="EJX1" s="42"/>
      <c r="EJY1" s="42"/>
      <c r="EJZ1" s="42"/>
      <c r="EKA1" s="42"/>
      <c r="EKB1" s="42"/>
      <c r="EKC1" s="42"/>
      <c r="EKD1" s="42"/>
      <c r="EKE1" s="42"/>
      <c r="EKF1" s="42"/>
      <c r="EKG1" s="42"/>
      <c r="EKH1" s="42"/>
      <c r="EKI1" s="42"/>
      <c r="EKJ1" s="42"/>
      <c r="EKK1" s="42"/>
      <c r="EKL1" s="42"/>
      <c r="EKM1" s="42"/>
      <c r="EKN1" s="42"/>
      <c r="EKO1" s="42"/>
      <c r="EKP1" s="42"/>
      <c r="EKQ1" s="42"/>
      <c r="EKR1" s="42"/>
      <c r="EKS1" s="42"/>
      <c r="EKT1" s="42"/>
      <c r="EKU1" s="42"/>
      <c r="EKV1" s="42"/>
      <c r="EKW1" s="42"/>
      <c r="EKX1" s="42"/>
      <c r="EKY1" s="42"/>
      <c r="EKZ1" s="42"/>
      <c r="ELA1" s="42"/>
      <c r="ELB1" s="42"/>
      <c r="ELC1" s="42"/>
      <c r="ELD1" s="42"/>
      <c r="ELE1" s="42"/>
      <c r="ELF1" s="42"/>
      <c r="ELG1" s="42"/>
      <c r="ELH1" s="42"/>
      <c r="ELI1" s="42"/>
      <c r="ELJ1" s="42"/>
      <c r="ELK1" s="42"/>
      <c r="ELL1" s="42"/>
      <c r="ELM1" s="42"/>
      <c r="ELN1" s="42"/>
      <c r="ELO1" s="42"/>
      <c r="ELP1" s="42"/>
      <c r="ELQ1" s="42"/>
      <c r="ELR1" s="42"/>
      <c r="ELS1" s="42"/>
      <c r="ELT1" s="42"/>
      <c r="ELU1" s="42"/>
      <c r="ELV1" s="42"/>
      <c r="ELW1" s="42"/>
      <c r="ELX1" s="42"/>
      <c r="ELY1" s="42"/>
      <c r="ELZ1" s="42"/>
      <c r="EMA1" s="42"/>
      <c r="EMB1" s="42"/>
      <c r="EMC1" s="42"/>
      <c r="EMD1" s="42"/>
      <c r="EME1" s="42"/>
      <c r="EMF1" s="42"/>
      <c r="EMG1" s="42"/>
      <c r="EMH1" s="42"/>
      <c r="EMI1" s="42"/>
      <c r="EMJ1" s="42"/>
      <c r="EMK1" s="42"/>
      <c r="EML1" s="42"/>
      <c r="EMM1" s="42"/>
      <c r="EMN1" s="42"/>
      <c r="EMO1" s="42"/>
      <c r="EMP1" s="42"/>
      <c r="EMQ1" s="42"/>
      <c r="EMR1" s="42"/>
      <c r="EMS1" s="42"/>
      <c r="EMT1" s="42"/>
      <c r="EMU1" s="42"/>
      <c r="EMV1" s="42"/>
      <c r="EMW1" s="42"/>
      <c r="EMX1" s="42"/>
      <c r="EMY1" s="42"/>
      <c r="EMZ1" s="42"/>
      <c r="ENA1" s="42"/>
      <c r="ENB1" s="42"/>
      <c r="ENC1" s="42"/>
      <c r="END1" s="42"/>
      <c r="ENE1" s="42"/>
      <c r="ENF1" s="42"/>
      <c r="ENG1" s="42"/>
      <c r="ENH1" s="42"/>
      <c r="ENI1" s="42"/>
      <c r="ENJ1" s="42"/>
      <c r="ENK1" s="42"/>
      <c r="ENL1" s="42"/>
      <c r="ENM1" s="42"/>
      <c r="ENN1" s="42"/>
      <c r="ENO1" s="42"/>
      <c r="ENP1" s="42"/>
      <c r="ENQ1" s="42"/>
      <c r="ENR1" s="42"/>
      <c r="ENS1" s="42"/>
      <c r="ENT1" s="42"/>
      <c r="ENU1" s="42"/>
      <c r="ENV1" s="42"/>
      <c r="ENW1" s="42"/>
      <c r="ENX1" s="42"/>
      <c r="ENY1" s="42"/>
      <c r="ENZ1" s="42"/>
      <c r="EOA1" s="42"/>
      <c r="EOB1" s="42"/>
      <c r="EOC1" s="42"/>
      <c r="EOD1" s="42"/>
      <c r="EOE1" s="42"/>
      <c r="EOF1" s="42"/>
      <c r="EOG1" s="42"/>
      <c r="EOH1" s="42"/>
      <c r="EOI1" s="42"/>
      <c r="EOJ1" s="42"/>
      <c r="EOK1" s="42"/>
      <c r="EOL1" s="42"/>
      <c r="EOM1" s="42"/>
      <c r="EON1" s="42"/>
      <c r="EOO1" s="42"/>
      <c r="EOP1" s="42"/>
      <c r="EOQ1" s="42"/>
      <c r="EOR1" s="42"/>
      <c r="EOS1" s="42"/>
      <c r="EOT1" s="42"/>
      <c r="EOU1" s="42"/>
      <c r="EOV1" s="42"/>
      <c r="EOW1" s="42"/>
      <c r="EOX1" s="42"/>
      <c r="EOY1" s="42"/>
      <c r="EOZ1" s="42"/>
      <c r="EPA1" s="42"/>
      <c r="EPB1" s="42"/>
      <c r="EPC1" s="42"/>
      <c r="EPD1" s="42"/>
      <c r="EPE1" s="42"/>
      <c r="EPF1" s="42"/>
      <c r="EPG1" s="42"/>
      <c r="EPH1" s="42"/>
      <c r="EPI1" s="42"/>
      <c r="EPJ1" s="42"/>
      <c r="EPK1" s="42"/>
      <c r="EPL1" s="42"/>
      <c r="EPM1" s="42"/>
      <c r="EPN1" s="42"/>
      <c r="EPO1" s="42"/>
      <c r="EPP1" s="42"/>
      <c r="EPQ1" s="42"/>
      <c r="EPR1" s="42"/>
      <c r="EPS1" s="42"/>
      <c r="EPT1" s="42"/>
      <c r="EPU1" s="42"/>
      <c r="EPV1" s="42"/>
      <c r="EPW1" s="42"/>
      <c r="EPX1" s="42"/>
      <c r="EPY1" s="42"/>
      <c r="EPZ1" s="42"/>
      <c r="EQA1" s="42"/>
      <c r="EQB1" s="42"/>
      <c r="EQC1" s="42"/>
      <c r="EQD1" s="42"/>
      <c r="EQE1" s="42"/>
      <c r="EQF1" s="42"/>
      <c r="EQG1" s="42"/>
      <c r="EQH1" s="42"/>
      <c r="EQI1" s="42"/>
      <c r="EQJ1" s="42"/>
      <c r="EQK1" s="42"/>
      <c r="EQL1" s="42"/>
      <c r="EQM1" s="42"/>
      <c r="EQN1" s="42"/>
      <c r="EQO1" s="42"/>
      <c r="EQP1" s="42"/>
      <c r="EQQ1" s="42"/>
      <c r="EQR1" s="42"/>
      <c r="EQS1" s="42"/>
      <c r="EQT1" s="42"/>
      <c r="EQU1" s="42"/>
      <c r="EQV1" s="42"/>
      <c r="EQW1" s="42"/>
      <c r="EQX1" s="42"/>
      <c r="EQY1" s="42"/>
      <c r="EQZ1" s="42"/>
      <c r="ERA1" s="42"/>
      <c r="ERB1" s="42"/>
      <c r="ERC1" s="42"/>
      <c r="ERD1" s="42"/>
      <c r="ERE1" s="42"/>
      <c r="ERF1" s="42"/>
      <c r="ERG1" s="42"/>
      <c r="ERH1" s="42"/>
      <c r="ERI1" s="42"/>
      <c r="ERJ1" s="42"/>
      <c r="ERK1" s="42"/>
      <c r="ERL1" s="42"/>
      <c r="ERM1" s="42"/>
      <c r="ERN1" s="42"/>
      <c r="ERO1" s="42"/>
      <c r="ERP1" s="42"/>
      <c r="ERQ1" s="42"/>
      <c r="ERR1" s="42"/>
      <c r="ERS1" s="42"/>
      <c r="ERT1" s="42"/>
      <c r="ERU1" s="42"/>
      <c r="ERV1" s="42"/>
      <c r="ERW1" s="42"/>
      <c r="ERX1" s="42"/>
      <c r="ERY1" s="42"/>
      <c r="ERZ1" s="42"/>
      <c r="ESA1" s="42"/>
      <c r="ESB1" s="42"/>
      <c r="ESC1" s="42"/>
      <c r="ESD1" s="42"/>
      <c r="ESE1" s="42"/>
      <c r="ESF1" s="42"/>
      <c r="ESG1" s="42"/>
      <c r="ESH1" s="42"/>
      <c r="ESI1" s="42"/>
      <c r="ESJ1" s="42"/>
      <c r="ESK1" s="42"/>
      <c r="ESL1" s="42"/>
      <c r="ESM1" s="42"/>
      <c r="ESN1" s="42"/>
      <c r="ESO1" s="42"/>
      <c r="ESP1" s="42"/>
      <c r="ESQ1" s="42"/>
      <c r="ESR1" s="42"/>
      <c r="ESS1" s="42"/>
      <c r="EST1" s="42"/>
      <c r="ESU1" s="42"/>
      <c r="ESV1" s="42"/>
      <c r="ESW1" s="42"/>
      <c r="ESX1" s="42"/>
      <c r="ESY1" s="42"/>
      <c r="ESZ1" s="42"/>
      <c r="ETA1" s="42"/>
      <c r="ETB1" s="42"/>
      <c r="ETC1" s="42"/>
      <c r="ETD1" s="42"/>
      <c r="ETE1" s="42"/>
      <c r="ETF1" s="42"/>
      <c r="ETG1" s="42"/>
      <c r="ETH1" s="42"/>
      <c r="ETI1" s="42"/>
      <c r="ETJ1" s="42"/>
      <c r="ETK1" s="42"/>
      <c r="ETL1" s="42"/>
      <c r="ETM1" s="42"/>
      <c r="ETN1" s="42"/>
      <c r="ETO1" s="42"/>
      <c r="ETP1" s="42"/>
      <c r="ETQ1" s="42"/>
      <c r="ETR1" s="42"/>
      <c r="ETS1" s="42"/>
      <c r="ETT1" s="42"/>
      <c r="ETU1" s="42"/>
      <c r="ETV1" s="42"/>
      <c r="ETW1" s="42"/>
      <c r="ETX1" s="42"/>
      <c r="ETY1" s="42"/>
      <c r="ETZ1" s="42"/>
      <c r="EUA1" s="42"/>
      <c r="EUB1" s="42"/>
      <c r="EUC1" s="42"/>
      <c r="EUD1" s="42"/>
      <c r="EUE1" s="42"/>
      <c r="EUF1" s="42"/>
      <c r="EUG1" s="42"/>
      <c r="EUH1" s="42"/>
      <c r="EUI1" s="42"/>
      <c r="EUJ1" s="42"/>
      <c r="EUK1" s="42"/>
      <c r="EUL1" s="42"/>
      <c r="EUM1" s="42"/>
      <c r="EUN1" s="42"/>
      <c r="EUO1" s="42"/>
      <c r="EUP1" s="42"/>
      <c r="EUQ1" s="42"/>
      <c r="EUR1" s="42"/>
      <c r="EUS1" s="42"/>
      <c r="EUT1" s="42"/>
      <c r="EUU1" s="42"/>
      <c r="EUV1" s="42"/>
      <c r="EUW1" s="42"/>
      <c r="EUX1" s="42"/>
      <c r="EUY1" s="42"/>
      <c r="EUZ1" s="42"/>
      <c r="EVA1" s="42"/>
      <c r="EVB1" s="42"/>
      <c r="EVC1" s="42"/>
      <c r="EVD1" s="42"/>
      <c r="EVE1" s="42"/>
      <c r="EVF1" s="42"/>
      <c r="EVG1" s="42"/>
      <c r="EVH1" s="42"/>
      <c r="EVI1" s="42"/>
      <c r="EVJ1" s="42"/>
      <c r="EVK1" s="42"/>
      <c r="EVL1" s="42"/>
      <c r="EVM1" s="42"/>
      <c r="EVN1" s="42"/>
      <c r="EVO1" s="42"/>
      <c r="EVP1" s="42"/>
      <c r="EVQ1" s="42"/>
      <c r="EVR1" s="42"/>
      <c r="EVS1" s="42"/>
      <c r="EVT1" s="42"/>
      <c r="EVU1" s="42"/>
      <c r="EVV1" s="42"/>
      <c r="EVW1" s="42"/>
      <c r="EVX1" s="42"/>
      <c r="EVY1" s="42"/>
      <c r="EVZ1" s="42"/>
      <c r="EWA1" s="42"/>
      <c r="EWB1" s="42"/>
      <c r="EWC1" s="42"/>
      <c r="EWD1" s="42"/>
      <c r="EWE1" s="42"/>
      <c r="EWF1" s="42"/>
      <c r="EWG1" s="42"/>
      <c r="EWH1" s="42"/>
      <c r="EWI1" s="42"/>
      <c r="EWJ1" s="42"/>
      <c r="EWK1" s="42"/>
      <c r="EWL1" s="42"/>
      <c r="EWM1" s="42"/>
      <c r="EWN1" s="42"/>
      <c r="EWO1" s="42"/>
      <c r="EWP1" s="42"/>
      <c r="EWQ1" s="42"/>
      <c r="EWR1" s="42"/>
      <c r="EWS1" s="42"/>
      <c r="EWT1" s="42"/>
      <c r="EWU1" s="42"/>
      <c r="EWV1" s="42"/>
      <c r="EWW1" s="42"/>
      <c r="EWX1" s="42"/>
      <c r="EWY1" s="42"/>
      <c r="EWZ1" s="42"/>
      <c r="EXA1" s="42"/>
      <c r="EXB1" s="42"/>
      <c r="EXC1" s="42"/>
      <c r="EXD1" s="42"/>
      <c r="EXE1" s="42"/>
      <c r="EXF1" s="42"/>
      <c r="EXG1" s="42"/>
      <c r="EXH1" s="42"/>
      <c r="EXI1" s="42"/>
      <c r="EXJ1" s="42"/>
      <c r="EXK1" s="42"/>
      <c r="EXL1" s="42"/>
      <c r="EXM1" s="42"/>
      <c r="EXN1" s="42"/>
      <c r="EXO1" s="42"/>
      <c r="EXP1" s="42"/>
      <c r="EXQ1" s="42"/>
      <c r="EXR1" s="42"/>
      <c r="EXS1" s="42"/>
      <c r="EXT1" s="42"/>
      <c r="EXU1" s="42"/>
      <c r="EXV1" s="42"/>
      <c r="EXW1" s="42"/>
      <c r="EXX1" s="42"/>
      <c r="EXY1" s="42"/>
      <c r="EXZ1" s="42"/>
      <c r="EYA1" s="42"/>
      <c r="EYB1" s="42"/>
      <c r="EYC1" s="42"/>
      <c r="EYD1" s="42"/>
      <c r="EYE1" s="42"/>
      <c r="EYF1" s="42"/>
      <c r="EYG1" s="42"/>
      <c r="EYH1" s="42"/>
      <c r="EYI1" s="42"/>
      <c r="EYJ1" s="42"/>
      <c r="EYK1" s="42"/>
      <c r="EYL1" s="42"/>
      <c r="EYM1" s="42"/>
      <c r="EYN1" s="42"/>
      <c r="EYO1" s="42"/>
      <c r="EYP1" s="42"/>
      <c r="EYQ1" s="42"/>
      <c r="EYR1" s="42"/>
      <c r="EYS1" s="42"/>
      <c r="EYT1" s="42"/>
      <c r="EYU1" s="42"/>
      <c r="EYV1" s="42"/>
      <c r="EYW1" s="42"/>
      <c r="EYX1" s="42"/>
      <c r="EYY1" s="42"/>
      <c r="EYZ1" s="42"/>
      <c r="EZA1" s="42"/>
      <c r="EZB1" s="42"/>
      <c r="EZC1" s="42"/>
      <c r="EZD1" s="42"/>
      <c r="EZE1" s="42"/>
      <c r="EZF1" s="42"/>
      <c r="EZG1" s="42"/>
      <c r="EZH1" s="42"/>
      <c r="EZI1" s="42"/>
      <c r="EZJ1" s="42"/>
      <c r="EZK1" s="42"/>
      <c r="EZL1" s="42"/>
      <c r="EZM1" s="42"/>
      <c r="EZN1" s="42"/>
      <c r="EZO1" s="42"/>
      <c r="EZP1" s="42"/>
      <c r="EZQ1" s="42"/>
      <c r="EZR1" s="42"/>
      <c r="EZS1" s="42"/>
      <c r="EZT1" s="42"/>
      <c r="EZU1" s="42"/>
      <c r="EZV1" s="42"/>
      <c r="EZW1" s="42"/>
      <c r="EZX1" s="42"/>
      <c r="EZY1" s="42"/>
      <c r="EZZ1" s="42"/>
      <c r="FAA1" s="42"/>
      <c r="FAB1" s="42"/>
      <c r="FAC1" s="42"/>
      <c r="FAD1" s="42"/>
      <c r="FAE1" s="42"/>
      <c r="FAF1" s="42"/>
      <c r="FAG1" s="42"/>
      <c r="FAH1" s="42"/>
      <c r="FAI1" s="42"/>
      <c r="FAJ1" s="42"/>
      <c r="FAK1" s="42"/>
      <c r="FAL1" s="42"/>
      <c r="FAM1" s="42"/>
      <c r="FAN1" s="42"/>
      <c r="FAO1" s="42"/>
      <c r="FAP1" s="42"/>
      <c r="FAQ1" s="42"/>
      <c r="FAR1" s="42"/>
      <c r="FAS1" s="42"/>
      <c r="FAT1" s="42"/>
      <c r="FAU1" s="42"/>
      <c r="FAV1" s="42"/>
      <c r="FAW1" s="42"/>
      <c r="FAX1" s="42"/>
      <c r="FAY1" s="42"/>
      <c r="FAZ1" s="42"/>
      <c r="FBA1" s="42"/>
      <c r="FBB1" s="42"/>
      <c r="FBC1" s="42"/>
      <c r="FBD1" s="42"/>
      <c r="FBE1" s="42"/>
      <c r="FBF1" s="42"/>
      <c r="FBG1" s="42"/>
      <c r="FBH1" s="42"/>
      <c r="FBI1" s="42"/>
      <c r="FBJ1" s="42"/>
      <c r="FBK1" s="42"/>
      <c r="FBL1" s="42"/>
      <c r="FBM1" s="42"/>
      <c r="FBN1" s="42"/>
      <c r="FBO1" s="42"/>
      <c r="FBP1" s="42"/>
      <c r="FBQ1" s="42"/>
      <c r="FBR1" s="42"/>
      <c r="FBS1" s="42"/>
      <c r="FBT1" s="42"/>
      <c r="FBU1" s="42"/>
      <c r="FBV1" s="42"/>
      <c r="FBW1" s="42"/>
      <c r="FBX1" s="42"/>
      <c r="FBY1" s="42"/>
      <c r="FBZ1" s="42"/>
      <c r="FCA1" s="42"/>
      <c r="FCB1" s="42"/>
      <c r="FCC1" s="42"/>
      <c r="FCD1" s="42"/>
      <c r="FCE1" s="42"/>
      <c r="FCF1" s="42"/>
      <c r="FCG1" s="42"/>
      <c r="FCH1" s="42"/>
      <c r="FCI1" s="42"/>
      <c r="FCJ1" s="42"/>
      <c r="FCK1" s="42"/>
      <c r="FCL1" s="42"/>
      <c r="FCM1" s="42"/>
      <c r="FCN1" s="42"/>
      <c r="FCO1" s="42"/>
      <c r="FCP1" s="42"/>
      <c r="FCQ1" s="42"/>
      <c r="FCR1" s="42"/>
      <c r="FCS1" s="42"/>
      <c r="FCT1" s="42"/>
      <c r="FCU1" s="42"/>
      <c r="FCV1" s="42"/>
      <c r="FCW1" s="42"/>
      <c r="FCX1" s="42"/>
      <c r="FCY1" s="42"/>
      <c r="FCZ1" s="42"/>
      <c r="FDA1" s="42"/>
      <c r="FDB1" s="42"/>
      <c r="FDC1" s="42"/>
      <c r="FDD1" s="42"/>
      <c r="FDE1" s="42"/>
      <c r="FDF1" s="42"/>
      <c r="FDG1" s="42"/>
      <c r="FDH1" s="42"/>
      <c r="FDI1" s="42"/>
      <c r="FDJ1" s="42"/>
      <c r="FDK1" s="42"/>
      <c r="FDL1" s="42"/>
      <c r="FDM1" s="42"/>
      <c r="FDN1" s="42"/>
      <c r="FDO1" s="42"/>
      <c r="FDP1" s="42"/>
      <c r="FDQ1" s="42"/>
      <c r="FDR1" s="42"/>
      <c r="FDS1" s="42"/>
      <c r="FDT1" s="42"/>
      <c r="FDU1" s="42"/>
      <c r="FDV1" s="42"/>
      <c r="FDW1" s="42"/>
      <c r="FDX1" s="42"/>
      <c r="FDY1" s="42"/>
      <c r="FDZ1" s="42"/>
      <c r="FEA1" s="42"/>
      <c r="FEB1" s="42"/>
      <c r="FEC1" s="42"/>
      <c r="FED1" s="42"/>
      <c r="FEE1" s="42"/>
      <c r="FEF1" s="42"/>
      <c r="FEG1" s="42"/>
      <c r="FEH1" s="42"/>
      <c r="FEI1" s="42"/>
      <c r="FEJ1" s="42"/>
      <c r="FEK1" s="42"/>
      <c r="FEL1" s="42"/>
      <c r="FEM1" s="42"/>
      <c r="FEN1" s="42"/>
      <c r="FEO1" s="42"/>
      <c r="FEP1" s="42"/>
      <c r="FEQ1" s="42"/>
      <c r="FER1" s="42"/>
      <c r="FES1" s="42"/>
      <c r="FET1" s="42"/>
      <c r="FEU1" s="42"/>
      <c r="FEV1" s="42"/>
      <c r="FEW1" s="42"/>
      <c r="FEX1" s="42"/>
      <c r="FEY1" s="42"/>
      <c r="FEZ1" s="42"/>
      <c r="FFA1" s="42"/>
      <c r="FFB1" s="42"/>
      <c r="FFC1" s="42"/>
      <c r="FFD1" s="42"/>
      <c r="FFE1" s="42"/>
      <c r="FFF1" s="42"/>
      <c r="FFG1" s="42"/>
      <c r="FFH1" s="42"/>
      <c r="FFI1" s="42"/>
      <c r="FFJ1" s="42"/>
      <c r="FFK1" s="42"/>
      <c r="FFL1" s="42"/>
      <c r="FFM1" s="42"/>
      <c r="FFN1" s="42"/>
      <c r="FFO1" s="42"/>
      <c r="FFP1" s="42"/>
      <c r="FFQ1" s="42"/>
      <c r="FFR1" s="42"/>
      <c r="FFS1" s="42"/>
      <c r="FFT1" s="42"/>
      <c r="FFU1" s="42"/>
      <c r="FFV1" s="42"/>
      <c r="FFW1" s="42"/>
      <c r="FFX1" s="42"/>
      <c r="FFY1" s="42"/>
      <c r="FFZ1" s="42"/>
      <c r="FGA1" s="42"/>
      <c r="FGB1" s="42"/>
      <c r="FGC1" s="42"/>
      <c r="FGD1" s="42"/>
      <c r="FGE1" s="42"/>
      <c r="FGF1" s="42"/>
      <c r="FGG1" s="42"/>
      <c r="FGH1" s="42"/>
      <c r="FGI1" s="42"/>
      <c r="FGJ1" s="42"/>
      <c r="FGK1" s="42"/>
      <c r="FGL1" s="42"/>
      <c r="FGM1" s="42"/>
      <c r="FGN1" s="42"/>
      <c r="FGO1" s="42"/>
      <c r="FGP1" s="42"/>
      <c r="FGQ1" s="42"/>
      <c r="FGR1" s="42"/>
      <c r="FGS1" s="42"/>
      <c r="FGT1" s="42"/>
      <c r="FGU1" s="42"/>
      <c r="FGV1" s="42"/>
      <c r="FGW1" s="42"/>
      <c r="FGX1" s="42"/>
      <c r="FGY1" s="42"/>
      <c r="FGZ1" s="42"/>
      <c r="FHA1" s="42"/>
      <c r="FHB1" s="42"/>
      <c r="FHC1" s="42"/>
      <c r="FHD1" s="42"/>
      <c r="FHE1" s="42"/>
      <c r="FHF1" s="42"/>
      <c r="FHG1" s="42"/>
      <c r="FHH1" s="42"/>
      <c r="FHI1" s="42"/>
      <c r="FHJ1" s="42"/>
      <c r="FHK1" s="42"/>
      <c r="FHL1" s="42"/>
      <c r="FHM1" s="42"/>
      <c r="FHN1" s="42"/>
      <c r="FHO1" s="42"/>
      <c r="FHP1" s="42"/>
      <c r="FHQ1" s="42"/>
      <c r="FHR1" s="42"/>
      <c r="FHS1" s="42"/>
      <c r="FHT1" s="42"/>
      <c r="FHU1" s="42"/>
      <c r="FHV1" s="42"/>
      <c r="FHW1" s="42"/>
      <c r="FHX1" s="42"/>
      <c r="FHY1" s="42"/>
      <c r="FHZ1" s="42"/>
      <c r="FIA1" s="42"/>
      <c r="FIB1" s="42"/>
      <c r="FIC1" s="42"/>
      <c r="FID1" s="42"/>
      <c r="FIE1" s="42"/>
      <c r="FIF1" s="42"/>
      <c r="FIG1" s="42"/>
      <c r="FIH1" s="42"/>
      <c r="FII1" s="42"/>
      <c r="FIJ1" s="42"/>
      <c r="FIK1" s="42"/>
      <c r="FIL1" s="42"/>
      <c r="FIM1" s="42"/>
      <c r="FIN1" s="42"/>
      <c r="FIO1" s="42"/>
      <c r="FIP1" s="42"/>
      <c r="FIQ1" s="42"/>
      <c r="FIR1" s="42"/>
      <c r="FIS1" s="42"/>
      <c r="FIT1" s="42"/>
      <c r="FIU1" s="42"/>
      <c r="FIV1" s="42"/>
      <c r="FIW1" s="42"/>
      <c r="FIX1" s="42"/>
      <c r="FIY1" s="42"/>
      <c r="FIZ1" s="42"/>
      <c r="FJA1" s="42"/>
      <c r="FJB1" s="42"/>
      <c r="FJC1" s="42"/>
      <c r="FJD1" s="42"/>
      <c r="FJE1" s="42"/>
      <c r="FJF1" s="42"/>
      <c r="FJG1" s="42"/>
      <c r="FJH1" s="42"/>
      <c r="FJI1" s="42"/>
      <c r="FJJ1" s="42"/>
      <c r="FJK1" s="42"/>
      <c r="FJL1" s="42"/>
      <c r="FJM1" s="42"/>
      <c r="FJN1" s="42"/>
      <c r="FJO1" s="42"/>
      <c r="FJP1" s="42"/>
      <c r="FJQ1" s="42"/>
      <c r="FJR1" s="42"/>
      <c r="FJS1" s="42"/>
      <c r="FJT1" s="42"/>
      <c r="FJU1" s="42"/>
      <c r="FJV1" s="42"/>
      <c r="FJW1" s="42"/>
      <c r="FJX1" s="42"/>
      <c r="FJY1" s="42"/>
      <c r="FJZ1" s="42"/>
      <c r="FKA1" s="42"/>
      <c r="FKB1" s="42"/>
      <c r="FKC1" s="42"/>
      <c r="FKD1" s="42"/>
      <c r="FKE1" s="42"/>
      <c r="FKF1" s="42"/>
      <c r="FKG1" s="42"/>
      <c r="FKH1" s="42"/>
      <c r="FKI1" s="42"/>
      <c r="FKJ1" s="42"/>
      <c r="FKK1" s="42"/>
      <c r="FKL1" s="42"/>
      <c r="FKM1" s="42"/>
      <c r="FKN1" s="42"/>
      <c r="FKO1" s="42"/>
      <c r="FKP1" s="42"/>
      <c r="FKQ1" s="42"/>
      <c r="FKR1" s="42"/>
      <c r="FKS1" s="42"/>
      <c r="FKT1" s="42"/>
      <c r="FKU1" s="42"/>
      <c r="FKV1" s="42"/>
      <c r="FKW1" s="42"/>
      <c r="FKX1" s="42"/>
      <c r="FKY1" s="42"/>
      <c r="FKZ1" s="42"/>
      <c r="FLA1" s="42"/>
      <c r="FLB1" s="42"/>
      <c r="FLC1" s="42"/>
      <c r="FLD1" s="42"/>
      <c r="FLE1" s="42"/>
      <c r="FLF1" s="42"/>
      <c r="FLG1" s="42"/>
      <c r="FLH1" s="42"/>
      <c r="FLI1" s="42"/>
      <c r="FLJ1" s="42"/>
      <c r="FLK1" s="42"/>
      <c r="FLL1" s="42"/>
      <c r="FLM1" s="42"/>
      <c r="FLN1" s="42"/>
      <c r="FLO1" s="42"/>
      <c r="FLP1" s="42"/>
      <c r="FLQ1" s="42"/>
      <c r="FLR1" s="42"/>
      <c r="FLS1" s="42"/>
      <c r="FLT1" s="42"/>
      <c r="FLU1" s="42"/>
      <c r="FLV1" s="42"/>
      <c r="FLW1" s="42"/>
      <c r="FLX1" s="42"/>
      <c r="FLY1" s="42"/>
      <c r="FLZ1" s="42"/>
      <c r="FMA1" s="42"/>
      <c r="FMB1" s="42"/>
      <c r="FMC1" s="42"/>
      <c r="FMD1" s="42"/>
      <c r="FME1" s="42"/>
      <c r="FMF1" s="42"/>
      <c r="FMG1" s="42"/>
      <c r="FMH1" s="42"/>
      <c r="FMI1" s="42"/>
      <c r="FMJ1" s="42"/>
      <c r="FMK1" s="42"/>
      <c r="FML1" s="42"/>
      <c r="FMM1" s="42"/>
      <c r="FMN1" s="42"/>
      <c r="FMO1" s="42"/>
      <c r="FMP1" s="42"/>
      <c r="FMQ1" s="42"/>
      <c r="FMR1" s="42"/>
      <c r="FMS1" s="42"/>
      <c r="FMT1" s="42"/>
      <c r="FMU1" s="42"/>
      <c r="FMV1" s="42"/>
      <c r="FMW1" s="42"/>
      <c r="FMX1" s="42"/>
      <c r="FMY1" s="42"/>
      <c r="FMZ1" s="42"/>
      <c r="FNA1" s="42"/>
      <c r="FNB1" s="42"/>
      <c r="FNC1" s="42"/>
      <c r="FND1" s="42"/>
      <c r="FNE1" s="42"/>
      <c r="FNF1" s="42"/>
      <c r="FNG1" s="42"/>
      <c r="FNH1" s="42"/>
      <c r="FNI1" s="42"/>
      <c r="FNJ1" s="42"/>
      <c r="FNK1" s="42"/>
      <c r="FNL1" s="42"/>
      <c r="FNM1" s="42"/>
      <c r="FNN1" s="42"/>
      <c r="FNO1" s="42"/>
      <c r="FNP1" s="42"/>
      <c r="FNQ1" s="42"/>
      <c r="FNR1" s="42"/>
      <c r="FNS1" s="42"/>
      <c r="FNT1" s="42"/>
      <c r="FNU1" s="42"/>
      <c r="FNV1" s="42"/>
      <c r="FNW1" s="42"/>
      <c r="FNX1" s="42"/>
      <c r="FNY1" s="42"/>
      <c r="FNZ1" s="42"/>
      <c r="FOA1" s="42"/>
      <c r="FOB1" s="42"/>
      <c r="FOC1" s="42"/>
      <c r="FOD1" s="42"/>
      <c r="FOE1" s="42"/>
      <c r="FOF1" s="42"/>
      <c r="FOG1" s="42"/>
      <c r="FOH1" s="42"/>
      <c r="FOI1" s="42"/>
      <c r="FOJ1" s="42"/>
      <c r="FOK1" s="42"/>
      <c r="FOL1" s="42"/>
      <c r="FOM1" s="42"/>
      <c r="FON1" s="42"/>
      <c r="FOO1" s="42"/>
      <c r="FOP1" s="42"/>
      <c r="FOQ1" s="42"/>
      <c r="FOR1" s="42"/>
      <c r="FOS1" s="42"/>
      <c r="FOT1" s="42"/>
      <c r="FOU1" s="42"/>
      <c r="FOV1" s="42"/>
      <c r="FOW1" s="42"/>
      <c r="FOX1" s="42"/>
      <c r="FOY1" s="42"/>
      <c r="FOZ1" s="42"/>
      <c r="FPA1" s="42"/>
      <c r="FPB1" s="42"/>
      <c r="FPC1" s="42"/>
      <c r="FPD1" s="42"/>
      <c r="FPE1" s="42"/>
      <c r="FPF1" s="42"/>
      <c r="FPG1" s="42"/>
      <c r="FPH1" s="42"/>
      <c r="FPI1" s="42"/>
      <c r="FPJ1" s="42"/>
      <c r="FPK1" s="42"/>
      <c r="FPL1" s="42"/>
      <c r="FPM1" s="42"/>
      <c r="FPN1" s="42"/>
      <c r="FPO1" s="42"/>
      <c r="FPP1" s="42"/>
      <c r="FPQ1" s="42"/>
      <c r="FPR1" s="42"/>
      <c r="FPS1" s="42"/>
      <c r="FPT1" s="42"/>
      <c r="FPU1" s="42"/>
      <c r="FPV1" s="42"/>
      <c r="FPW1" s="42"/>
      <c r="FPX1" s="42"/>
      <c r="FPY1" s="42"/>
      <c r="FPZ1" s="42"/>
      <c r="FQA1" s="42"/>
      <c r="FQB1" s="42"/>
      <c r="FQC1" s="42"/>
      <c r="FQD1" s="42"/>
      <c r="FQE1" s="42"/>
      <c r="FQF1" s="42"/>
      <c r="FQG1" s="42"/>
      <c r="FQH1" s="42"/>
      <c r="FQI1" s="42"/>
      <c r="FQJ1" s="42"/>
      <c r="FQK1" s="42"/>
      <c r="FQL1" s="42"/>
      <c r="FQM1" s="42"/>
      <c r="FQN1" s="42"/>
      <c r="FQO1" s="42"/>
      <c r="FQP1" s="42"/>
      <c r="FQQ1" s="42"/>
      <c r="FQR1" s="42"/>
      <c r="FQS1" s="42"/>
      <c r="FQT1" s="42"/>
      <c r="FQU1" s="42"/>
      <c r="FQV1" s="42"/>
      <c r="FQW1" s="42"/>
      <c r="FQX1" s="42"/>
      <c r="FQY1" s="42"/>
      <c r="FQZ1" s="42"/>
      <c r="FRA1" s="42"/>
      <c r="FRB1" s="42"/>
      <c r="FRC1" s="42"/>
      <c r="FRD1" s="42"/>
      <c r="FRE1" s="42"/>
      <c r="FRF1" s="42"/>
      <c r="FRG1" s="42"/>
      <c r="FRH1" s="42"/>
      <c r="FRI1" s="42"/>
      <c r="FRJ1" s="42"/>
      <c r="FRK1" s="42"/>
      <c r="FRL1" s="42"/>
      <c r="FRM1" s="42"/>
      <c r="FRN1" s="42"/>
      <c r="FRO1" s="42"/>
      <c r="FRP1" s="42"/>
      <c r="FRQ1" s="42"/>
      <c r="FRR1" s="42"/>
      <c r="FRS1" s="42"/>
      <c r="FRT1" s="42"/>
      <c r="FRU1" s="42"/>
      <c r="FRV1" s="42"/>
      <c r="FRW1" s="42"/>
      <c r="FRX1" s="42"/>
      <c r="FRY1" s="42"/>
      <c r="FRZ1" s="42"/>
      <c r="FSA1" s="42"/>
      <c r="FSB1" s="42"/>
      <c r="FSC1" s="42"/>
      <c r="FSD1" s="42"/>
      <c r="FSE1" s="42"/>
      <c r="FSF1" s="42"/>
      <c r="FSG1" s="42"/>
      <c r="FSH1" s="42"/>
      <c r="FSI1" s="42"/>
      <c r="FSJ1" s="42"/>
      <c r="FSK1" s="42"/>
      <c r="FSL1" s="42"/>
      <c r="FSM1" s="42"/>
      <c r="FSN1" s="42"/>
      <c r="FSO1" s="42"/>
      <c r="FSP1" s="42"/>
      <c r="FSQ1" s="42"/>
      <c r="FSR1" s="42"/>
      <c r="FSS1" s="42"/>
      <c r="FST1" s="42"/>
      <c r="FSU1" s="42"/>
      <c r="FSV1" s="42"/>
      <c r="FSW1" s="42"/>
      <c r="FSX1" s="42"/>
      <c r="FSY1" s="42"/>
      <c r="FSZ1" s="42"/>
      <c r="FTA1" s="42"/>
      <c r="FTB1" s="42"/>
      <c r="FTC1" s="42"/>
      <c r="FTD1" s="42"/>
      <c r="FTE1" s="42"/>
      <c r="FTF1" s="42"/>
      <c r="FTG1" s="42"/>
      <c r="FTH1" s="42"/>
      <c r="FTI1" s="42"/>
      <c r="FTJ1" s="42"/>
      <c r="FTK1" s="42"/>
      <c r="FTL1" s="42"/>
      <c r="FTM1" s="42"/>
      <c r="FTN1" s="42"/>
      <c r="FTO1" s="42"/>
      <c r="FTP1" s="42"/>
      <c r="FTQ1" s="42"/>
      <c r="FTR1" s="42"/>
      <c r="FTS1" s="42"/>
      <c r="FTT1" s="42"/>
      <c r="FTU1" s="42"/>
      <c r="FTV1" s="42"/>
      <c r="FTW1" s="42"/>
      <c r="FTX1" s="42"/>
      <c r="FTY1" s="42"/>
      <c r="FTZ1" s="42"/>
      <c r="FUA1" s="42"/>
      <c r="FUB1" s="42"/>
      <c r="FUC1" s="42"/>
      <c r="FUD1" s="42"/>
      <c r="FUE1" s="42"/>
      <c r="FUF1" s="42"/>
      <c r="FUG1" s="42"/>
      <c r="FUH1" s="42"/>
      <c r="FUI1" s="42"/>
      <c r="FUJ1" s="42"/>
      <c r="FUK1" s="42"/>
      <c r="FUL1" s="42"/>
      <c r="FUM1" s="42"/>
      <c r="FUN1" s="42"/>
      <c r="FUO1" s="42"/>
      <c r="FUP1" s="42"/>
      <c r="FUQ1" s="42"/>
      <c r="FUR1" s="42"/>
      <c r="FUS1" s="42"/>
      <c r="FUT1" s="42"/>
      <c r="FUU1" s="42"/>
      <c r="FUV1" s="42"/>
      <c r="FUW1" s="42"/>
      <c r="FUX1" s="42"/>
      <c r="FUY1" s="42"/>
      <c r="FUZ1" s="42"/>
      <c r="FVA1" s="42"/>
      <c r="FVB1" s="42"/>
      <c r="FVC1" s="42"/>
      <c r="FVD1" s="42"/>
      <c r="FVE1" s="42"/>
      <c r="FVF1" s="42"/>
      <c r="FVG1" s="42"/>
      <c r="FVH1" s="42"/>
      <c r="FVI1" s="42"/>
      <c r="FVJ1" s="42"/>
      <c r="FVK1" s="42"/>
      <c r="FVL1" s="42"/>
      <c r="FVM1" s="42"/>
      <c r="FVN1" s="42"/>
      <c r="FVO1" s="42"/>
      <c r="FVP1" s="42"/>
      <c r="FVQ1" s="42"/>
      <c r="FVR1" s="42"/>
      <c r="FVS1" s="42"/>
      <c r="FVT1" s="42"/>
      <c r="FVU1" s="42"/>
      <c r="FVV1" s="42"/>
      <c r="FVW1" s="42"/>
      <c r="FVX1" s="42"/>
      <c r="FVY1" s="42"/>
      <c r="FVZ1" s="42"/>
      <c r="FWA1" s="42"/>
      <c r="FWB1" s="42"/>
      <c r="FWC1" s="42"/>
      <c r="FWD1" s="42"/>
      <c r="FWE1" s="42"/>
      <c r="FWF1" s="42"/>
      <c r="FWG1" s="42"/>
      <c r="FWH1" s="42"/>
      <c r="FWI1" s="42"/>
      <c r="FWJ1" s="42"/>
      <c r="FWK1" s="42"/>
      <c r="FWL1" s="42"/>
      <c r="FWM1" s="42"/>
      <c r="FWN1" s="42"/>
      <c r="FWO1" s="42"/>
      <c r="FWP1" s="42"/>
      <c r="FWQ1" s="42"/>
      <c r="FWR1" s="42"/>
      <c r="FWS1" s="42"/>
      <c r="FWT1" s="42"/>
      <c r="FWU1" s="42"/>
      <c r="FWV1" s="42"/>
      <c r="FWW1" s="42"/>
      <c r="FWX1" s="42"/>
      <c r="FWY1" s="42"/>
      <c r="FWZ1" s="42"/>
      <c r="FXA1" s="42"/>
      <c r="FXB1" s="42"/>
      <c r="FXC1" s="42"/>
      <c r="FXD1" s="42"/>
      <c r="FXE1" s="42"/>
      <c r="FXF1" s="42"/>
      <c r="FXG1" s="42"/>
      <c r="FXH1" s="42"/>
      <c r="FXI1" s="42"/>
      <c r="FXJ1" s="42"/>
      <c r="FXK1" s="42"/>
      <c r="FXL1" s="42"/>
      <c r="FXM1" s="42"/>
      <c r="FXN1" s="42"/>
      <c r="FXO1" s="42"/>
      <c r="FXP1" s="42"/>
      <c r="FXQ1" s="42"/>
      <c r="FXR1" s="42"/>
      <c r="FXS1" s="42"/>
      <c r="FXT1" s="42"/>
      <c r="FXU1" s="42"/>
      <c r="FXV1" s="42"/>
      <c r="FXW1" s="42"/>
      <c r="FXX1" s="42"/>
      <c r="FXY1" s="42"/>
      <c r="FXZ1" s="42"/>
      <c r="FYA1" s="42"/>
      <c r="FYB1" s="42"/>
      <c r="FYC1" s="42"/>
      <c r="FYD1" s="42"/>
      <c r="FYE1" s="42"/>
      <c r="FYF1" s="42"/>
      <c r="FYG1" s="42"/>
      <c r="FYH1" s="42"/>
      <c r="FYI1" s="42"/>
      <c r="FYJ1" s="42"/>
      <c r="FYK1" s="42"/>
      <c r="FYL1" s="42"/>
      <c r="FYM1" s="42"/>
      <c r="FYN1" s="42"/>
      <c r="FYO1" s="42"/>
      <c r="FYP1" s="42"/>
      <c r="FYQ1" s="42"/>
      <c r="FYR1" s="42"/>
      <c r="FYS1" s="42"/>
      <c r="FYT1" s="42"/>
      <c r="FYU1" s="42"/>
      <c r="FYV1" s="42"/>
      <c r="FYW1" s="42"/>
      <c r="FYX1" s="42"/>
      <c r="FYY1" s="42"/>
      <c r="FYZ1" s="42"/>
      <c r="FZA1" s="42"/>
      <c r="FZB1" s="42"/>
      <c r="FZC1" s="42"/>
      <c r="FZD1" s="42"/>
      <c r="FZE1" s="42"/>
      <c r="FZF1" s="42"/>
      <c r="FZG1" s="42"/>
      <c r="FZH1" s="42"/>
      <c r="FZI1" s="42"/>
      <c r="FZJ1" s="42"/>
      <c r="FZK1" s="42"/>
      <c r="FZL1" s="42"/>
      <c r="FZM1" s="42"/>
      <c r="FZN1" s="42"/>
      <c r="FZO1" s="42"/>
      <c r="FZP1" s="42"/>
      <c r="FZQ1" s="42"/>
      <c r="FZR1" s="42"/>
      <c r="FZS1" s="42"/>
      <c r="FZT1" s="42"/>
      <c r="FZU1" s="42"/>
      <c r="FZV1" s="42"/>
      <c r="FZW1" s="42"/>
      <c r="FZX1" s="42"/>
      <c r="FZY1" s="42"/>
      <c r="FZZ1" s="42"/>
      <c r="GAA1" s="42"/>
      <c r="GAB1" s="42"/>
      <c r="GAC1" s="42"/>
      <c r="GAD1" s="42"/>
      <c r="GAE1" s="42"/>
      <c r="GAF1" s="42"/>
      <c r="GAG1" s="42"/>
      <c r="GAH1" s="42"/>
      <c r="GAI1" s="42"/>
      <c r="GAJ1" s="42"/>
      <c r="GAK1" s="42"/>
      <c r="GAL1" s="42"/>
      <c r="GAM1" s="42"/>
      <c r="GAN1" s="42"/>
      <c r="GAO1" s="42"/>
      <c r="GAP1" s="42"/>
      <c r="GAQ1" s="42"/>
      <c r="GAR1" s="42"/>
      <c r="GAS1" s="42"/>
      <c r="GAT1" s="42"/>
      <c r="GAU1" s="42"/>
      <c r="GAV1" s="42"/>
      <c r="GAW1" s="42"/>
      <c r="GAX1" s="42"/>
      <c r="GAY1" s="42"/>
      <c r="GAZ1" s="42"/>
      <c r="GBA1" s="42"/>
      <c r="GBB1" s="42"/>
      <c r="GBC1" s="42"/>
      <c r="GBD1" s="42"/>
      <c r="GBE1" s="42"/>
      <c r="GBF1" s="42"/>
      <c r="GBG1" s="42"/>
      <c r="GBH1" s="42"/>
      <c r="GBI1" s="42"/>
      <c r="GBJ1" s="42"/>
      <c r="GBK1" s="42"/>
      <c r="GBL1" s="42"/>
      <c r="GBM1" s="42"/>
      <c r="GBN1" s="42"/>
      <c r="GBO1" s="42"/>
      <c r="GBP1" s="42"/>
      <c r="GBQ1" s="42"/>
      <c r="GBR1" s="42"/>
      <c r="GBS1" s="42"/>
      <c r="GBT1" s="42"/>
      <c r="GBU1" s="42"/>
      <c r="GBV1" s="42"/>
      <c r="GBW1" s="42"/>
      <c r="GBX1" s="42"/>
      <c r="GBY1" s="42"/>
      <c r="GBZ1" s="42"/>
      <c r="GCA1" s="42"/>
      <c r="GCB1" s="42"/>
      <c r="GCC1" s="42"/>
      <c r="GCD1" s="42"/>
      <c r="GCE1" s="42"/>
      <c r="GCF1" s="42"/>
      <c r="GCG1" s="42"/>
      <c r="GCH1" s="42"/>
      <c r="GCI1" s="42"/>
      <c r="GCJ1" s="42"/>
      <c r="GCK1" s="42"/>
      <c r="GCL1" s="42"/>
      <c r="GCM1" s="42"/>
      <c r="GCN1" s="42"/>
      <c r="GCO1" s="42"/>
      <c r="GCP1" s="42"/>
      <c r="GCQ1" s="42"/>
      <c r="GCR1" s="42"/>
      <c r="GCS1" s="42"/>
      <c r="GCT1" s="42"/>
      <c r="GCU1" s="42"/>
      <c r="GCV1" s="42"/>
      <c r="GCW1" s="42"/>
      <c r="GCX1" s="42"/>
      <c r="GCY1" s="42"/>
      <c r="GCZ1" s="42"/>
      <c r="GDA1" s="42"/>
      <c r="GDB1" s="42"/>
      <c r="GDC1" s="42"/>
      <c r="GDD1" s="42"/>
      <c r="GDE1" s="42"/>
      <c r="GDF1" s="42"/>
      <c r="GDG1" s="42"/>
      <c r="GDH1" s="42"/>
      <c r="GDI1" s="42"/>
      <c r="GDJ1" s="42"/>
      <c r="GDK1" s="42"/>
      <c r="GDL1" s="42"/>
      <c r="GDM1" s="42"/>
      <c r="GDN1" s="42"/>
      <c r="GDO1" s="42"/>
      <c r="GDP1" s="42"/>
      <c r="GDQ1" s="42"/>
      <c r="GDR1" s="42"/>
      <c r="GDS1" s="42"/>
      <c r="GDT1" s="42"/>
      <c r="GDU1" s="42"/>
      <c r="GDV1" s="42"/>
      <c r="GDW1" s="42"/>
      <c r="GDX1" s="42"/>
      <c r="GDY1" s="42"/>
      <c r="GDZ1" s="42"/>
      <c r="GEA1" s="42"/>
      <c r="GEB1" s="42"/>
      <c r="GEC1" s="42"/>
      <c r="GED1" s="42"/>
      <c r="GEE1" s="42"/>
      <c r="GEF1" s="42"/>
      <c r="GEG1" s="42"/>
      <c r="GEH1" s="42"/>
      <c r="GEI1" s="42"/>
      <c r="GEJ1" s="42"/>
      <c r="GEK1" s="42"/>
      <c r="GEL1" s="42"/>
      <c r="GEM1" s="42"/>
      <c r="GEN1" s="42"/>
      <c r="GEO1" s="42"/>
      <c r="GEP1" s="42"/>
      <c r="GEQ1" s="42"/>
      <c r="GER1" s="42"/>
      <c r="GES1" s="42"/>
      <c r="GET1" s="42"/>
      <c r="GEU1" s="42"/>
      <c r="GEV1" s="42"/>
      <c r="GEW1" s="42"/>
      <c r="GEX1" s="42"/>
      <c r="GEY1" s="42"/>
      <c r="GEZ1" s="42"/>
      <c r="GFA1" s="42"/>
      <c r="GFB1" s="42"/>
      <c r="GFC1" s="42"/>
      <c r="GFD1" s="42"/>
      <c r="GFE1" s="42"/>
      <c r="GFF1" s="42"/>
      <c r="GFG1" s="42"/>
      <c r="GFH1" s="42"/>
      <c r="GFI1" s="42"/>
      <c r="GFJ1" s="42"/>
      <c r="GFK1" s="42"/>
      <c r="GFL1" s="42"/>
      <c r="GFM1" s="42"/>
      <c r="GFN1" s="42"/>
      <c r="GFO1" s="42"/>
      <c r="GFP1" s="42"/>
      <c r="GFQ1" s="42"/>
      <c r="GFR1" s="42"/>
      <c r="GFS1" s="42"/>
      <c r="GFT1" s="42"/>
      <c r="GFU1" s="42"/>
      <c r="GFV1" s="42"/>
      <c r="GFW1" s="42"/>
      <c r="GFX1" s="42"/>
      <c r="GFY1" s="42"/>
      <c r="GFZ1" s="42"/>
      <c r="GGA1" s="42"/>
      <c r="GGB1" s="42"/>
      <c r="GGC1" s="42"/>
      <c r="GGD1" s="42"/>
      <c r="GGE1" s="42"/>
      <c r="GGF1" s="42"/>
      <c r="GGG1" s="42"/>
      <c r="GGH1" s="42"/>
      <c r="GGI1" s="42"/>
      <c r="GGJ1" s="42"/>
      <c r="GGK1" s="42"/>
      <c r="GGL1" s="42"/>
      <c r="GGM1" s="42"/>
      <c r="GGN1" s="42"/>
      <c r="GGO1" s="42"/>
      <c r="GGP1" s="42"/>
      <c r="GGQ1" s="42"/>
      <c r="GGR1" s="42"/>
      <c r="GGS1" s="42"/>
      <c r="GGT1" s="42"/>
      <c r="GGU1" s="42"/>
      <c r="GGV1" s="42"/>
      <c r="GGW1" s="42"/>
      <c r="GGX1" s="42"/>
      <c r="GGY1" s="42"/>
      <c r="GGZ1" s="42"/>
      <c r="GHA1" s="42"/>
      <c r="GHB1" s="42"/>
      <c r="GHC1" s="42"/>
      <c r="GHD1" s="42"/>
      <c r="GHE1" s="42"/>
      <c r="GHF1" s="42"/>
      <c r="GHG1" s="42"/>
      <c r="GHH1" s="42"/>
      <c r="GHI1" s="42"/>
      <c r="GHJ1" s="42"/>
      <c r="GHK1" s="42"/>
      <c r="GHL1" s="42"/>
      <c r="GHM1" s="42"/>
      <c r="GHN1" s="42"/>
      <c r="GHO1" s="42"/>
      <c r="GHP1" s="42"/>
      <c r="GHQ1" s="42"/>
      <c r="GHR1" s="42"/>
      <c r="GHS1" s="42"/>
      <c r="GHT1" s="42"/>
      <c r="GHU1" s="42"/>
      <c r="GHV1" s="42"/>
      <c r="GHW1" s="42"/>
      <c r="GHX1" s="42"/>
      <c r="GHY1" s="42"/>
      <c r="GHZ1" s="42"/>
      <c r="GIA1" s="42"/>
      <c r="GIB1" s="42"/>
      <c r="GIC1" s="42"/>
      <c r="GID1" s="42"/>
      <c r="GIE1" s="42"/>
      <c r="GIF1" s="42"/>
      <c r="GIG1" s="42"/>
      <c r="GIH1" s="42"/>
      <c r="GII1" s="42"/>
      <c r="GIJ1" s="42"/>
      <c r="GIK1" s="42"/>
      <c r="GIL1" s="42"/>
      <c r="GIM1" s="42"/>
      <c r="GIN1" s="42"/>
      <c r="GIO1" s="42"/>
      <c r="GIP1" s="42"/>
      <c r="GIQ1" s="42"/>
      <c r="GIR1" s="42"/>
      <c r="GIS1" s="42"/>
      <c r="GIT1" s="42"/>
      <c r="GIU1" s="42"/>
      <c r="GIV1" s="42"/>
      <c r="GIW1" s="42"/>
      <c r="GIX1" s="42"/>
      <c r="GIY1" s="42"/>
      <c r="GIZ1" s="42"/>
      <c r="GJA1" s="42"/>
      <c r="GJB1" s="42"/>
      <c r="GJC1" s="42"/>
      <c r="GJD1" s="42"/>
      <c r="GJE1" s="42"/>
      <c r="GJF1" s="42"/>
      <c r="GJG1" s="42"/>
      <c r="GJH1" s="42"/>
      <c r="GJI1" s="42"/>
      <c r="GJJ1" s="42"/>
      <c r="GJK1" s="42"/>
      <c r="GJL1" s="42"/>
      <c r="GJM1" s="42"/>
      <c r="GJN1" s="42"/>
      <c r="GJO1" s="42"/>
      <c r="GJP1" s="42"/>
      <c r="GJQ1" s="42"/>
      <c r="GJR1" s="42"/>
      <c r="GJS1" s="42"/>
      <c r="GJT1" s="42"/>
      <c r="GJU1" s="42"/>
      <c r="GJV1" s="42"/>
      <c r="GJW1" s="42"/>
      <c r="GJX1" s="42"/>
      <c r="GJY1" s="42"/>
      <c r="GJZ1" s="42"/>
      <c r="GKA1" s="42"/>
      <c r="GKB1" s="42"/>
      <c r="GKC1" s="42"/>
      <c r="GKD1" s="42"/>
      <c r="GKE1" s="42"/>
      <c r="GKF1" s="42"/>
      <c r="GKG1" s="42"/>
      <c r="GKH1" s="42"/>
      <c r="GKI1" s="42"/>
      <c r="GKJ1" s="42"/>
      <c r="GKK1" s="42"/>
      <c r="GKL1" s="42"/>
      <c r="GKM1" s="42"/>
      <c r="GKN1" s="42"/>
      <c r="GKO1" s="42"/>
      <c r="GKP1" s="42"/>
      <c r="GKQ1" s="42"/>
      <c r="GKR1" s="42"/>
      <c r="GKS1" s="42"/>
      <c r="GKT1" s="42"/>
      <c r="GKU1" s="42"/>
      <c r="GKV1" s="42"/>
      <c r="GKW1" s="42"/>
      <c r="GKX1" s="42"/>
      <c r="GKY1" s="42"/>
      <c r="GKZ1" s="42"/>
      <c r="GLA1" s="42"/>
      <c r="GLB1" s="42"/>
      <c r="GLC1" s="42"/>
      <c r="GLD1" s="42"/>
      <c r="GLE1" s="42"/>
      <c r="GLF1" s="42"/>
      <c r="GLG1" s="42"/>
      <c r="GLH1" s="42"/>
      <c r="GLI1" s="42"/>
      <c r="GLJ1" s="42"/>
      <c r="GLK1" s="42"/>
      <c r="GLL1" s="42"/>
      <c r="GLM1" s="42"/>
      <c r="GLN1" s="42"/>
      <c r="GLO1" s="42"/>
      <c r="GLP1" s="42"/>
      <c r="GLQ1" s="42"/>
      <c r="GLR1" s="42"/>
      <c r="GLS1" s="42"/>
      <c r="GLT1" s="42"/>
      <c r="GLU1" s="42"/>
      <c r="GLV1" s="42"/>
      <c r="GLW1" s="42"/>
      <c r="GLX1" s="42"/>
      <c r="GLY1" s="42"/>
      <c r="GLZ1" s="42"/>
      <c r="GMA1" s="42"/>
      <c r="GMB1" s="42"/>
      <c r="GMC1" s="42"/>
      <c r="GMD1" s="42"/>
      <c r="GME1" s="42"/>
      <c r="GMF1" s="42"/>
      <c r="GMG1" s="42"/>
      <c r="GMH1" s="42"/>
      <c r="GMI1" s="42"/>
      <c r="GMJ1" s="42"/>
      <c r="GMK1" s="42"/>
      <c r="GML1" s="42"/>
      <c r="GMM1" s="42"/>
      <c r="GMN1" s="42"/>
      <c r="GMO1" s="42"/>
      <c r="GMP1" s="42"/>
      <c r="GMQ1" s="42"/>
      <c r="GMR1" s="42"/>
      <c r="GMS1" s="42"/>
      <c r="GMT1" s="42"/>
      <c r="GMU1" s="42"/>
      <c r="GMV1" s="42"/>
      <c r="GMW1" s="42"/>
      <c r="GMX1" s="42"/>
      <c r="GMY1" s="42"/>
      <c r="GMZ1" s="42"/>
      <c r="GNA1" s="42"/>
      <c r="GNB1" s="42"/>
      <c r="GNC1" s="42"/>
      <c r="GND1" s="42"/>
      <c r="GNE1" s="42"/>
      <c r="GNF1" s="42"/>
      <c r="GNG1" s="42"/>
      <c r="GNH1" s="42"/>
      <c r="GNI1" s="42"/>
      <c r="GNJ1" s="42"/>
      <c r="GNK1" s="42"/>
      <c r="GNL1" s="42"/>
      <c r="GNM1" s="42"/>
      <c r="GNN1" s="42"/>
      <c r="GNO1" s="42"/>
      <c r="GNP1" s="42"/>
      <c r="GNQ1" s="42"/>
      <c r="GNR1" s="42"/>
      <c r="GNS1" s="42"/>
      <c r="GNT1" s="42"/>
      <c r="GNU1" s="42"/>
      <c r="GNV1" s="42"/>
      <c r="GNW1" s="42"/>
      <c r="GNX1" s="42"/>
      <c r="GNY1" s="42"/>
      <c r="GNZ1" s="42"/>
      <c r="GOA1" s="42"/>
      <c r="GOB1" s="42"/>
      <c r="GOC1" s="42"/>
      <c r="GOD1" s="42"/>
      <c r="GOE1" s="42"/>
      <c r="GOF1" s="42"/>
      <c r="GOG1" s="42"/>
      <c r="GOH1" s="42"/>
      <c r="GOI1" s="42"/>
      <c r="GOJ1" s="42"/>
      <c r="GOK1" s="42"/>
      <c r="GOL1" s="42"/>
      <c r="GOM1" s="42"/>
      <c r="GON1" s="42"/>
      <c r="GOO1" s="42"/>
      <c r="GOP1" s="42"/>
      <c r="GOQ1" s="42"/>
      <c r="GOR1" s="42"/>
      <c r="GOS1" s="42"/>
      <c r="GOT1" s="42"/>
      <c r="GOU1" s="42"/>
      <c r="GOV1" s="42"/>
      <c r="GOW1" s="42"/>
      <c r="GOX1" s="42"/>
      <c r="GOY1" s="42"/>
      <c r="GOZ1" s="42"/>
      <c r="GPA1" s="42"/>
      <c r="GPB1" s="42"/>
      <c r="GPC1" s="42"/>
      <c r="GPD1" s="42"/>
      <c r="GPE1" s="42"/>
      <c r="GPF1" s="42"/>
      <c r="GPG1" s="42"/>
      <c r="GPH1" s="42"/>
      <c r="GPI1" s="42"/>
      <c r="GPJ1" s="42"/>
      <c r="GPK1" s="42"/>
      <c r="GPL1" s="42"/>
      <c r="GPM1" s="42"/>
      <c r="GPN1" s="42"/>
      <c r="GPO1" s="42"/>
      <c r="GPP1" s="42"/>
      <c r="GPQ1" s="42"/>
      <c r="GPR1" s="42"/>
      <c r="GPS1" s="42"/>
      <c r="GPT1" s="42"/>
      <c r="GPU1" s="42"/>
      <c r="GPV1" s="42"/>
      <c r="GPW1" s="42"/>
      <c r="GPX1" s="42"/>
      <c r="GPY1" s="42"/>
      <c r="GPZ1" s="42"/>
      <c r="GQA1" s="42"/>
      <c r="GQB1" s="42"/>
      <c r="GQC1" s="42"/>
      <c r="GQD1" s="42"/>
      <c r="GQE1" s="42"/>
      <c r="GQF1" s="42"/>
      <c r="GQG1" s="42"/>
      <c r="GQH1" s="42"/>
      <c r="GQI1" s="42"/>
      <c r="GQJ1" s="42"/>
      <c r="GQK1" s="42"/>
      <c r="GQL1" s="42"/>
      <c r="GQM1" s="42"/>
      <c r="GQN1" s="42"/>
      <c r="GQO1" s="42"/>
      <c r="GQP1" s="42"/>
      <c r="GQQ1" s="42"/>
      <c r="GQR1" s="42"/>
      <c r="GQS1" s="42"/>
      <c r="GQT1" s="42"/>
      <c r="GQU1" s="42"/>
      <c r="GQV1" s="42"/>
      <c r="GQW1" s="42"/>
      <c r="GQX1" s="42"/>
      <c r="GQY1" s="42"/>
      <c r="GQZ1" s="42"/>
      <c r="GRA1" s="42"/>
      <c r="GRB1" s="42"/>
      <c r="GRC1" s="42"/>
      <c r="GRD1" s="42"/>
      <c r="GRE1" s="42"/>
      <c r="GRF1" s="42"/>
      <c r="GRG1" s="42"/>
      <c r="GRH1" s="42"/>
      <c r="GRI1" s="42"/>
      <c r="GRJ1" s="42"/>
      <c r="GRK1" s="42"/>
      <c r="GRL1" s="42"/>
      <c r="GRM1" s="42"/>
      <c r="GRN1" s="42"/>
      <c r="GRO1" s="42"/>
      <c r="GRP1" s="42"/>
      <c r="GRQ1" s="42"/>
      <c r="GRR1" s="42"/>
      <c r="GRS1" s="42"/>
      <c r="GRT1" s="42"/>
      <c r="GRU1" s="42"/>
      <c r="GRV1" s="42"/>
      <c r="GRW1" s="42"/>
      <c r="GRX1" s="42"/>
      <c r="GRY1" s="42"/>
      <c r="GRZ1" s="42"/>
      <c r="GSA1" s="42"/>
      <c r="GSB1" s="42"/>
      <c r="GSC1" s="42"/>
      <c r="GSD1" s="42"/>
      <c r="GSE1" s="42"/>
      <c r="GSF1" s="42"/>
      <c r="GSG1" s="42"/>
      <c r="GSH1" s="42"/>
      <c r="GSI1" s="42"/>
      <c r="GSJ1" s="42"/>
      <c r="GSK1" s="42"/>
      <c r="GSL1" s="42"/>
      <c r="GSM1" s="42"/>
      <c r="GSN1" s="42"/>
      <c r="GSO1" s="42"/>
      <c r="GSP1" s="42"/>
      <c r="GSQ1" s="42"/>
      <c r="GSR1" s="42"/>
      <c r="GSS1" s="42"/>
      <c r="GST1" s="42"/>
      <c r="GSU1" s="42"/>
      <c r="GSV1" s="42"/>
      <c r="GSW1" s="42"/>
      <c r="GSX1" s="42"/>
      <c r="GSY1" s="42"/>
      <c r="GSZ1" s="42"/>
      <c r="GTA1" s="42"/>
      <c r="GTB1" s="42"/>
      <c r="GTC1" s="42"/>
      <c r="GTD1" s="42"/>
      <c r="GTE1" s="42"/>
      <c r="GTF1" s="42"/>
      <c r="GTG1" s="42"/>
      <c r="GTH1" s="42"/>
      <c r="GTI1" s="42"/>
      <c r="GTJ1" s="42"/>
      <c r="GTK1" s="42"/>
      <c r="GTL1" s="42"/>
      <c r="GTM1" s="42"/>
      <c r="GTN1" s="42"/>
      <c r="GTO1" s="42"/>
      <c r="GTP1" s="42"/>
      <c r="GTQ1" s="42"/>
      <c r="GTR1" s="42"/>
      <c r="GTS1" s="42"/>
      <c r="GTT1" s="42"/>
      <c r="GTU1" s="42"/>
      <c r="GTV1" s="42"/>
      <c r="GTW1" s="42"/>
      <c r="GTX1" s="42"/>
      <c r="GTY1" s="42"/>
      <c r="GTZ1" s="42"/>
      <c r="GUA1" s="42"/>
      <c r="GUB1" s="42"/>
      <c r="GUC1" s="42"/>
      <c r="GUD1" s="42"/>
      <c r="GUE1" s="42"/>
      <c r="GUF1" s="42"/>
      <c r="GUG1" s="42"/>
      <c r="GUH1" s="42"/>
      <c r="GUI1" s="42"/>
      <c r="GUJ1" s="42"/>
      <c r="GUK1" s="42"/>
      <c r="GUL1" s="42"/>
      <c r="GUM1" s="42"/>
      <c r="GUN1" s="42"/>
      <c r="GUO1" s="42"/>
      <c r="GUP1" s="42"/>
      <c r="GUQ1" s="42"/>
      <c r="GUR1" s="42"/>
      <c r="GUS1" s="42"/>
      <c r="GUT1" s="42"/>
      <c r="GUU1" s="42"/>
      <c r="GUV1" s="42"/>
      <c r="GUW1" s="42"/>
      <c r="GUX1" s="42"/>
      <c r="GUY1" s="42"/>
      <c r="GUZ1" s="42"/>
      <c r="GVA1" s="42"/>
      <c r="GVB1" s="42"/>
      <c r="GVC1" s="42"/>
      <c r="GVD1" s="42"/>
      <c r="GVE1" s="42"/>
      <c r="GVF1" s="42"/>
      <c r="GVG1" s="42"/>
      <c r="GVH1" s="42"/>
      <c r="GVI1" s="42"/>
      <c r="GVJ1" s="42"/>
      <c r="GVK1" s="42"/>
      <c r="GVL1" s="42"/>
      <c r="GVM1" s="42"/>
      <c r="GVN1" s="42"/>
      <c r="GVO1" s="42"/>
      <c r="GVP1" s="42"/>
      <c r="GVQ1" s="42"/>
      <c r="GVR1" s="42"/>
      <c r="GVS1" s="42"/>
      <c r="GVT1" s="42"/>
      <c r="GVU1" s="42"/>
      <c r="GVV1" s="42"/>
      <c r="GVW1" s="42"/>
      <c r="GVX1" s="42"/>
      <c r="GVY1" s="42"/>
      <c r="GVZ1" s="42"/>
      <c r="GWA1" s="42"/>
      <c r="GWB1" s="42"/>
      <c r="GWC1" s="42"/>
      <c r="GWD1" s="42"/>
      <c r="GWE1" s="42"/>
      <c r="GWF1" s="42"/>
      <c r="GWG1" s="42"/>
      <c r="GWH1" s="42"/>
      <c r="GWI1" s="42"/>
      <c r="GWJ1" s="42"/>
      <c r="GWK1" s="42"/>
      <c r="GWL1" s="42"/>
      <c r="GWM1" s="42"/>
      <c r="GWN1" s="42"/>
      <c r="GWO1" s="42"/>
      <c r="GWP1" s="42"/>
      <c r="GWQ1" s="42"/>
      <c r="GWR1" s="42"/>
      <c r="GWS1" s="42"/>
      <c r="GWT1" s="42"/>
      <c r="GWU1" s="42"/>
      <c r="GWV1" s="42"/>
      <c r="GWW1" s="42"/>
      <c r="GWX1" s="42"/>
      <c r="GWY1" s="42"/>
      <c r="GWZ1" s="42"/>
      <c r="GXA1" s="42"/>
      <c r="GXB1" s="42"/>
      <c r="GXC1" s="42"/>
      <c r="GXD1" s="42"/>
      <c r="GXE1" s="42"/>
      <c r="GXF1" s="42"/>
      <c r="GXG1" s="42"/>
      <c r="GXH1" s="42"/>
      <c r="GXI1" s="42"/>
      <c r="GXJ1" s="42"/>
      <c r="GXK1" s="42"/>
      <c r="GXL1" s="42"/>
      <c r="GXM1" s="42"/>
      <c r="GXN1" s="42"/>
      <c r="GXO1" s="42"/>
      <c r="GXP1" s="42"/>
      <c r="GXQ1" s="42"/>
      <c r="GXR1" s="42"/>
      <c r="GXS1" s="42"/>
      <c r="GXT1" s="42"/>
      <c r="GXU1" s="42"/>
      <c r="GXV1" s="42"/>
      <c r="GXW1" s="42"/>
      <c r="GXX1" s="42"/>
      <c r="GXY1" s="42"/>
      <c r="GXZ1" s="42"/>
      <c r="GYA1" s="42"/>
      <c r="GYB1" s="42"/>
      <c r="GYC1" s="42"/>
      <c r="GYD1" s="42"/>
      <c r="GYE1" s="42"/>
      <c r="GYF1" s="42"/>
      <c r="GYG1" s="42"/>
      <c r="GYH1" s="42"/>
      <c r="GYI1" s="42"/>
      <c r="GYJ1" s="42"/>
      <c r="GYK1" s="42"/>
      <c r="GYL1" s="42"/>
      <c r="GYM1" s="42"/>
      <c r="GYN1" s="42"/>
      <c r="GYO1" s="42"/>
      <c r="GYP1" s="42"/>
      <c r="GYQ1" s="42"/>
      <c r="GYR1" s="42"/>
      <c r="GYS1" s="42"/>
      <c r="GYT1" s="42"/>
      <c r="GYU1" s="42"/>
      <c r="GYV1" s="42"/>
      <c r="GYW1" s="42"/>
      <c r="GYX1" s="42"/>
      <c r="GYY1" s="42"/>
      <c r="GYZ1" s="42"/>
      <c r="GZA1" s="42"/>
      <c r="GZB1" s="42"/>
      <c r="GZC1" s="42"/>
      <c r="GZD1" s="42"/>
      <c r="GZE1" s="42"/>
      <c r="GZF1" s="42"/>
      <c r="GZG1" s="42"/>
      <c r="GZH1" s="42"/>
      <c r="GZI1" s="42"/>
      <c r="GZJ1" s="42"/>
      <c r="GZK1" s="42"/>
      <c r="GZL1" s="42"/>
      <c r="GZM1" s="42"/>
      <c r="GZN1" s="42"/>
      <c r="GZO1" s="42"/>
      <c r="GZP1" s="42"/>
      <c r="GZQ1" s="42"/>
      <c r="GZR1" s="42"/>
      <c r="GZS1" s="42"/>
      <c r="GZT1" s="42"/>
      <c r="GZU1" s="42"/>
      <c r="GZV1" s="42"/>
      <c r="GZW1" s="42"/>
      <c r="GZX1" s="42"/>
      <c r="GZY1" s="42"/>
      <c r="GZZ1" s="42"/>
      <c r="HAA1" s="42"/>
      <c r="HAB1" s="42"/>
      <c r="HAC1" s="42"/>
      <c r="HAD1" s="42"/>
      <c r="HAE1" s="42"/>
      <c r="HAF1" s="42"/>
      <c r="HAG1" s="42"/>
      <c r="HAH1" s="42"/>
      <c r="HAI1" s="42"/>
      <c r="HAJ1" s="42"/>
      <c r="HAK1" s="42"/>
      <c r="HAL1" s="42"/>
      <c r="HAM1" s="42"/>
      <c r="HAN1" s="42"/>
      <c r="HAO1" s="42"/>
      <c r="HAP1" s="42"/>
      <c r="HAQ1" s="42"/>
      <c r="HAR1" s="42"/>
      <c r="HAS1" s="42"/>
      <c r="HAT1" s="42"/>
      <c r="HAU1" s="42"/>
      <c r="HAV1" s="42"/>
      <c r="HAW1" s="42"/>
      <c r="HAX1" s="42"/>
      <c r="HAY1" s="42"/>
      <c r="HAZ1" s="42"/>
      <c r="HBA1" s="42"/>
      <c r="HBB1" s="42"/>
      <c r="HBC1" s="42"/>
      <c r="HBD1" s="42"/>
      <c r="HBE1" s="42"/>
      <c r="HBF1" s="42"/>
      <c r="HBG1" s="42"/>
      <c r="HBH1" s="42"/>
      <c r="HBI1" s="42"/>
      <c r="HBJ1" s="42"/>
      <c r="HBK1" s="42"/>
      <c r="HBL1" s="42"/>
      <c r="HBM1" s="42"/>
      <c r="HBN1" s="42"/>
      <c r="HBO1" s="42"/>
      <c r="HBP1" s="42"/>
      <c r="HBQ1" s="42"/>
      <c r="HBR1" s="42"/>
      <c r="HBS1" s="42"/>
      <c r="HBT1" s="42"/>
      <c r="HBU1" s="42"/>
      <c r="HBV1" s="42"/>
      <c r="HBW1" s="42"/>
      <c r="HBX1" s="42"/>
      <c r="HBY1" s="42"/>
      <c r="HBZ1" s="42"/>
      <c r="HCA1" s="42"/>
      <c r="HCB1" s="42"/>
      <c r="HCC1" s="42"/>
      <c r="HCD1" s="42"/>
      <c r="HCE1" s="42"/>
      <c r="HCF1" s="42"/>
      <c r="HCG1" s="42"/>
      <c r="HCH1" s="42"/>
      <c r="HCI1" s="42"/>
      <c r="HCJ1" s="42"/>
      <c r="HCK1" s="42"/>
      <c r="HCL1" s="42"/>
      <c r="HCM1" s="42"/>
      <c r="HCN1" s="42"/>
      <c r="HCO1" s="42"/>
      <c r="HCP1" s="42"/>
      <c r="HCQ1" s="42"/>
      <c r="HCR1" s="42"/>
      <c r="HCS1" s="42"/>
      <c r="HCT1" s="42"/>
      <c r="HCU1" s="42"/>
      <c r="HCV1" s="42"/>
      <c r="HCW1" s="42"/>
      <c r="HCX1" s="42"/>
      <c r="HCY1" s="42"/>
      <c r="HCZ1" s="42"/>
      <c r="HDA1" s="42"/>
      <c r="HDB1" s="42"/>
      <c r="HDC1" s="42"/>
      <c r="HDD1" s="42"/>
      <c r="HDE1" s="42"/>
      <c r="HDF1" s="42"/>
      <c r="HDG1" s="42"/>
      <c r="HDH1" s="42"/>
      <c r="HDI1" s="42"/>
      <c r="HDJ1" s="42"/>
      <c r="HDK1" s="42"/>
      <c r="HDL1" s="42"/>
      <c r="HDM1" s="42"/>
      <c r="HDN1" s="42"/>
      <c r="HDO1" s="42"/>
      <c r="HDP1" s="42"/>
      <c r="HDQ1" s="42"/>
      <c r="HDR1" s="42"/>
      <c r="HDS1" s="42"/>
      <c r="HDT1" s="42"/>
      <c r="HDU1" s="42"/>
      <c r="HDV1" s="42"/>
      <c r="HDW1" s="42"/>
      <c r="HDX1" s="42"/>
      <c r="HDY1" s="42"/>
      <c r="HDZ1" s="42"/>
      <c r="HEA1" s="42"/>
      <c r="HEB1" s="42"/>
      <c r="HEC1" s="42"/>
      <c r="HED1" s="42"/>
      <c r="HEE1" s="42"/>
      <c r="HEF1" s="42"/>
      <c r="HEG1" s="42"/>
      <c r="HEH1" s="42"/>
      <c r="HEI1" s="42"/>
      <c r="HEJ1" s="42"/>
      <c r="HEK1" s="42"/>
      <c r="HEL1" s="42"/>
      <c r="HEM1" s="42"/>
      <c r="HEN1" s="42"/>
      <c r="HEO1" s="42"/>
      <c r="HEP1" s="42"/>
      <c r="HEQ1" s="42"/>
      <c r="HER1" s="42"/>
      <c r="HES1" s="42"/>
      <c r="HET1" s="42"/>
      <c r="HEU1" s="42"/>
      <c r="HEV1" s="42"/>
      <c r="HEW1" s="42"/>
      <c r="HEX1" s="42"/>
      <c r="HEY1" s="42"/>
      <c r="HEZ1" s="42"/>
      <c r="HFA1" s="42"/>
      <c r="HFB1" s="42"/>
      <c r="HFC1" s="42"/>
      <c r="HFD1" s="42"/>
      <c r="HFE1" s="42"/>
      <c r="HFF1" s="42"/>
      <c r="HFG1" s="42"/>
      <c r="HFH1" s="42"/>
      <c r="HFI1" s="42"/>
      <c r="HFJ1" s="42"/>
      <c r="HFK1" s="42"/>
      <c r="HFL1" s="42"/>
      <c r="HFM1" s="42"/>
      <c r="HFN1" s="42"/>
      <c r="HFO1" s="42"/>
      <c r="HFP1" s="42"/>
      <c r="HFQ1" s="42"/>
      <c r="HFR1" s="42"/>
      <c r="HFS1" s="42"/>
      <c r="HFT1" s="42"/>
      <c r="HFU1" s="42"/>
      <c r="HFV1" s="42"/>
      <c r="HFW1" s="42"/>
      <c r="HFX1" s="42"/>
      <c r="HFY1" s="42"/>
      <c r="HFZ1" s="42"/>
      <c r="HGA1" s="42"/>
      <c r="HGB1" s="42"/>
      <c r="HGC1" s="42"/>
      <c r="HGD1" s="42"/>
      <c r="HGE1" s="42"/>
      <c r="HGF1" s="42"/>
      <c r="HGG1" s="42"/>
      <c r="HGH1" s="42"/>
      <c r="HGI1" s="42"/>
      <c r="HGJ1" s="42"/>
      <c r="HGK1" s="42"/>
      <c r="HGL1" s="42"/>
      <c r="HGM1" s="42"/>
      <c r="HGN1" s="42"/>
      <c r="HGO1" s="42"/>
      <c r="HGP1" s="42"/>
      <c r="HGQ1" s="42"/>
      <c r="HGR1" s="42"/>
      <c r="HGS1" s="42"/>
      <c r="HGT1" s="42"/>
      <c r="HGU1" s="42"/>
      <c r="HGV1" s="42"/>
      <c r="HGW1" s="42"/>
      <c r="HGX1" s="42"/>
      <c r="HGY1" s="42"/>
      <c r="HGZ1" s="42"/>
      <c r="HHA1" s="42"/>
      <c r="HHB1" s="42"/>
      <c r="HHC1" s="42"/>
      <c r="HHD1" s="42"/>
      <c r="HHE1" s="42"/>
      <c r="HHF1" s="42"/>
      <c r="HHG1" s="42"/>
      <c r="HHH1" s="42"/>
      <c r="HHI1" s="42"/>
      <c r="HHJ1" s="42"/>
      <c r="HHK1" s="42"/>
      <c r="HHL1" s="42"/>
      <c r="HHM1" s="42"/>
      <c r="HHN1" s="42"/>
      <c r="HHO1" s="42"/>
      <c r="HHP1" s="42"/>
      <c r="HHQ1" s="42"/>
      <c r="HHR1" s="42"/>
      <c r="HHS1" s="42"/>
      <c r="HHT1" s="42"/>
      <c r="HHU1" s="42"/>
      <c r="HHV1" s="42"/>
      <c r="HHW1" s="42"/>
      <c r="HHX1" s="42"/>
      <c r="HHY1" s="42"/>
      <c r="HHZ1" s="42"/>
      <c r="HIA1" s="42"/>
      <c r="HIB1" s="42"/>
      <c r="HIC1" s="42"/>
      <c r="HID1" s="42"/>
      <c r="HIE1" s="42"/>
      <c r="HIF1" s="42"/>
      <c r="HIG1" s="42"/>
      <c r="HIH1" s="42"/>
      <c r="HII1" s="42"/>
      <c r="HIJ1" s="42"/>
      <c r="HIK1" s="42"/>
      <c r="HIL1" s="42"/>
      <c r="HIM1" s="42"/>
      <c r="HIN1" s="42"/>
      <c r="HIO1" s="42"/>
      <c r="HIP1" s="42"/>
      <c r="HIQ1" s="42"/>
      <c r="HIR1" s="42"/>
      <c r="HIS1" s="42"/>
      <c r="HIT1" s="42"/>
      <c r="HIU1" s="42"/>
      <c r="HIV1" s="42"/>
      <c r="HIW1" s="42"/>
      <c r="HIX1" s="42"/>
      <c r="HIY1" s="42"/>
      <c r="HIZ1" s="42"/>
      <c r="HJA1" s="42"/>
      <c r="HJB1" s="42"/>
      <c r="HJC1" s="42"/>
      <c r="HJD1" s="42"/>
      <c r="HJE1" s="42"/>
      <c r="HJF1" s="42"/>
      <c r="HJG1" s="42"/>
      <c r="HJH1" s="42"/>
      <c r="HJI1" s="42"/>
      <c r="HJJ1" s="42"/>
      <c r="HJK1" s="42"/>
      <c r="HJL1" s="42"/>
      <c r="HJM1" s="42"/>
      <c r="HJN1" s="42"/>
      <c r="HJO1" s="42"/>
      <c r="HJP1" s="42"/>
      <c r="HJQ1" s="42"/>
      <c r="HJR1" s="42"/>
      <c r="HJS1" s="42"/>
      <c r="HJT1" s="42"/>
      <c r="HJU1" s="42"/>
      <c r="HJV1" s="42"/>
      <c r="HJW1" s="42"/>
      <c r="HJX1" s="42"/>
      <c r="HJY1" s="42"/>
      <c r="HJZ1" s="42"/>
      <c r="HKA1" s="42"/>
      <c r="HKB1" s="42"/>
      <c r="HKC1" s="42"/>
      <c r="HKD1" s="42"/>
      <c r="HKE1" s="42"/>
      <c r="HKF1" s="42"/>
      <c r="HKG1" s="42"/>
      <c r="HKH1" s="42"/>
      <c r="HKI1" s="42"/>
      <c r="HKJ1" s="42"/>
      <c r="HKK1" s="42"/>
      <c r="HKL1" s="42"/>
      <c r="HKM1" s="42"/>
      <c r="HKN1" s="42"/>
      <c r="HKO1" s="42"/>
      <c r="HKP1" s="42"/>
      <c r="HKQ1" s="42"/>
      <c r="HKR1" s="42"/>
      <c r="HKS1" s="42"/>
      <c r="HKT1" s="42"/>
      <c r="HKU1" s="42"/>
      <c r="HKV1" s="42"/>
      <c r="HKW1" s="42"/>
      <c r="HKX1" s="42"/>
      <c r="HKY1" s="42"/>
      <c r="HKZ1" s="42"/>
      <c r="HLA1" s="42"/>
      <c r="HLB1" s="42"/>
      <c r="HLC1" s="42"/>
      <c r="HLD1" s="42"/>
      <c r="HLE1" s="42"/>
      <c r="HLF1" s="42"/>
      <c r="HLG1" s="42"/>
      <c r="HLH1" s="42"/>
      <c r="HLI1" s="42"/>
      <c r="HLJ1" s="42"/>
      <c r="HLK1" s="42"/>
      <c r="HLL1" s="42"/>
      <c r="HLM1" s="42"/>
      <c r="HLN1" s="42"/>
      <c r="HLO1" s="42"/>
      <c r="HLP1" s="42"/>
      <c r="HLQ1" s="42"/>
      <c r="HLR1" s="42"/>
      <c r="HLS1" s="42"/>
      <c r="HLT1" s="42"/>
      <c r="HLU1" s="42"/>
      <c r="HLV1" s="42"/>
      <c r="HLW1" s="42"/>
      <c r="HLX1" s="42"/>
      <c r="HLY1" s="42"/>
      <c r="HLZ1" s="42"/>
      <c r="HMA1" s="42"/>
      <c r="HMB1" s="42"/>
      <c r="HMC1" s="42"/>
      <c r="HMD1" s="42"/>
      <c r="HME1" s="42"/>
      <c r="HMF1" s="42"/>
      <c r="HMG1" s="42"/>
      <c r="HMH1" s="42"/>
      <c r="HMI1" s="42"/>
      <c r="HMJ1" s="42"/>
      <c r="HMK1" s="42"/>
      <c r="HML1" s="42"/>
      <c r="HMM1" s="42"/>
      <c r="HMN1" s="42"/>
      <c r="HMO1" s="42"/>
      <c r="HMP1" s="42"/>
      <c r="HMQ1" s="42"/>
      <c r="HMR1" s="42"/>
      <c r="HMS1" s="42"/>
      <c r="HMT1" s="42"/>
      <c r="HMU1" s="42"/>
      <c r="HMV1" s="42"/>
      <c r="HMW1" s="42"/>
      <c r="HMX1" s="42"/>
      <c r="HMY1" s="42"/>
      <c r="HMZ1" s="42"/>
      <c r="HNA1" s="42"/>
      <c r="HNB1" s="42"/>
      <c r="HNC1" s="42"/>
      <c r="HND1" s="42"/>
      <c r="HNE1" s="42"/>
      <c r="HNF1" s="42"/>
      <c r="HNG1" s="42"/>
      <c r="HNH1" s="42"/>
      <c r="HNI1" s="42"/>
      <c r="HNJ1" s="42"/>
      <c r="HNK1" s="42"/>
      <c r="HNL1" s="42"/>
      <c r="HNM1" s="42"/>
      <c r="HNN1" s="42"/>
      <c r="HNO1" s="42"/>
      <c r="HNP1" s="42"/>
      <c r="HNQ1" s="42"/>
      <c r="HNR1" s="42"/>
      <c r="HNS1" s="42"/>
      <c r="HNT1" s="42"/>
      <c r="HNU1" s="42"/>
      <c r="HNV1" s="42"/>
      <c r="HNW1" s="42"/>
      <c r="HNX1" s="42"/>
      <c r="HNY1" s="42"/>
      <c r="HNZ1" s="42"/>
      <c r="HOA1" s="42"/>
      <c r="HOB1" s="42"/>
      <c r="HOC1" s="42"/>
      <c r="HOD1" s="42"/>
      <c r="HOE1" s="42"/>
      <c r="HOF1" s="42"/>
      <c r="HOG1" s="42"/>
      <c r="HOH1" s="42"/>
      <c r="HOI1" s="42"/>
      <c r="HOJ1" s="42"/>
      <c r="HOK1" s="42"/>
      <c r="HOL1" s="42"/>
      <c r="HOM1" s="42"/>
      <c r="HON1" s="42"/>
      <c r="HOO1" s="42"/>
      <c r="HOP1" s="42"/>
      <c r="HOQ1" s="42"/>
      <c r="HOR1" s="42"/>
      <c r="HOS1" s="42"/>
      <c r="HOT1" s="42"/>
      <c r="HOU1" s="42"/>
      <c r="HOV1" s="42"/>
      <c r="HOW1" s="42"/>
      <c r="HOX1" s="42"/>
      <c r="HOY1" s="42"/>
      <c r="HOZ1" s="42"/>
      <c r="HPA1" s="42"/>
      <c r="HPB1" s="42"/>
      <c r="HPC1" s="42"/>
      <c r="HPD1" s="42"/>
      <c r="HPE1" s="42"/>
      <c r="HPF1" s="42"/>
      <c r="HPG1" s="42"/>
      <c r="HPH1" s="42"/>
      <c r="HPI1" s="42"/>
      <c r="HPJ1" s="42"/>
      <c r="HPK1" s="42"/>
      <c r="HPL1" s="42"/>
      <c r="HPM1" s="42"/>
      <c r="HPN1" s="42"/>
      <c r="HPO1" s="42"/>
      <c r="HPP1" s="42"/>
      <c r="HPQ1" s="42"/>
      <c r="HPR1" s="42"/>
      <c r="HPS1" s="42"/>
      <c r="HPT1" s="42"/>
      <c r="HPU1" s="42"/>
      <c r="HPV1" s="42"/>
      <c r="HPW1" s="42"/>
      <c r="HPX1" s="42"/>
      <c r="HPY1" s="42"/>
      <c r="HPZ1" s="42"/>
      <c r="HQA1" s="42"/>
      <c r="HQB1" s="42"/>
      <c r="HQC1" s="42"/>
      <c r="HQD1" s="42"/>
      <c r="HQE1" s="42"/>
      <c r="HQF1" s="42"/>
      <c r="HQG1" s="42"/>
      <c r="HQH1" s="42"/>
      <c r="HQI1" s="42"/>
      <c r="HQJ1" s="42"/>
      <c r="HQK1" s="42"/>
      <c r="HQL1" s="42"/>
      <c r="HQM1" s="42"/>
      <c r="HQN1" s="42"/>
      <c r="HQO1" s="42"/>
      <c r="HQP1" s="42"/>
      <c r="HQQ1" s="42"/>
      <c r="HQR1" s="42"/>
      <c r="HQS1" s="42"/>
      <c r="HQT1" s="42"/>
      <c r="HQU1" s="42"/>
      <c r="HQV1" s="42"/>
      <c r="HQW1" s="42"/>
      <c r="HQX1" s="42"/>
      <c r="HQY1" s="42"/>
      <c r="HQZ1" s="42"/>
      <c r="HRA1" s="42"/>
      <c r="HRB1" s="42"/>
      <c r="HRC1" s="42"/>
      <c r="HRD1" s="42"/>
      <c r="HRE1" s="42"/>
      <c r="HRF1" s="42"/>
      <c r="HRG1" s="42"/>
      <c r="HRH1" s="42"/>
      <c r="HRI1" s="42"/>
      <c r="HRJ1" s="42"/>
      <c r="HRK1" s="42"/>
      <c r="HRL1" s="42"/>
      <c r="HRM1" s="42"/>
      <c r="HRN1" s="42"/>
      <c r="HRO1" s="42"/>
      <c r="HRP1" s="42"/>
      <c r="HRQ1" s="42"/>
      <c r="HRR1" s="42"/>
      <c r="HRS1" s="42"/>
      <c r="HRT1" s="42"/>
      <c r="HRU1" s="42"/>
      <c r="HRV1" s="42"/>
      <c r="HRW1" s="42"/>
      <c r="HRX1" s="42"/>
      <c r="HRY1" s="42"/>
      <c r="HRZ1" s="42"/>
      <c r="HSA1" s="42"/>
      <c r="HSB1" s="42"/>
      <c r="HSC1" s="42"/>
      <c r="HSD1" s="42"/>
      <c r="HSE1" s="42"/>
      <c r="HSF1" s="42"/>
      <c r="HSG1" s="42"/>
      <c r="HSH1" s="42"/>
      <c r="HSI1" s="42"/>
      <c r="HSJ1" s="42"/>
      <c r="HSK1" s="42"/>
      <c r="HSL1" s="42"/>
      <c r="HSM1" s="42"/>
      <c r="HSN1" s="42"/>
      <c r="HSO1" s="42"/>
      <c r="HSP1" s="42"/>
      <c r="HSQ1" s="42"/>
      <c r="HSR1" s="42"/>
      <c r="HSS1" s="42"/>
      <c r="HST1" s="42"/>
      <c r="HSU1" s="42"/>
      <c r="HSV1" s="42"/>
      <c r="HSW1" s="42"/>
      <c r="HSX1" s="42"/>
      <c r="HSY1" s="42"/>
      <c r="HSZ1" s="42"/>
      <c r="HTA1" s="42"/>
      <c r="HTB1" s="42"/>
      <c r="HTC1" s="42"/>
      <c r="HTD1" s="42"/>
      <c r="HTE1" s="42"/>
      <c r="HTF1" s="42"/>
      <c r="HTG1" s="42"/>
      <c r="HTH1" s="42"/>
      <c r="HTI1" s="42"/>
      <c r="HTJ1" s="42"/>
      <c r="HTK1" s="42"/>
      <c r="HTL1" s="42"/>
      <c r="HTM1" s="42"/>
      <c r="HTN1" s="42"/>
      <c r="HTO1" s="42"/>
      <c r="HTP1" s="42"/>
      <c r="HTQ1" s="42"/>
      <c r="HTR1" s="42"/>
      <c r="HTS1" s="42"/>
      <c r="HTT1" s="42"/>
      <c r="HTU1" s="42"/>
      <c r="HTV1" s="42"/>
      <c r="HTW1" s="42"/>
      <c r="HTX1" s="42"/>
      <c r="HTY1" s="42"/>
      <c r="HTZ1" s="42"/>
      <c r="HUA1" s="42"/>
      <c r="HUB1" s="42"/>
      <c r="HUC1" s="42"/>
      <c r="HUD1" s="42"/>
      <c r="HUE1" s="42"/>
      <c r="HUF1" s="42"/>
      <c r="HUG1" s="42"/>
      <c r="HUH1" s="42"/>
      <c r="HUI1" s="42"/>
      <c r="HUJ1" s="42"/>
      <c r="HUK1" s="42"/>
      <c r="HUL1" s="42"/>
      <c r="HUM1" s="42"/>
      <c r="HUN1" s="42"/>
      <c r="HUO1" s="42"/>
      <c r="HUP1" s="42"/>
      <c r="HUQ1" s="42"/>
      <c r="HUR1" s="42"/>
      <c r="HUS1" s="42"/>
      <c r="HUT1" s="42"/>
      <c r="HUU1" s="42"/>
      <c r="HUV1" s="42"/>
      <c r="HUW1" s="42"/>
      <c r="HUX1" s="42"/>
      <c r="HUY1" s="42"/>
      <c r="HUZ1" s="42"/>
      <c r="HVA1" s="42"/>
      <c r="HVB1" s="42"/>
      <c r="HVC1" s="42"/>
      <c r="HVD1" s="42"/>
      <c r="HVE1" s="42"/>
      <c r="HVF1" s="42"/>
      <c r="HVG1" s="42"/>
      <c r="HVH1" s="42"/>
      <c r="HVI1" s="42"/>
      <c r="HVJ1" s="42"/>
      <c r="HVK1" s="42"/>
      <c r="HVL1" s="42"/>
      <c r="HVM1" s="42"/>
      <c r="HVN1" s="42"/>
      <c r="HVO1" s="42"/>
      <c r="HVP1" s="42"/>
      <c r="HVQ1" s="42"/>
      <c r="HVR1" s="42"/>
      <c r="HVS1" s="42"/>
      <c r="HVT1" s="42"/>
      <c r="HVU1" s="42"/>
      <c r="HVV1" s="42"/>
      <c r="HVW1" s="42"/>
      <c r="HVX1" s="42"/>
      <c r="HVY1" s="42"/>
      <c r="HVZ1" s="42"/>
      <c r="HWA1" s="42"/>
      <c r="HWB1" s="42"/>
      <c r="HWC1" s="42"/>
      <c r="HWD1" s="42"/>
      <c r="HWE1" s="42"/>
      <c r="HWF1" s="42"/>
      <c r="HWG1" s="42"/>
      <c r="HWH1" s="42"/>
      <c r="HWI1" s="42"/>
      <c r="HWJ1" s="42"/>
      <c r="HWK1" s="42"/>
      <c r="HWL1" s="42"/>
      <c r="HWM1" s="42"/>
      <c r="HWN1" s="42"/>
      <c r="HWO1" s="42"/>
      <c r="HWP1" s="42"/>
      <c r="HWQ1" s="42"/>
      <c r="HWR1" s="42"/>
      <c r="HWS1" s="42"/>
      <c r="HWT1" s="42"/>
      <c r="HWU1" s="42"/>
      <c r="HWV1" s="42"/>
      <c r="HWW1" s="42"/>
      <c r="HWX1" s="42"/>
      <c r="HWY1" s="42"/>
      <c r="HWZ1" s="42"/>
      <c r="HXA1" s="42"/>
      <c r="HXB1" s="42"/>
      <c r="HXC1" s="42"/>
      <c r="HXD1" s="42"/>
      <c r="HXE1" s="42"/>
      <c r="HXF1" s="42"/>
      <c r="HXG1" s="42"/>
      <c r="HXH1" s="42"/>
      <c r="HXI1" s="42"/>
      <c r="HXJ1" s="42"/>
      <c r="HXK1" s="42"/>
      <c r="HXL1" s="42"/>
      <c r="HXM1" s="42"/>
      <c r="HXN1" s="42"/>
      <c r="HXO1" s="42"/>
      <c r="HXP1" s="42"/>
      <c r="HXQ1" s="42"/>
      <c r="HXR1" s="42"/>
      <c r="HXS1" s="42"/>
      <c r="HXT1" s="42"/>
      <c r="HXU1" s="42"/>
      <c r="HXV1" s="42"/>
      <c r="HXW1" s="42"/>
      <c r="HXX1" s="42"/>
      <c r="HXY1" s="42"/>
      <c r="HXZ1" s="42"/>
      <c r="HYA1" s="42"/>
      <c r="HYB1" s="42"/>
      <c r="HYC1" s="42"/>
      <c r="HYD1" s="42"/>
      <c r="HYE1" s="42"/>
      <c r="HYF1" s="42"/>
      <c r="HYG1" s="42"/>
      <c r="HYH1" s="42"/>
      <c r="HYI1" s="42"/>
      <c r="HYJ1" s="42"/>
      <c r="HYK1" s="42"/>
      <c r="HYL1" s="42"/>
      <c r="HYM1" s="42"/>
      <c r="HYN1" s="42"/>
      <c r="HYO1" s="42"/>
      <c r="HYP1" s="42"/>
      <c r="HYQ1" s="42"/>
      <c r="HYR1" s="42"/>
      <c r="HYS1" s="42"/>
      <c r="HYT1" s="42"/>
      <c r="HYU1" s="42"/>
      <c r="HYV1" s="42"/>
      <c r="HYW1" s="42"/>
      <c r="HYX1" s="42"/>
      <c r="HYY1" s="42"/>
      <c r="HYZ1" s="42"/>
      <c r="HZA1" s="42"/>
      <c r="HZB1" s="42"/>
      <c r="HZC1" s="42"/>
      <c r="HZD1" s="42"/>
      <c r="HZE1" s="42"/>
      <c r="HZF1" s="42"/>
      <c r="HZG1" s="42"/>
      <c r="HZH1" s="42"/>
      <c r="HZI1" s="42"/>
      <c r="HZJ1" s="42"/>
      <c r="HZK1" s="42"/>
      <c r="HZL1" s="42"/>
      <c r="HZM1" s="42"/>
      <c r="HZN1" s="42"/>
      <c r="HZO1" s="42"/>
      <c r="HZP1" s="42"/>
      <c r="HZQ1" s="42"/>
      <c r="HZR1" s="42"/>
      <c r="HZS1" s="42"/>
      <c r="HZT1" s="42"/>
      <c r="HZU1" s="42"/>
      <c r="HZV1" s="42"/>
      <c r="HZW1" s="42"/>
      <c r="HZX1" s="42"/>
      <c r="HZY1" s="42"/>
      <c r="HZZ1" s="42"/>
      <c r="IAA1" s="42"/>
      <c r="IAB1" s="42"/>
      <c r="IAC1" s="42"/>
      <c r="IAD1" s="42"/>
      <c r="IAE1" s="42"/>
      <c r="IAF1" s="42"/>
      <c r="IAG1" s="42"/>
      <c r="IAH1" s="42"/>
      <c r="IAI1" s="42"/>
      <c r="IAJ1" s="42"/>
      <c r="IAK1" s="42"/>
      <c r="IAL1" s="42"/>
      <c r="IAM1" s="42"/>
      <c r="IAN1" s="42"/>
      <c r="IAO1" s="42"/>
      <c r="IAP1" s="42"/>
      <c r="IAQ1" s="42"/>
      <c r="IAR1" s="42"/>
      <c r="IAS1" s="42"/>
      <c r="IAT1" s="42"/>
      <c r="IAU1" s="42"/>
      <c r="IAV1" s="42"/>
      <c r="IAW1" s="42"/>
      <c r="IAX1" s="42"/>
      <c r="IAY1" s="42"/>
      <c r="IAZ1" s="42"/>
      <c r="IBA1" s="42"/>
      <c r="IBB1" s="42"/>
      <c r="IBC1" s="42"/>
      <c r="IBD1" s="42"/>
      <c r="IBE1" s="42"/>
      <c r="IBF1" s="42"/>
      <c r="IBG1" s="42"/>
      <c r="IBH1" s="42"/>
      <c r="IBI1" s="42"/>
      <c r="IBJ1" s="42"/>
      <c r="IBK1" s="42"/>
      <c r="IBL1" s="42"/>
      <c r="IBM1" s="42"/>
      <c r="IBN1" s="42"/>
      <c r="IBO1" s="42"/>
      <c r="IBP1" s="42"/>
      <c r="IBQ1" s="42"/>
      <c r="IBR1" s="42"/>
      <c r="IBS1" s="42"/>
      <c r="IBT1" s="42"/>
      <c r="IBU1" s="42"/>
      <c r="IBV1" s="42"/>
      <c r="IBW1" s="42"/>
      <c r="IBX1" s="42"/>
      <c r="IBY1" s="42"/>
      <c r="IBZ1" s="42"/>
      <c r="ICA1" s="42"/>
      <c r="ICB1" s="42"/>
      <c r="ICC1" s="42"/>
      <c r="ICD1" s="42"/>
      <c r="ICE1" s="42"/>
      <c r="ICF1" s="42"/>
      <c r="ICG1" s="42"/>
      <c r="ICH1" s="42"/>
      <c r="ICI1" s="42"/>
      <c r="ICJ1" s="42"/>
      <c r="ICK1" s="42"/>
      <c r="ICL1" s="42"/>
      <c r="ICM1" s="42"/>
      <c r="ICN1" s="42"/>
      <c r="ICO1" s="42"/>
      <c r="ICP1" s="42"/>
      <c r="ICQ1" s="42"/>
      <c r="ICR1" s="42"/>
      <c r="ICS1" s="42"/>
      <c r="ICT1" s="42"/>
      <c r="ICU1" s="42"/>
      <c r="ICV1" s="42"/>
      <c r="ICW1" s="42"/>
      <c r="ICX1" s="42"/>
      <c r="ICY1" s="42"/>
      <c r="ICZ1" s="42"/>
      <c r="IDA1" s="42"/>
      <c r="IDB1" s="42"/>
      <c r="IDC1" s="42"/>
      <c r="IDD1" s="42"/>
      <c r="IDE1" s="42"/>
      <c r="IDF1" s="42"/>
      <c r="IDG1" s="42"/>
      <c r="IDH1" s="42"/>
      <c r="IDI1" s="42"/>
      <c r="IDJ1" s="42"/>
      <c r="IDK1" s="42"/>
      <c r="IDL1" s="42"/>
      <c r="IDM1" s="42"/>
      <c r="IDN1" s="42"/>
      <c r="IDO1" s="42"/>
      <c r="IDP1" s="42"/>
      <c r="IDQ1" s="42"/>
      <c r="IDR1" s="42"/>
      <c r="IDS1" s="42"/>
      <c r="IDT1" s="42"/>
      <c r="IDU1" s="42"/>
      <c r="IDV1" s="42"/>
      <c r="IDW1" s="42"/>
      <c r="IDX1" s="42"/>
      <c r="IDY1" s="42"/>
      <c r="IDZ1" s="42"/>
      <c r="IEA1" s="42"/>
      <c r="IEB1" s="42"/>
      <c r="IEC1" s="42"/>
      <c r="IED1" s="42"/>
      <c r="IEE1" s="42"/>
      <c r="IEF1" s="42"/>
      <c r="IEG1" s="42"/>
      <c r="IEH1" s="42"/>
      <c r="IEI1" s="42"/>
      <c r="IEJ1" s="42"/>
      <c r="IEK1" s="42"/>
      <c r="IEL1" s="42"/>
      <c r="IEM1" s="42"/>
      <c r="IEN1" s="42"/>
      <c r="IEO1" s="42"/>
      <c r="IEP1" s="42"/>
      <c r="IEQ1" s="42"/>
      <c r="IER1" s="42"/>
      <c r="IES1" s="42"/>
      <c r="IET1" s="42"/>
      <c r="IEU1" s="42"/>
      <c r="IEV1" s="42"/>
      <c r="IEW1" s="42"/>
      <c r="IEX1" s="42"/>
      <c r="IEY1" s="42"/>
      <c r="IEZ1" s="42"/>
      <c r="IFA1" s="42"/>
      <c r="IFB1" s="42"/>
      <c r="IFC1" s="42"/>
      <c r="IFD1" s="42"/>
      <c r="IFE1" s="42"/>
      <c r="IFF1" s="42"/>
      <c r="IFG1" s="42"/>
      <c r="IFH1" s="42"/>
      <c r="IFI1" s="42"/>
      <c r="IFJ1" s="42"/>
      <c r="IFK1" s="42"/>
      <c r="IFL1" s="42"/>
      <c r="IFM1" s="42"/>
      <c r="IFN1" s="42"/>
      <c r="IFO1" s="42"/>
      <c r="IFP1" s="42"/>
      <c r="IFQ1" s="42"/>
      <c r="IFR1" s="42"/>
      <c r="IFS1" s="42"/>
      <c r="IFT1" s="42"/>
      <c r="IFU1" s="42"/>
      <c r="IFV1" s="42"/>
      <c r="IFW1" s="42"/>
      <c r="IFX1" s="42"/>
      <c r="IFY1" s="42"/>
      <c r="IFZ1" s="42"/>
      <c r="IGA1" s="42"/>
      <c r="IGB1" s="42"/>
      <c r="IGC1" s="42"/>
      <c r="IGD1" s="42"/>
      <c r="IGE1" s="42"/>
      <c r="IGF1" s="42"/>
      <c r="IGG1" s="42"/>
      <c r="IGH1" s="42"/>
      <c r="IGI1" s="42"/>
      <c r="IGJ1" s="42"/>
      <c r="IGK1" s="42"/>
      <c r="IGL1" s="42"/>
      <c r="IGM1" s="42"/>
      <c r="IGN1" s="42"/>
      <c r="IGO1" s="42"/>
      <c r="IGP1" s="42"/>
      <c r="IGQ1" s="42"/>
      <c r="IGR1" s="42"/>
      <c r="IGS1" s="42"/>
      <c r="IGT1" s="42"/>
      <c r="IGU1" s="42"/>
      <c r="IGV1" s="42"/>
      <c r="IGW1" s="42"/>
      <c r="IGX1" s="42"/>
      <c r="IGY1" s="42"/>
      <c r="IGZ1" s="42"/>
      <c r="IHA1" s="42"/>
      <c r="IHB1" s="42"/>
      <c r="IHC1" s="42"/>
      <c r="IHD1" s="42"/>
      <c r="IHE1" s="42"/>
      <c r="IHF1" s="42"/>
      <c r="IHG1" s="42"/>
      <c r="IHH1" s="42"/>
      <c r="IHI1" s="42"/>
      <c r="IHJ1" s="42"/>
      <c r="IHK1" s="42"/>
      <c r="IHL1" s="42"/>
      <c r="IHM1" s="42"/>
      <c r="IHN1" s="42"/>
      <c r="IHO1" s="42"/>
      <c r="IHP1" s="42"/>
      <c r="IHQ1" s="42"/>
      <c r="IHR1" s="42"/>
      <c r="IHS1" s="42"/>
      <c r="IHT1" s="42"/>
      <c r="IHU1" s="42"/>
      <c r="IHV1" s="42"/>
      <c r="IHW1" s="42"/>
      <c r="IHX1" s="42"/>
      <c r="IHY1" s="42"/>
      <c r="IHZ1" s="42"/>
      <c r="IIA1" s="42"/>
      <c r="IIB1" s="42"/>
      <c r="IIC1" s="42"/>
      <c r="IID1" s="42"/>
      <c r="IIE1" s="42"/>
      <c r="IIF1" s="42"/>
      <c r="IIG1" s="42"/>
      <c r="IIH1" s="42"/>
      <c r="III1" s="42"/>
      <c r="IIJ1" s="42"/>
      <c r="IIK1" s="42"/>
      <c r="IIL1" s="42"/>
      <c r="IIM1" s="42"/>
      <c r="IIN1" s="42"/>
      <c r="IIO1" s="42"/>
      <c r="IIP1" s="42"/>
      <c r="IIQ1" s="42"/>
      <c r="IIR1" s="42"/>
      <c r="IIS1" s="42"/>
      <c r="IIT1" s="42"/>
      <c r="IIU1" s="42"/>
      <c r="IIV1" s="42"/>
      <c r="IIW1" s="42"/>
      <c r="IIX1" s="42"/>
      <c r="IIY1" s="42"/>
      <c r="IIZ1" s="42"/>
      <c r="IJA1" s="42"/>
      <c r="IJB1" s="42"/>
      <c r="IJC1" s="42"/>
      <c r="IJD1" s="42"/>
      <c r="IJE1" s="42"/>
      <c r="IJF1" s="42"/>
      <c r="IJG1" s="42"/>
      <c r="IJH1" s="42"/>
      <c r="IJI1" s="42"/>
      <c r="IJJ1" s="42"/>
      <c r="IJK1" s="42"/>
      <c r="IJL1" s="42"/>
      <c r="IJM1" s="42"/>
      <c r="IJN1" s="42"/>
      <c r="IJO1" s="42"/>
      <c r="IJP1" s="42"/>
      <c r="IJQ1" s="42"/>
      <c r="IJR1" s="42"/>
      <c r="IJS1" s="42"/>
      <c r="IJT1" s="42"/>
      <c r="IJU1" s="42"/>
      <c r="IJV1" s="42"/>
      <c r="IJW1" s="42"/>
      <c r="IJX1" s="42"/>
      <c r="IJY1" s="42"/>
      <c r="IJZ1" s="42"/>
      <c r="IKA1" s="42"/>
      <c r="IKB1" s="42"/>
      <c r="IKC1" s="42"/>
      <c r="IKD1" s="42"/>
      <c r="IKE1" s="42"/>
      <c r="IKF1" s="42"/>
      <c r="IKG1" s="42"/>
      <c r="IKH1" s="42"/>
      <c r="IKI1" s="42"/>
      <c r="IKJ1" s="42"/>
      <c r="IKK1" s="42"/>
      <c r="IKL1" s="42"/>
      <c r="IKM1" s="42"/>
      <c r="IKN1" s="42"/>
      <c r="IKO1" s="42"/>
      <c r="IKP1" s="42"/>
      <c r="IKQ1" s="42"/>
      <c r="IKR1" s="42"/>
      <c r="IKS1" s="42"/>
      <c r="IKT1" s="42"/>
      <c r="IKU1" s="42"/>
      <c r="IKV1" s="42"/>
      <c r="IKW1" s="42"/>
      <c r="IKX1" s="42"/>
      <c r="IKY1" s="42"/>
      <c r="IKZ1" s="42"/>
      <c r="ILA1" s="42"/>
      <c r="ILB1" s="42"/>
      <c r="ILC1" s="42"/>
      <c r="ILD1" s="42"/>
      <c r="ILE1" s="42"/>
      <c r="ILF1" s="42"/>
      <c r="ILG1" s="42"/>
      <c r="ILH1" s="42"/>
      <c r="ILI1" s="42"/>
      <c r="ILJ1" s="42"/>
      <c r="ILK1" s="42"/>
      <c r="ILL1" s="42"/>
      <c r="ILM1" s="42"/>
      <c r="ILN1" s="42"/>
      <c r="ILO1" s="42"/>
      <c r="ILP1" s="42"/>
      <c r="ILQ1" s="42"/>
      <c r="ILR1" s="42"/>
      <c r="ILS1" s="42"/>
      <c r="ILT1" s="42"/>
      <c r="ILU1" s="42"/>
      <c r="ILV1" s="42"/>
      <c r="ILW1" s="42"/>
      <c r="ILX1" s="42"/>
      <c r="ILY1" s="42"/>
      <c r="ILZ1" s="42"/>
      <c r="IMA1" s="42"/>
      <c r="IMB1" s="42"/>
      <c r="IMC1" s="42"/>
      <c r="IMD1" s="42"/>
      <c r="IME1" s="42"/>
      <c r="IMF1" s="42"/>
      <c r="IMG1" s="42"/>
      <c r="IMH1" s="42"/>
      <c r="IMI1" s="42"/>
      <c r="IMJ1" s="42"/>
      <c r="IMK1" s="42"/>
      <c r="IML1" s="42"/>
      <c r="IMM1" s="42"/>
      <c r="IMN1" s="42"/>
      <c r="IMO1" s="42"/>
      <c r="IMP1" s="42"/>
      <c r="IMQ1" s="42"/>
      <c r="IMR1" s="42"/>
      <c r="IMS1" s="42"/>
      <c r="IMT1" s="42"/>
      <c r="IMU1" s="42"/>
      <c r="IMV1" s="42"/>
      <c r="IMW1" s="42"/>
      <c r="IMX1" s="42"/>
      <c r="IMY1" s="42"/>
      <c r="IMZ1" s="42"/>
      <c r="INA1" s="42"/>
      <c r="INB1" s="42"/>
      <c r="INC1" s="42"/>
      <c r="IND1" s="42"/>
      <c r="INE1" s="42"/>
      <c r="INF1" s="42"/>
      <c r="ING1" s="42"/>
      <c r="INH1" s="42"/>
      <c r="INI1" s="42"/>
      <c r="INJ1" s="42"/>
      <c r="INK1" s="42"/>
      <c r="INL1" s="42"/>
      <c r="INM1" s="42"/>
      <c r="INN1" s="42"/>
      <c r="INO1" s="42"/>
      <c r="INP1" s="42"/>
      <c r="INQ1" s="42"/>
      <c r="INR1" s="42"/>
      <c r="INS1" s="42"/>
      <c r="INT1" s="42"/>
      <c r="INU1" s="42"/>
      <c r="INV1" s="42"/>
      <c r="INW1" s="42"/>
      <c r="INX1" s="42"/>
      <c r="INY1" s="42"/>
      <c r="INZ1" s="42"/>
      <c r="IOA1" s="42"/>
      <c r="IOB1" s="42"/>
      <c r="IOC1" s="42"/>
      <c r="IOD1" s="42"/>
      <c r="IOE1" s="42"/>
      <c r="IOF1" s="42"/>
      <c r="IOG1" s="42"/>
      <c r="IOH1" s="42"/>
      <c r="IOI1" s="42"/>
      <c r="IOJ1" s="42"/>
      <c r="IOK1" s="42"/>
      <c r="IOL1" s="42"/>
      <c r="IOM1" s="42"/>
      <c r="ION1" s="42"/>
      <c r="IOO1" s="42"/>
      <c r="IOP1" s="42"/>
      <c r="IOQ1" s="42"/>
      <c r="IOR1" s="42"/>
      <c r="IOS1" s="42"/>
      <c r="IOT1" s="42"/>
      <c r="IOU1" s="42"/>
      <c r="IOV1" s="42"/>
      <c r="IOW1" s="42"/>
      <c r="IOX1" s="42"/>
      <c r="IOY1" s="42"/>
      <c r="IOZ1" s="42"/>
      <c r="IPA1" s="42"/>
      <c r="IPB1" s="42"/>
      <c r="IPC1" s="42"/>
      <c r="IPD1" s="42"/>
      <c r="IPE1" s="42"/>
      <c r="IPF1" s="42"/>
      <c r="IPG1" s="42"/>
      <c r="IPH1" s="42"/>
      <c r="IPI1" s="42"/>
      <c r="IPJ1" s="42"/>
      <c r="IPK1" s="42"/>
      <c r="IPL1" s="42"/>
      <c r="IPM1" s="42"/>
      <c r="IPN1" s="42"/>
      <c r="IPO1" s="42"/>
      <c r="IPP1" s="42"/>
      <c r="IPQ1" s="42"/>
      <c r="IPR1" s="42"/>
      <c r="IPS1" s="42"/>
      <c r="IPT1" s="42"/>
      <c r="IPU1" s="42"/>
      <c r="IPV1" s="42"/>
      <c r="IPW1" s="42"/>
      <c r="IPX1" s="42"/>
      <c r="IPY1" s="42"/>
      <c r="IPZ1" s="42"/>
      <c r="IQA1" s="42"/>
      <c r="IQB1" s="42"/>
      <c r="IQC1" s="42"/>
      <c r="IQD1" s="42"/>
      <c r="IQE1" s="42"/>
      <c r="IQF1" s="42"/>
      <c r="IQG1" s="42"/>
      <c r="IQH1" s="42"/>
      <c r="IQI1" s="42"/>
      <c r="IQJ1" s="42"/>
      <c r="IQK1" s="42"/>
      <c r="IQL1" s="42"/>
      <c r="IQM1" s="42"/>
      <c r="IQN1" s="42"/>
      <c r="IQO1" s="42"/>
      <c r="IQP1" s="42"/>
      <c r="IQQ1" s="42"/>
      <c r="IQR1" s="42"/>
      <c r="IQS1" s="42"/>
      <c r="IQT1" s="42"/>
      <c r="IQU1" s="42"/>
      <c r="IQV1" s="42"/>
      <c r="IQW1" s="42"/>
      <c r="IQX1" s="42"/>
      <c r="IQY1" s="42"/>
      <c r="IQZ1" s="42"/>
      <c r="IRA1" s="42"/>
      <c r="IRB1" s="42"/>
      <c r="IRC1" s="42"/>
      <c r="IRD1" s="42"/>
      <c r="IRE1" s="42"/>
      <c r="IRF1" s="42"/>
      <c r="IRG1" s="42"/>
      <c r="IRH1" s="42"/>
      <c r="IRI1" s="42"/>
      <c r="IRJ1" s="42"/>
      <c r="IRK1" s="42"/>
      <c r="IRL1" s="42"/>
      <c r="IRM1" s="42"/>
      <c r="IRN1" s="42"/>
      <c r="IRO1" s="42"/>
      <c r="IRP1" s="42"/>
      <c r="IRQ1" s="42"/>
      <c r="IRR1" s="42"/>
      <c r="IRS1" s="42"/>
      <c r="IRT1" s="42"/>
      <c r="IRU1" s="42"/>
      <c r="IRV1" s="42"/>
      <c r="IRW1" s="42"/>
      <c r="IRX1" s="42"/>
      <c r="IRY1" s="42"/>
      <c r="IRZ1" s="42"/>
      <c r="ISA1" s="42"/>
      <c r="ISB1" s="42"/>
      <c r="ISC1" s="42"/>
      <c r="ISD1" s="42"/>
      <c r="ISE1" s="42"/>
      <c r="ISF1" s="42"/>
      <c r="ISG1" s="42"/>
      <c r="ISH1" s="42"/>
      <c r="ISI1" s="42"/>
      <c r="ISJ1" s="42"/>
      <c r="ISK1" s="42"/>
      <c r="ISL1" s="42"/>
      <c r="ISM1" s="42"/>
      <c r="ISN1" s="42"/>
      <c r="ISO1" s="42"/>
      <c r="ISP1" s="42"/>
      <c r="ISQ1" s="42"/>
      <c r="ISR1" s="42"/>
      <c r="ISS1" s="42"/>
      <c r="IST1" s="42"/>
      <c r="ISU1" s="42"/>
      <c r="ISV1" s="42"/>
      <c r="ISW1" s="42"/>
      <c r="ISX1" s="42"/>
      <c r="ISY1" s="42"/>
      <c r="ISZ1" s="42"/>
      <c r="ITA1" s="42"/>
      <c r="ITB1" s="42"/>
      <c r="ITC1" s="42"/>
      <c r="ITD1" s="42"/>
      <c r="ITE1" s="42"/>
      <c r="ITF1" s="42"/>
      <c r="ITG1" s="42"/>
      <c r="ITH1" s="42"/>
      <c r="ITI1" s="42"/>
      <c r="ITJ1" s="42"/>
      <c r="ITK1" s="42"/>
      <c r="ITL1" s="42"/>
      <c r="ITM1" s="42"/>
      <c r="ITN1" s="42"/>
      <c r="ITO1" s="42"/>
      <c r="ITP1" s="42"/>
      <c r="ITQ1" s="42"/>
      <c r="ITR1" s="42"/>
      <c r="ITS1" s="42"/>
      <c r="ITT1" s="42"/>
      <c r="ITU1" s="42"/>
      <c r="ITV1" s="42"/>
      <c r="ITW1" s="42"/>
      <c r="ITX1" s="42"/>
      <c r="ITY1" s="42"/>
      <c r="ITZ1" s="42"/>
      <c r="IUA1" s="42"/>
      <c r="IUB1" s="42"/>
      <c r="IUC1" s="42"/>
      <c r="IUD1" s="42"/>
      <c r="IUE1" s="42"/>
      <c r="IUF1" s="42"/>
      <c r="IUG1" s="42"/>
      <c r="IUH1" s="42"/>
      <c r="IUI1" s="42"/>
      <c r="IUJ1" s="42"/>
      <c r="IUK1" s="42"/>
      <c r="IUL1" s="42"/>
      <c r="IUM1" s="42"/>
      <c r="IUN1" s="42"/>
      <c r="IUO1" s="42"/>
      <c r="IUP1" s="42"/>
      <c r="IUQ1" s="42"/>
      <c r="IUR1" s="42"/>
      <c r="IUS1" s="42"/>
      <c r="IUT1" s="42"/>
      <c r="IUU1" s="42"/>
      <c r="IUV1" s="42"/>
      <c r="IUW1" s="42"/>
      <c r="IUX1" s="42"/>
      <c r="IUY1" s="42"/>
      <c r="IUZ1" s="42"/>
      <c r="IVA1" s="42"/>
      <c r="IVB1" s="42"/>
      <c r="IVC1" s="42"/>
      <c r="IVD1" s="42"/>
      <c r="IVE1" s="42"/>
      <c r="IVF1" s="42"/>
      <c r="IVG1" s="42"/>
      <c r="IVH1" s="42"/>
      <c r="IVI1" s="42"/>
      <c r="IVJ1" s="42"/>
      <c r="IVK1" s="42"/>
      <c r="IVL1" s="42"/>
      <c r="IVM1" s="42"/>
      <c r="IVN1" s="42"/>
      <c r="IVO1" s="42"/>
      <c r="IVP1" s="42"/>
      <c r="IVQ1" s="42"/>
      <c r="IVR1" s="42"/>
      <c r="IVS1" s="42"/>
      <c r="IVT1" s="42"/>
      <c r="IVU1" s="42"/>
      <c r="IVV1" s="42"/>
      <c r="IVW1" s="42"/>
      <c r="IVX1" s="42"/>
      <c r="IVY1" s="42"/>
      <c r="IVZ1" s="42"/>
      <c r="IWA1" s="42"/>
      <c r="IWB1" s="42"/>
      <c r="IWC1" s="42"/>
      <c r="IWD1" s="42"/>
      <c r="IWE1" s="42"/>
      <c r="IWF1" s="42"/>
      <c r="IWG1" s="42"/>
      <c r="IWH1" s="42"/>
      <c r="IWI1" s="42"/>
      <c r="IWJ1" s="42"/>
      <c r="IWK1" s="42"/>
      <c r="IWL1" s="42"/>
      <c r="IWM1" s="42"/>
      <c r="IWN1" s="42"/>
      <c r="IWO1" s="42"/>
      <c r="IWP1" s="42"/>
      <c r="IWQ1" s="42"/>
      <c r="IWR1" s="42"/>
      <c r="IWS1" s="42"/>
      <c r="IWT1" s="42"/>
      <c r="IWU1" s="42"/>
      <c r="IWV1" s="42"/>
      <c r="IWW1" s="42"/>
      <c r="IWX1" s="42"/>
      <c r="IWY1" s="42"/>
      <c r="IWZ1" s="42"/>
      <c r="IXA1" s="42"/>
      <c r="IXB1" s="42"/>
      <c r="IXC1" s="42"/>
      <c r="IXD1" s="42"/>
      <c r="IXE1" s="42"/>
      <c r="IXF1" s="42"/>
      <c r="IXG1" s="42"/>
      <c r="IXH1" s="42"/>
      <c r="IXI1" s="42"/>
      <c r="IXJ1" s="42"/>
      <c r="IXK1" s="42"/>
      <c r="IXL1" s="42"/>
      <c r="IXM1" s="42"/>
      <c r="IXN1" s="42"/>
      <c r="IXO1" s="42"/>
      <c r="IXP1" s="42"/>
      <c r="IXQ1" s="42"/>
      <c r="IXR1" s="42"/>
      <c r="IXS1" s="42"/>
      <c r="IXT1" s="42"/>
      <c r="IXU1" s="42"/>
      <c r="IXV1" s="42"/>
      <c r="IXW1" s="42"/>
      <c r="IXX1" s="42"/>
      <c r="IXY1" s="42"/>
      <c r="IXZ1" s="42"/>
      <c r="IYA1" s="42"/>
      <c r="IYB1" s="42"/>
      <c r="IYC1" s="42"/>
      <c r="IYD1" s="42"/>
      <c r="IYE1" s="42"/>
      <c r="IYF1" s="42"/>
      <c r="IYG1" s="42"/>
      <c r="IYH1" s="42"/>
      <c r="IYI1" s="42"/>
      <c r="IYJ1" s="42"/>
      <c r="IYK1" s="42"/>
      <c r="IYL1" s="42"/>
      <c r="IYM1" s="42"/>
      <c r="IYN1" s="42"/>
      <c r="IYO1" s="42"/>
      <c r="IYP1" s="42"/>
      <c r="IYQ1" s="42"/>
      <c r="IYR1" s="42"/>
      <c r="IYS1" s="42"/>
      <c r="IYT1" s="42"/>
      <c r="IYU1" s="42"/>
      <c r="IYV1" s="42"/>
      <c r="IYW1" s="42"/>
      <c r="IYX1" s="42"/>
      <c r="IYY1" s="42"/>
      <c r="IYZ1" s="42"/>
      <c r="IZA1" s="42"/>
      <c r="IZB1" s="42"/>
      <c r="IZC1" s="42"/>
      <c r="IZD1" s="42"/>
      <c r="IZE1" s="42"/>
      <c r="IZF1" s="42"/>
      <c r="IZG1" s="42"/>
      <c r="IZH1" s="42"/>
      <c r="IZI1" s="42"/>
      <c r="IZJ1" s="42"/>
      <c r="IZK1" s="42"/>
      <c r="IZL1" s="42"/>
      <c r="IZM1" s="42"/>
      <c r="IZN1" s="42"/>
      <c r="IZO1" s="42"/>
      <c r="IZP1" s="42"/>
      <c r="IZQ1" s="42"/>
      <c r="IZR1" s="42"/>
      <c r="IZS1" s="42"/>
      <c r="IZT1" s="42"/>
      <c r="IZU1" s="42"/>
      <c r="IZV1" s="42"/>
      <c r="IZW1" s="42"/>
      <c r="IZX1" s="42"/>
      <c r="IZY1" s="42"/>
      <c r="IZZ1" s="42"/>
      <c r="JAA1" s="42"/>
      <c r="JAB1" s="42"/>
      <c r="JAC1" s="42"/>
      <c r="JAD1" s="42"/>
      <c r="JAE1" s="42"/>
      <c r="JAF1" s="42"/>
      <c r="JAG1" s="42"/>
      <c r="JAH1" s="42"/>
      <c r="JAI1" s="42"/>
      <c r="JAJ1" s="42"/>
      <c r="JAK1" s="42"/>
      <c r="JAL1" s="42"/>
      <c r="JAM1" s="42"/>
      <c r="JAN1" s="42"/>
      <c r="JAO1" s="42"/>
      <c r="JAP1" s="42"/>
      <c r="JAQ1" s="42"/>
      <c r="JAR1" s="42"/>
      <c r="JAS1" s="42"/>
      <c r="JAT1" s="42"/>
      <c r="JAU1" s="42"/>
      <c r="JAV1" s="42"/>
      <c r="JAW1" s="42"/>
      <c r="JAX1" s="42"/>
      <c r="JAY1" s="42"/>
      <c r="JAZ1" s="42"/>
      <c r="JBA1" s="42"/>
      <c r="JBB1" s="42"/>
      <c r="JBC1" s="42"/>
      <c r="JBD1" s="42"/>
      <c r="JBE1" s="42"/>
      <c r="JBF1" s="42"/>
      <c r="JBG1" s="42"/>
      <c r="JBH1" s="42"/>
      <c r="JBI1" s="42"/>
      <c r="JBJ1" s="42"/>
      <c r="JBK1" s="42"/>
      <c r="JBL1" s="42"/>
      <c r="JBM1" s="42"/>
      <c r="JBN1" s="42"/>
      <c r="JBO1" s="42"/>
      <c r="JBP1" s="42"/>
      <c r="JBQ1" s="42"/>
      <c r="JBR1" s="42"/>
      <c r="JBS1" s="42"/>
      <c r="JBT1" s="42"/>
      <c r="JBU1" s="42"/>
      <c r="JBV1" s="42"/>
      <c r="JBW1" s="42"/>
      <c r="JBX1" s="42"/>
      <c r="JBY1" s="42"/>
      <c r="JBZ1" s="42"/>
      <c r="JCA1" s="42"/>
      <c r="JCB1" s="42"/>
      <c r="JCC1" s="42"/>
      <c r="JCD1" s="42"/>
      <c r="JCE1" s="42"/>
      <c r="JCF1" s="42"/>
      <c r="JCG1" s="42"/>
      <c r="JCH1" s="42"/>
      <c r="JCI1" s="42"/>
      <c r="JCJ1" s="42"/>
      <c r="JCK1" s="42"/>
      <c r="JCL1" s="42"/>
      <c r="JCM1" s="42"/>
      <c r="JCN1" s="42"/>
      <c r="JCO1" s="42"/>
      <c r="JCP1" s="42"/>
      <c r="JCQ1" s="42"/>
      <c r="JCR1" s="42"/>
      <c r="JCS1" s="42"/>
      <c r="JCT1" s="42"/>
      <c r="JCU1" s="42"/>
      <c r="JCV1" s="42"/>
      <c r="JCW1" s="42"/>
      <c r="JCX1" s="42"/>
      <c r="JCY1" s="42"/>
      <c r="JCZ1" s="42"/>
      <c r="JDA1" s="42"/>
      <c r="JDB1" s="42"/>
      <c r="JDC1" s="42"/>
      <c r="JDD1" s="42"/>
      <c r="JDE1" s="42"/>
      <c r="JDF1" s="42"/>
      <c r="JDG1" s="42"/>
      <c r="JDH1" s="42"/>
      <c r="JDI1" s="42"/>
      <c r="JDJ1" s="42"/>
      <c r="JDK1" s="42"/>
      <c r="JDL1" s="42"/>
      <c r="JDM1" s="42"/>
      <c r="JDN1" s="42"/>
      <c r="JDO1" s="42"/>
      <c r="JDP1" s="42"/>
      <c r="JDQ1" s="42"/>
      <c r="JDR1" s="42"/>
      <c r="JDS1" s="42"/>
      <c r="JDT1" s="42"/>
      <c r="JDU1" s="42"/>
      <c r="JDV1" s="42"/>
      <c r="JDW1" s="42"/>
      <c r="JDX1" s="42"/>
      <c r="JDY1" s="42"/>
      <c r="JDZ1" s="42"/>
      <c r="JEA1" s="42"/>
      <c r="JEB1" s="42"/>
      <c r="JEC1" s="42"/>
      <c r="JED1" s="42"/>
      <c r="JEE1" s="42"/>
      <c r="JEF1" s="42"/>
      <c r="JEG1" s="42"/>
      <c r="JEH1" s="42"/>
      <c r="JEI1" s="42"/>
      <c r="JEJ1" s="42"/>
      <c r="JEK1" s="42"/>
      <c r="JEL1" s="42"/>
      <c r="JEM1" s="42"/>
      <c r="JEN1" s="42"/>
      <c r="JEO1" s="42"/>
      <c r="JEP1" s="42"/>
      <c r="JEQ1" s="42"/>
      <c r="JER1" s="42"/>
      <c r="JES1" s="42"/>
      <c r="JET1" s="42"/>
      <c r="JEU1" s="42"/>
      <c r="JEV1" s="42"/>
      <c r="JEW1" s="42"/>
      <c r="JEX1" s="42"/>
      <c r="JEY1" s="42"/>
      <c r="JEZ1" s="42"/>
      <c r="JFA1" s="42"/>
      <c r="JFB1" s="42"/>
      <c r="JFC1" s="42"/>
      <c r="JFD1" s="42"/>
      <c r="JFE1" s="42"/>
      <c r="JFF1" s="42"/>
      <c r="JFG1" s="42"/>
      <c r="JFH1" s="42"/>
      <c r="JFI1" s="42"/>
      <c r="JFJ1" s="42"/>
      <c r="JFK1" s="42"/>
      <c r="JFL1" s="42"/>
      <c r="JFM1" s="42"/>
      <c r="JFN1" s="42"/>
      <c r="JFO1" s="42"/>
      <c r="JFP1" s="42"/>
      <c r="JFQ1" s="42"/>
      <c r="JFR1" s="42"/>
      <c r="JFS1" s="42"/>
      <c r="JFT1" s="42"/>
      <c r="JFU1" s="42"/>
      <c r="JFV1" s="42"/>
      <c r="JFW1" s="42"/>
      <c r="JFX1" s="42"/>
      <c r="JFY1" s="42"/>
      <c r="JFZ1" s="42"/>
      <c r="JGA1" s="42"/>
      <c r="JGB1" s="42"/>
      <c r="JGC1" s="42"/>
      <c r="JGD1" s="42"/>
      <c r="JGE1" s="42"/>
      <c r="JGF1" s="42"/>
      <c r="JGG1" s="42"/>
      <c r="JGH1" s="42"/>
      <c r="JGI1" s="42"/>
      <c r="JGJ1" s="42"/>
      <c r="JGK1" s="42"/>
      <c r="JGL1" s="42"/>
      <c r="JGM1" s="42"/>
      <c r="JGN1" s="42"/>
      <c r="JGO1" s="42"/>
      <c r="JGP1" s="42"/>
      <c r="JGQ1" s="42"/>
      <c r="JGR1" s="42"/>
      <c r="JGS1" s="42"/>
      <c r="JGT1" s="42"/>
      <c r="JGU1" s="42"/>
      <c r="JGV1" s="42"/>
      <c r="JGW1" s="42"/>
      <c r="JGX1" s="42"/>
      <c r="JGY1" s="42"/>
      <c r="JGZ1" s="42"/>
      <c r="JHA1" s="42"/>
      <c r="JHB1" s="42"/>
      <c r="JHC1" s="42"/>
      <c r="JHD1" s="42"/>
      <c r="JHE1" s="42"/>
      <c r="JHF1" s="42"/>
      <c r="JHG1" s="42"/>
      <c r="JHH1" s="42"/>
      <c r="JHI1" s="42"/>
      <c r="JHJ1" s="42"/>
      <c r="JHK1" s="42"/>
      <c r="JHL1" s="42"/>
      <c r="JHM1" s="42"/>
      <c r="JHN1" s="42"/>
      <c r="JHO1" s="42"/>
      <c r="JHP1" s="42"/>
      <c r="JHQ1" s="42"/>
      <c r="JHR1" s="42"/>
      <c r="JHS1" s="42"/>
      <c r="JHT1" s="42"/>
      <c r="JHU1" s="42"/>
      <c r="JHV1" s="42"/>
      <c r="JHW1" s="42"/>
      <c r="JHX1" s="42"/>
      <c r="JHY1" s="42"/>
      <c r="JHZ1" s="42"/>
      <c r="JIA1" s="42"/>
      <c r="JIB1" s="42"/>
      <c r="JIC1" s="42"/>
      <c r="JID1" s="42"/>
      <c r="JIE1" s="42"/>
      <c r="JIF1" s="42"/>
      <c r="JIG1" s="42"/>
      <c r="JIH1" s="42"/>
      <c r="JII1" s="42"/>
      <c r="JIJ1" s="42"/>
      <c r="JIK1" s="42"/>
      <c r="JIL1" s="42"/>
      <c r="JIM1" s="42"/>
      <c r="JIN1" s="42"/>
      <c r="JIO1" s="42"/>
      <c r="JIP1" s="42"/>
      <c r="JIQ1" s="42"/>
      <c r="JIR1" s="42"/>
      <c r="JIS1" s="42"/>
      <c r="JIT1" s="42"/>
      <c r="JIU1" s="42"/>
      <c r="JIV1" s="42"/>
      <c r="JIW1" s="42"/>
      <c r="JIX1" s="42"/>
      <c r="JIY1" s="42"/>
      <c r="JIZ1" s="42"/>
      <c r="JJA1" s="42"/>
      <c r="JJB1" s="42"/>
      <c r="JJC1" s="42"/>
      <c r="JJD1" s="42"/>
      <c r="JJE1" s="42"/>
      <c r="JJF1" s="42"/>
      <c r="JJG1" s="42"/>
      <c r="JJH1" s="42"/>
      <c r="JJI1" s="42"/>
      <c r="JJJ1" s="42"/>
      <c r="JJK1" s="42"/>
      <c r="JJL1" s="42"/>
      <c r="JJM1" s="42"/>
      <c r="JJN1" s="42"/>
      <c r="JJO1" s="42"/>
      <c r="JJP1" s="42"/>
      <c r="JJQ1" s="42"/>
      <c r="JJR1" s="42"/>
      <c r="JJS1" s="42"/>
      <c r="JJT1" s="42"/>
      <c r="JJU1" s="42"/>
      <c r="JJV1" s="42"/>
      <c r="JJW1" s="42"/>
      <c r="JJX1" s="42"/>
      <c r="JJY1" s="42"/>
      <c r="JJZ1" s="42"/>
      <c r="JKA1" s="42"/>
      <c r="JKB1" s="42"/>
      <c r="JKC1" s="42"/>
      <c r="JKD1" s="42"/>
      <c r="JKE1" s="42"/>
      <c r="JKF1" s="42"/>
      <c r="JKG1" s="42"/>
      <c r="JKH1" s="42"/>
      <c r="JKI1" s="42"/>
      <c r="JKJ1" s="42"/>
      <c r="JKK1" s="42"/>
      <c r="JKL1" s="42"/>
      <c r="JKM1" s="42"/>
      <c r="JKN1" s="42"/>
      <c r="JKO1" s="42"/>
      <c r="JKP1" s="42"/>
      <c r="JKQ1" s="42"/>
      <c r="JKR1" s="42"/>
      <c r="JKS1" s="42"/>
      <c r="JKT1" s="42"/>
      <c r="JKU1" s="42"/>
      <c r="JKV1" s="42"/>
      <c r="JKW1" s="42"/>
      <c r="JKX1" s="42"/>
      <c r="JKY1" s="42"/>
      <c r="JKZ1" s="42"/>
      <c r="JLA1" s="42"/>
      <c r="JLB1" s="42"/>
      <c r="JLC1" s="42"/>
      <c r="JLD1" s="42"/>
      <c r="JLE1" s="42"/>
      <c r="JLF1" s="42"/>
      <c r="JLG1" s="42"/>
      <c r="JLH1" s="42"/>
      <c r="JLI1" s="42"/>
      <c r="JLJ1" s="42"/>
      <c r="JLK1" s="42"/>
      <c r="JLL1" s="42"/>
      <c r="JLM1" s="42"/>
      <c r="JLN1" s="42"/>
      <c r="JLO1" s="42"/>
      <c r="JLP1" s="42"/>
      <c r="JLQ1" s="42"/>
      <c r="JLR1" s="42"/>
      <c r="JLS1" s="42"/>
      <c r="JLT1" s="42"/>
      <c r="JLU1" s="42"/>
      <c r="JLV1" s="42"/>
      <c r="JLW1" s="42"/>
      <c r="JLX1" s="42"/>
      <c r="JLY1" s="42"/>
      <c r="JLZ1" s="42"/>
      <c r="JMA1" s="42"/>
      <c r="JMB1" s="42"/>
      <c r="JMC1" s="42"/>
      <c r="JMD1" s="42"/>
      <c r="JME1" s="42"/>
      <c r="JMF1" s="42"/>
      <c r="JMG1" s="42"/>
      <c r="JMH1" s="42"/>
      <c r="JMI1" s="42"/>
      <c r="JMJ1" s="42"/>
      <c r="JMK1" s="42"/>
      <c r="JML1" s="42"/>
      <c r="JMM1" s="42"/>
      <c r="JMN1" s="42"/>
      <c r="JMO1" s="42"/>
      <c r="JMP1" s="42"/>
      <c r="JMQ1" s="42"/>
      <c r="JMR1" s="42"/>
      <c r="JMS1" s="42"/>
      <c r="JMT1" s="42"/>
      <c r="JMU1" s="42"/>
      <c r="JMV1" s="42"/>
      <c r="JMW1" s="42"/>
      <c r="JMX1" s="42"/>
      <c r="JMY1" s="42"/>
      <c r="JMZ1" s="42"/>
      <c r="JNA1" s="42"/>
      <c r="JNB1" s="42"/>
      <c r="JNC1" s="42"/>
      <c r="JND1" s="42"/>
      <c r="JNE1" s="42"/>
      <c r="JNF1" s="42"/>
      <c r="JNG1" s="42"/>
      <c r="JNH1" s="42"/>
      <c r="JNI1" s="42"/>
      <c r="JNJ1" s="42"/>
      <c r="JNK1" s="42"/>
      <c r="JNL1" s="42"/>
      <c r="JNM1" s="42"/>
      <c r="JNN1" s="42"/>
      <c r="JNO1" s="42"/>
      <c r="JNP1" s="42"/>
      <c r="JNQ1" s="42"/>
      <c r="JNR1" s="42"/>
      <c r="JNS1" s="42"/>
      <c r="JNT1" s="42"/>
      <c r="JNU1" s="42"/>
      <c r="JNV1" s="42"/>
      <c r="JNW1" s="42"/>
      <c r="JNX1" s="42"/>
      <c r="JNY1" s="42"/>
      <c r="JNZ1" s="42"/>
      <c r="JOA1" s="42"/>
      <c r="JOB1" s="42"/>
      <c r="JOC1" s="42"/>
      <c r="JOD1" s="42"/>
      <c r="JOE1" s="42"/>
      <c r="JOF1" s="42"/>
      <c r="JOG1" s="42"/>
      <c r="JOH1" s="42"/>
      <c r="JOI1" s="42"/>
      <c r="JOJ1" s="42"/>
      <c r="JOK1" s="42"/>
      <c r="JOL1" s="42"/>
      <c r="JOM1" s="42"/>
      <c r="JON1" s="42"/>
      <c r="JOO1" s="42"/>
      <c r="JOP1" s="42"/>
      <c r="JOQ1" s="42"/>
      <c r="JOR1" s="42"/>
      <c r="JOS1" s="42"/>
      <c r="JOT1" s="42"/>
      <c r="JOU1" s="42"/>
      <c r="JOV1" s="42"/>
      <c r="JOW1" s="42"/>
      <c r="JOX1" s="42"/>
      <c r="JOY1" s="42"/>
      <c r="JOZ1" s="42"/>
      <c r="JPA1" s="42"/>
      <c r="JPB1" s="42"/>
      <c r="JPC1" s="42"/>
      <c r="JPD1" s="42"/>
      <c r="JPE1" s="42"/>
      <c r="JPF1" s="42"/>
      <c r="JPG1" s="42"/>
      <c r="JPH1" s="42"/>
      <c r="JPI1" s="42"/>
      <c r="JPJ1" s="42"/>
      <c r="JPK1" s="42"/>
      <c r="JPL1" s="42"/>
      <c r="JPM1" s="42"/>
      <c r="JPN1" s="42"/>
      <c r="JPO1" s="42"/>
      <c r="JPP1" s="42"/>
      <c r="JPQ1" s="42"/>
      <c r="JPR1" s="42"/>
      <c r="JPS1" s="42"/>
      <c r="JPT1" s="42"/>
      <c r="JPU1" s="42"/>
      <c r="JPV1" s="42"/>
      <c r="JPW1" s="42"/>
      <c r="JPX1" s="42"/>
      <c r="JPY1" s="42"/>
      <c r="JPZ1" s="42"/>
      <c r="JQA1" s="42"/>
      <c r="JQB1" s="42"/>
      <c r="JQC1" s="42"/>
      <c r="JQD1" s="42"/>
      <c r="JQE1" s="42"/>
      <c r="JQF1" s="42"/>
      <c r="JQG1" s="42"/>
      <c r="JQH1" s="42"/>
      <c r="JQI1" s="42"/>
      <c r="JQJ1" s="42"/>
      <c r="JQK1" s="42"/>
      <c r="JQL1" s="42"/>
      <c r="JQM1" s="42"/>
      <c r="JQN1" s="42"/>
      <c r="JQO1" s="42"/>
      <c r="JQP1" s="42"/>
      <c r="JQQ1" s="42"/>
      <c r="JQR1" s="42"/>
      <c r="JQS1" s="42"/>
      <c r="JQT1" s="42"/>
      <c r="JQU1" s="42"/>
      <c r="JQV1" s="42"/>
      <c r="JQW1" s="42"/>
      <c r="JQX1" s="42"/>
      <c r="JQY1" s="42"/>
      <c r="JQZ1" s="42"/>
      <c r="JRA1" s="42"/>
      <c r="JRB1" s="42"/>
      <c r="JRC1" s="42"/>
      <c r="JRD1" s="42"/>
      <c r="JRE1" s="42"/>
      <c r="JRF1" s="42"/>
      <c r="JRG1" s="42"/>
      <c r="JRH1" s="42"/>
      <c r="JRI1" s="42"/>
      <c r="JRJ1" s="42"/>
      <c r="JRK1" s="42"/>
      <c r="JRL1" s="42"/>
      <c r="JRM1" s="42"/>
      <c r="JRN1" s="42"/>
      <c r="JRO1" s="42"/>
      <c r="JRP1" s="42"/>
      <c r="JRQ1" s="42"/>
      <c r="JRR1" s="42"/>
      <c r="JRS1" s="42"/>
      <c r="JRT1" s="42"/>
      <c r="JRU1" s="42"/>
      <c r="JRV1" s="42"/>
      <c r="JRW1" s="42"/>
      <c r="JRX1" s="42"/>
      <c r="JRY1" s="42"/>
      <c r="JRZ1" s="42"/>
      <c r="JSA1" s="42"/>
      <c r="JSB1" s="42"/>
      <c r="JSC1" s="42"/>
      <c r="JSD1" s="42"/>
      <c r="JSE1" s="42"/>
      <c r="JSF1" s="42"/>
      <c r="JSG1" s="42"/>
      <c r="JSH1" s="42"/>
      <c r="JSI1" s="42"/>
      <c r="JSJ1" s="42"/>
      <c r="JSK1" s="42"/>
      <c r="JSL1" s="42"/>
      <c r="JSM1" s="42"/>
      <c r="JSN1" s="42"/>
      <c r="JSO1" s="42"/>
      <c r="JSP1" s="42"/>
      <c r="JSQ1" s="42"/>
      <c r="JSR1" s="42"/>
      <c r="JSS1" s="42"/>
      <c r="JST1" s="42"/>
      <c r="JSU1" s="42"/>
      <c r="JSV1" s="42"/>
      <c r="JSW1" s="42"/>
      <c r="JSX1" s="42"/>
      <c r="JSY1" s="42"/>
      <c r="JSZ1" s="42"/>
      <c r="JTA1" s="42"/>
      <c r="JTB1" s="42"/>
      <c r="JTC1" s="42"/>
      <c r="JTD1" s="42"/>
      <c r="JTE1" s="42"/>
      <c r="JTF1" s="42"/>
      <c r="JTG1" s="42"/>
      <c r="JTH1" s="42"/>
      <c r="JTI1" s="42"/>
      <c r="JTJ1" s="42"/>
      <c r="JTK1" s="42"/>
      <c r="JTL1" s="42"/>
      <c r="JTM1" s="42"/>
      <c r="JTN1" s="42"/>
      <c r="JTO1" s="42"/>
      <c r="JTP1" s="42"/>
      <c r="JTQ1" s="42"/>
      <c r="JTR1" s="42"/>
      <c r="JTS1" s="42"/>
      <c r="JTT1" s="42"/>
      <c r="JTU1" s="42"/>
      <c r="JTV1" s="42"/>
      <c r="JTW1" s="42"/>
      <c r="JTX1" s="42"/>
      <c r="JTY1" s="42"/>
      <c r="JTZ1" s="42"/>
      <c r="JUA1" s="42"/>
      <c r="JUB1" s="42"/>
      <c r="JUC1" s="42"/>
      <c r="JUD1" s="42"/>
      <c r="JUE1" s="42"/>
      <c r="JUF1" s="42"/>
      <c r="JUG1" s="42"/>
      <c r="JUH1" s="42"/>
      <c r="JUI1" s="42"/>
      <c r="JUJ1" s="42"/>
      <c r="JUK1" s="42"/>
      <c r="JUL1" s="42"/>
      <c r="JUM1" s="42"/>
      <c r="JUN1" s="42"/>
      <c r="JUO1" s="42"/>
      <c r="JUP1" s="42"/>
      <c r="JUQ1" s="42"/>
      <c r="JUR1" s="42"/>
      <c r="JUS1" s="42"/>
      <c r="JUT1" s="42"/>
      <c r="JUU1" s="42"/>
      <c r="JUV1" s="42"/>
      <c r="JUW1" s="42"/>
      <c r="JUX1" s="42"/>
      <c r="JUY1" s="42"/>
      <c r="JUZ1" s="42"/>
      <c r="JVA1" s="42"/>
      <c r="JVB1" s="42"/>
      <c r="JVC1" s="42"/>
      <c r="JVD1" s="42"/>
      <c r="JVE1" s="42"/>
      <c r="JVF1" s="42"/>
      <c r="JVG1" s="42"/>
      <c r="JVH1" s="42"/>
      <c r="JVI1" s="42"/>
      <c r="JVJ1" s="42"/>
      <c r="JVK1" s="42"/>
      <c r="JVL1" s="42"/>
      <c r="JVM1" s="42"/>
      <c r="JVN1" s="42"/>
      <c r="JVO1" s="42"/>
      <c r="JVP1" s="42"/>
      <c r="JVQ1" s="42"/>
      <c r="JVR1" s="42"/>
      <c r="JVS1" s="42"/>
      <c r="JVT1" s="42"/>
      <c r="JVU1" s="42"/>
      <c r="JVV1" s="42"/>
      <c r="JVW1" s="42"/>
      <c r="JVX1" s="42"/>
      <c r="JVY1" s="42"/>
      <c r="JVZ1" s="42"/>
      <c r="JWA1" s="42"/>
      <c r="JWB1" s="42"/>
      <c r="JWC1" s="42"/>
      <c r="JWD1" s="42"/>
      <c r="JWE1" s="42"/>
      <c r="JWF1" s="42"/>
      <c r="JWG1" s="42"/>
      <c r="JWH1" s="42"/>
      <c r="JWI1" s="42"/>
      <c r="JWJ1" s="42"/>
      <c r="JWK1" s="42"/>
      <c r="JWL1" s="42"/>
      <c r="JWM1" s="42"/>
      <c r="JWN1" s="42"/>
      <c r="JWO1" s="42"/>
      <c r="JWP1" s="42"/>
      <c r="JWQ1" s="42"/>
      <c r="JWR1" s="42"/>
      <c r="JWS1" s="42"/>
      <c r="JWT1" s="42"/>
      <c r="JWU1" s="42"/>
      <c r="JWV1" s="42"/>
      <c r="JWW1" s="42"/>
      <c r="JWX1" s="42"/>
      <c r="JWY1" s="42"/>
      <c r="JWZ1" s="42"/>
      <c r="JXA1" s="42"/>
      <c r="JXB1" s="42"/>
      <c r="JXC1" s="42"/>
      <c r="JXD1" s="42"/>
      <c r="JXE1" s="42"/>
      <c r="JXF1" s="42"/>
      <c r="JXG1" s="42"/>
      <c r="JXH1" s="42"/>
      <c r="JXI1" s="42"/>
      <c r="JXJ1" s="42"/>
      <c r="JXK1" s="42"/>
      <c r="JXL1" s="42"/>
      <c r="JXM1" s="42"/>
      <c r="JXN1" s="42"/>
      <c r="JXO1" s="42"/>
      <c r="JXP1" s="42"/>
      <c r="JXQ1" s="42"/>
      <c r="JXR1" s="42"/>
      <c r="JXS1" s="42"/>
      <c r="JXT1" s="42"/>
      <c r="JXU1" s="42"/>
      <c r="JXV1" s="42"/>
      <c r="JXW1" s="42"/>
      <c r="JXX1" s="42"/>
      <c r="JXY1" s="42"/>
      <c r="JXZ1" s="42"/>
      <c r="JYA1" s="42"/>
      <c r="JYB1" s="42"/>
      <c r="JYC1" s="42"/>
      <c r="JYD1" s="42"/>
      <c r="JYE1" s="42"/>
      <c r="JYF1" s="42"/>
      <c r="JYG1" s="42"/>
      <c r="JYH1" s="42"/>
      <c r="JYI1" s="42"/>
      <c r="JYJ1" s="42"/>
      <c r="JYK1" s="42"/>
      <c r="JYL1" s="42"/>
      <c r="JYM1" s="42"/>
      <c r="JYN1" s="42"/>
      <c r="JYO1" s="42"/>
      <c r="JYP1" s="42"/>
      <c r="JYQ1" s="42"/>
      <c r="JYR1" s="42"/>
      <c r="JYS1" s="42"/>
      <c r="JYT1" s="42"/>
      <c r="JYU1" s="42"/>
      <c r="JYV1" s="42"/>
      <c r="JYW1" s="42"/>
      <c r="JYX1" s="42"/>
      <c r="JYY1" s="42"/>
      <c r="JYZ1" s="42"/>
      <c r="JZA1" s="42"/>
      <c r="JZB1" s="42"/>
      <c r="JZC1" s="42"/>
      <c r="JZD1" s="42"/>
      <c r="JZE1" s="42"/>
      <c r="JZF1" s="42"/>
      <c r="JZG1" s="42"/>
      <c r="JZH1" s="42"/>
      <c r="JZI1" s="42"/>
      <c r="JZJ1" s="42"/>
      <c r="JZK1" s="42"/>
      <c r="JZL1" s="42"/>
      <c r="JZM1" s="42"/>
      <c r="JZN1" s="42"/>
      <c r="JZO1" s="42"/>
      <c r="JZP1" s="42"/>
      <c r="JZQ1" s="42"/>
      <c r="JZR1" s="42"/>
      <c r="JZS1" s="42"/>
      <c r="JZT1" s="42"/>
      <c r="JZU1" s="42"/>
      <c r="JZV1" s="42"/>
      <c r="JZW1" s="42"/>
      <c r="JZX1" s="42"/>
      <c r="JZY1" s="42"/>
      <c r="JZZ1" s="42"/>
      <c r="KAA1" s="42"/>
      <c r="KAB1" s="42"/>
      <c r="KAC1" s="42"/>
      <c r="KAD1" s="42"/>
      <c r="KAE1" s="42"/>
      <c r="KAF1" s="42"/>
      <c r="KAG1" s="42"/>
      <c r="KAH1" s="42"/>
      <c r="KAI1" s="42"/>
      <c r="KAJ1" s="42"/>
      <c r="KAK1" s="42"/>
      <c r="KAL1" s="42"/>
      <c r="KAM1" s="42"/>
      <c r="KAN1" s="42"/>
      <c r="KAO1" s="42"/>
      <c r="KAP1" s="42"/>
      <c r="KAQ1" s="42"/>
      <c r="KAR1" s="42"/>
      <c r="KAS1" s="42"/>
      <c r="KAT1" s="42"/>
      <c r="KAU1" s="42"/>
      <c r="KAV1" s="42"/>
      <c r="KAW1" s="42"/>
      <c r="KAX1" s="42"/>
      <c r="KAY1" s="42"/>
      <c r="KAZ1" s="42"/>
      <c r="KBA1" s="42"/>
      <c r="KBB1" s="42"/>
      <c r="KBC1" s="42"/>
      <c r="KBD1" s="42"/>
      <c r="KBE1" s="42"/>
      <c r="KBF1" s="42"/>
      <c r="KBG1" s="42"/>
      <c r="KBH1" s="42"/>
      <c r="KBI1" s="42"/>
      <c r="KBJ1" s="42"/>
      <c r="KBK1" s="42"/>
      <c r="KBL1" s="42"/>
      <c r="KBM1" s="42"/>
      <c r="KBN1" s="42"/>
      <c r="KBO1" s="42"/>
      <c r="KBP1" s="42"/>
      <c r="KBQ1" s="42"/>
      <c r="KBR1" s="42"/>
      <c r="KBS1" s="42"/>
      <c r="KBT1" s="42"/>
      <c r="KBU1" s="42"/>
      <c r="KBV1" s="42"/>
      <c r="KBW1" s="42"/>
      <c r="KBX1" s="42"/>
      <c r="KBY1" s="42"/>
      <c r="KBZ1" s="42"/>
      <c r="KCA1" s="42"/>
      <c r="KCB1" s="42"/>
      <c r="KCC1" s="42"/>
      <c r="KCD1" s="42"/>
      <c r="KCE1" s="42"/>
      <c r="KCF1" s="42"/>
      <c r="KCG1" s="42"/>
      <c r="KCH1" s="42"/>
      <c r="KCI1" s="42"/>
      <c r="KCJ1" s="42"/>
      <c r="KCK1" s="42"/>
      <c r="KCL1" s="42"/>
      <c r="KCM1" s="42"/>
      <c r="KCN1" s="42"/>
      <c r="KCO1" s="42"/>
      <c r="KCP1" s="42"/>
      <c r="KCQ1" s="42"/>
      <c r="KCR1" s="42"/>
      <c r="KCS1" s="42"/>
      <c r="KCT1" s="42"/>
      <c r="KCU1" s="42"/>
      <c r="KCV1" s="42"/>
      <c r="KCW1" s="42"/>
      <c r="KCX1" s="42"/>
      <c r="KCY1" s="42"/>
      <c r="KCZ1" s="42"/>
      <c r="KDA1" s="42"/>
      <c r="KDB1" s="42"/>
      <c r="KDC1" s="42"/>
      <c r="KDD1" s="42"/>
      <c r="KDE1" s="42"/>
      <c r="KDF1" s="42"/>
      <c r="KDG1" s="42"/>
      <c r="KDH1" s="42"/>
      <c r="KDI1" s="42"/>
      <c r="KDJ1" s="42"/>
      <c r="KDK1" s="42"/>
      <c r="KDL1" s="42"/>
      <c r="KDM1" s="42"/>
      <c r="KDN1" s="42"/>
      <c r="KDO1" s="42"/>
      <c r="KDP1" s="42"/>
      <c r="KDQ1" s="42"/>
      <c r="KDR1" s="42"/>
      <c r="KDS1" s="42"/>
      <c r="KDT1" s="42"/>
      <c r="KDU1" s="42"/>
      <c r="KDV1" s="42"/>
      <c r="KDW1" s="42"/>
      <c r="KDX1" s="42"/>
      <c r="KDY1" s="42"/>
      <c r="KDZ1" s="42"/>
      <c r="KEA1" s="42"/>
      <c r="KEB1" s="42"/>
      <c r="KEC1" s="42"/>
      <c r="KED1" s="42"/>
      <c r="KEE1" s="42"/>
      <c r="KEF1" s="42"/>
      <c r="KEG1" s="42"/>
      <c r="KEH1" s="42"/>
      <c r="KEI1" s="42"/>
      <c r="KEJ1" s="42"/>
      <c r="KEK1" s="42"/>
      <c r="KEL1" s="42"/>
      <c r="KEM1" s="42"/>
      <c r="KEN1" s="42"/>
      <c r="KEO1" s="42"/>
      <c r="KEP1" s="42"/>
      <c r="KEQ1" s="42"/>
      <c r="KER1" s="42"/>
      <c r="KES1" s="42"/>
      <c r="KET1" s="42"/>
      <c r="KEU1" s="42"/>
      <c r="KEV1" s="42"/>
      <c r="KEW1" s="42"/>
      <c r="KEX1" s="42"/>
      <c r="KEY1" s="42"/>
      <c r="KEZ1" s="42"/>
      <c r="KFA1" s="42"/>
      <c r="KFB1" s="42"/>
      <c r="KFC1" s="42"/>
      <c r="KFD1" s="42"/>
      <c r="KFE1" s="42"/>
      <c r="KFF1" s="42"/>
      <c r="KFG1" s="42"/>
      <c r="KFH1" s="42"/>
      <c r="KFI1" s="42"/>
      <c r="KFJ1" s="42"/>
      <c r="KFK1" s="42"/>
      <c r="KFL1" s="42"/>
      <c r="KFM1" s="42"/>
      <c r="KFN1" s="42"/>
      <c r="KFO1" s="42"/>
      <c r="KFP1" s="42"/>
      <c r="KFQ1" s="42"/>
      <c r="KFR1" s="42"/>
      <c r="KFS1" s="42"/>
      <c r="KFT1" s="42"/>
      <c r="KFU1" s="42"/>
      <c r="KFV1" s="42"/>
      <c r="KFW1" s="42"/>
      <c r="KFX1" s="42"/>
      <c r="KFY1" s="42"/>
      <c r="KFZ1" s="42"/>
      <c r="KGA1" s="42"/>
      <c r="KGB1" s="42"/>
      <c r="KGC1" s="42"/>
      <c r="KGD1" s="42"/>
      <c r="KGE1" s="42"/>
      <c r="KGF1" s="42"/>
      <c r="KGG1" s="42"/>
      <c r="KGH1" s="42"/>
      <c r="KGI1" s="42"/>
      <c r="KGJ1" s="42"/>
      <c r="KGK1" s="42"/>
      <c r="KGL1" s="42"/>
      <c r="KGM1" s="42"/>
      <c r="KGN1" s="42"/>
      <c r="KGO1" s="42"/>
      <c r="KGP1" s="42"/>
      <c r="KGQ1" s="42"/>
      <c r="KGR1" s="42"/>
      <c r="KGS1" s="42"/>
      <c r="KGT1" s="42"/>
      <c r="KGU1" s="42"/>
      <c r="KGV1" s="42"/>
      <c r="KGW1" s="42"/>
      <c r="KGX1" s="42"/>
      <c r="KGY1" s="42"/>
      <c r="KGZ1" s="42"/>
      <c r="KHA1" s="42"/>
      <c r="KHB1" s="42"/>
      <c r="KHC1" s="42"/>
      <c r="KHD1" s="42"/>
      <c r="KHE1" s="42"/>
      <c r="KHF1" s="42"/>
      <c r="KHG1" s="42"/>
      <c r="KHH1" s="42"/>
      <c r="KHI1" s="42"/>
      <c r="KHJ1" s="42"/>
      <c r="KHK1" s="42"/>
      <c r="KHL1" s="42"/>
      <c r="KHM1" s="42"/>
      <c r="KHN1" s="42"/>
      <c r="KHO1" s="42"/>
      <c r="KHP1" s="42"/>
      <c r="KHQ1" s="42"/>
      <c r="KHR1" s="42"/>
      <c r="KHS1" s="42"/>
      <c r="KHT1" s="42"/>
      <c r="KHU1" s="42"/>
      <c r="KHV1" s="42"/>
      <c r="KHW1" s="42"/>
      <c r="KHX1" s="42"/>
      <c r="KHY1" s="42"/>
      <c r="KHZ1" s="42"/>
      <c r="KIA1" s="42"/>
      <c r="KIB1" s="42"/>
      <c r="KIC1" s="42"/>
      <c r="KID1" s="42"/>
      <c r="KIE1" s="42"/>
      <c r="KIF1" s="42"/>
      <c r="KIG1" s="42"/>
      <c r="KIH1" s="42"/>
      <c r="KII1" s="42"/>
      <c r="KIJ1" s="42"/>
      <c r="KIK1" s="42"/>
      <c r="KIL1" s="42"/>
      <c r="KIM1" s="42"/>
      <c r="KIN1" s="42"/>
      <c r="KIO1" s="42"/>
      <c r="KIP1" s="42"/>
      <c r="KIQ1" s="42"/>
      <c r="KIR1" s="42"/>
      <c r="KIS1" s="42"/>
      <c r="KIT1" s="42"/>
      <c r="KIU1" s="42"/>
      <c r="KIV1" s="42"/>
      <c r="KIW1" s="42"/>
      <c r="KIX1" s="42"/>
      <c r="KIY1" s="42"/>
      <c r="KIZ1" s="42"/>
      <c r="KJA1" s="42"/>
      <c r="KJB1" s="42"/>
      <c r="KJC1" s="42"/>
      <c r="KJD1" s="42"/>
      <c r="KJE1" s="42"/>
      <c r="KJF1" s="42"/>
      <c r="KJG1" s="42"/>
      <c r="KJH1" s="42"/>
      <c r="KJI1" s="42"/>
      <c r="KJJ1" s="42"/>
      <c r="KJK1" s="42"/>
      <c r="KJL1" s="42"/>
      <c r="KJM1" s="42"/>
      <c r="KJN1" s="42"/>
      <c r="KJO1" s="42"/>
      <c r="KJP1" s="42"/>
      <c r="KJQ1" s="42"/>
      <c r="KJR1" s="42"/>
      <c r="KJS1" s="42"/>
      <c r="KJT1" s="42"/>
      <c r="KJU1" s="42"/>
      <c r="KJV1" s="42"/>
      <c r="KJW1" s="42"/>
      <c r="KJX1" s="42"/>
      <c r="KJY1" s="42"/>
      <c r="KJZ1" s="42"/>
      <c r="KKA1" s="42"/>
      <c r="KKB1" s="42"/>
      <c r="KKC1" s="42"/>
      <c r="KKD1" s="42"/>
      <c r="KKE1" s="42"/>
      <c r="KKF1" s="42"/>
      <c r="KKG1" s="42"/>
      <c r="KKH1" s="42"/>
      <c r="KKI1" s="42"/>
      <c r="KKJ1" s="42"/>
      <c r="KKK1" s="42"/>
      <c r="KKL1" s="42"/>
      <c r="KKM1" s="42"/>
      <c r="KKN1" s="42"/>
      <c r="KKO1" s="42"/>
      <c r="KKP1" s="42"/>
      <c r="KKQ1" s="42"/>
      <c r="KKR1" s="42"/>
      <c r="KKS1" s="42"/>
      <c r="KKT1" s="42"/>
      <c r="KKU1" s="42"/>
      <c r="KKV1" s="42"/>
      <c r="KKW1" s="42"/>
      <c r="KKX1" s="42"/>
      <c r="KKY1" s="42"/>
      <c r="KKZ1" s="42"/>
      <c r="KLA1" s="42"/>
      <c r="KLB1" s="42"/>
      <c r="KLC1" s="42"/>
      <c r="KLD1" s="42"/>
      <c r="KLE1" s="42"/>
      <c r="KLF1" s="42"/>
      <c r="KLG1" s="42"/>
      <c r="KLH1" s="42"/>
      <c r="KLI1" s="42"/>
      <c r="KLJ1" s="42"/>
      <c r="KLK1" s="42"/>
      <c r="KLL1" s="42"/>
      <c r="KLM1" s="42"/>
      <c r="KLN1" s="42"/>
      <c r="KLO1" s="42"/>
      <c r="KLP1" s="42"/>
      <c r="KLQ1" s="42"/>
      <c r="KLR1" s="42"/>
      <c r="KLS1" s="42"/>
      <c r="KLT1" s="42"/>
      <c r="KLU1" s="42"/>
      <c r="KLV1" s="42"/>
      <c r="KLW1" s="42"/>
      <c r="KLX1" s="42"/>
      <c r="KLY1" s="42"/>
      <c r="KLZ1" s="42"/>
      <c r="KMA1" s="42"/>
      <c r="KMB1" s="42"/>
      <c r="KMC1" s="42"/>
      <c r="KMD1" s="42"/>
      <c r="KME1" s="42"/>
      <c r="KMF1" s="42"/>
      <c r="KMG1" s="42"/>
      <c r="KMH1" s="42"/>
      <c r="KMI1" s="42"/>
      <c r="KMJ1" s="42"/>
      <c r="KMK1" s="42"/>
      <c r="KML1" s="42"/>
      <c r="KMM1" s="42"/>
      <c r="KMN1" s="42"/>
      <c r="KMO1" s="42"/>
      <c r="KMP1" s="42"/>
      <c r="KMQ1" s="42"/>
      <c r="KMR1" s="42"/>
      <c r="KMS1" s="42"/>
      <c r="KMT1" s="42"/>
      <c r="KMU1" s="42"/>
      <c r="KMV1" s="42"/>
      <c r="KMW1" s="42"/>
      <c r="KMX1" s="42"/>
      <c r="KMY1" s="42"/>
      <c r="KMZ1" s="42"/>
      <c r="KNA1" s="42"/>
      <c r="KNB1" s="42"/>
      <c r="KNC1" s="42"/>
      <c r="KND1" s="42"/>
      <c r="KNE1" s="42"/>
      <c r="KNF1" s="42"/>
      <c r="KNG1" s="42"/>
      <c r="KNH1" s="42"/>
      <c r="KNI1" s="42"/>
      <c r="KNJ1" s="42"/>
      <c r="KNK1" s="42"/>
      <c r="KNL1" s="42"/>
      <c r="KNM1" s="42"/>
      <c r="KNN1" s="42"/>
      <c r="KNO1" s="42"/>
      <c r="KNP1" s="42"/>
      <c r="KNQ1" s="42"/>
      <c r="KNR1" s="42"/>
      <c r="KNS1" s="42"/>
      <c r="KNT1" s="42"/>
      <c r="KNU1" s="42"/>
      <c r="KNV1" s="42"/>
      <c r="KNW1" s="42"/>
      <c r="KNX1" s="42"/>
      <c r="KNY1" s="42"/>
      <c r="KNZ1" s="42"/>
      <c r="KOA1" s="42"/>
      <c r="KOB1" s="42"/>
      <c r="KOC1" s="42"/>
      <c r="KOD1" s="42"/>
      <c r="KOE1" s="42"/>
      <c r="KOF1" s="42"/>
      <c r="KOG1" s="42"/>
      <c r="KOH1" s="42"/>
      <c r="KOI1" s="42"/>
      <c r="KOJ1" s="42"/>
      <c r="KOK1" s="42"/>
      <c r="KOL1" s="42"/>
      <c r="KOM1" s="42"/>
      <c r="KON1" s="42"/>
      <c r="KOO1" s="42"/>
      <c r="KOP1" s="42"/>
      <c r="KOQ1" s="42"/>
      <c r="KOR1" s="42"/>
      <c r="KOS1" s="42"/>
      <c r="KOT1" s="42"/>
      <c r="KOU1" s="42"/>
      <c r="KOV1" s="42"/>
      <c r="KOW1" s="42"/>
      <c r="KOX1" s="42"/>
      <c r="KOY1" s="42"/>
      <c r="KOZ1" s="42"/>
      <c r="KPA1" s="42"/>
      <c r="KPB1" s="42"/>
      <c r="KPC1" s="42"/>
      <c r="KPD1" s="42"/>
      <c r="KPE1" s="42"/>
      <c r="KPF1" s="42"/>
      <c r="KPG1" s="42"/>
      <c r="KPH1" s="42"/>
      <c r="KPI1" s="42"/>
      <c r="KPJ1" s="42"/>
      <c r="KPK1" s="42"/>
      <c r="KPL1" s="42"/>
      <c r="KPM1" s="42"/>
      <c r="KPN1" s="42"/>
      <c r="KPO1" s="42"/>
      <c r="KPP1" s="42"/>
      <c r="KPQ1" s="42"/>
      <c r="KPR1" s="42"/>
      <c r="KPS1" s="42"/>
      <c r="KPT1" s="42"/>
      <c r="KPU1" s="42"/>
      <c r="KPV1" s="42"/>
      <c r="KPW1" s="42"/>
      <c r="KPX1" s="42"/>
      <c r="KPY1" s="42"/>
      <c r="KPZ1" s="42"/>
      <c r="KQA1" s="42"/>
      <c r="KQB1" s="42"/>
      <c r="KQC1" s="42"/>
      <c r="KQD1" s="42"/>
      <c r="KQE1" s="42"/>
      <c r="KQF1" s="42"/>
      <c r="KQG1" s="42"/>
      <c r="KQH1" s="42"/>
      <c r="KQI1" s="42"/>
      <c r="KQJ1" s="42"/>
      <c r="KQK1" s="42"/>
      <c r="KQL1" s="42"/>
      <c r="KQM1" s="42"/>
      <c r="KQN1" s="42"/>
      <c r="KQO1" s="42"/>
      <c r="KQP1" s="42"/>
      <c r="KQQ1" s="42"/>
      <c r="KQR1" s="42"/>
      <c r="KQS1" s="42"/>
      <c r="KQT1" s="42"/>
      <c r="KQU1" s="42"/>
      <c r="KQV1" s="42"/>
      <c r="KQW1" s="42"/>
      <c r="KQX1" s="42"/>
      <c r="KQY1" s="42"/>
      <c r="KQZ1" s="42"/>
      <c r="KRA1" s="42"/>
      <c r="KRB1" s="42"/>
      <c r="KRC1" s="42"/>
      <c r="KRD1" s="42"/>
      <c r="KRE1" s="42"/>
      <c r="KRF1" s="42"/>
      <c r="KRG1" s="42"/>
      <c r="KRH1" s="42"/>
      <c r="KRI1" s="42"/>
      <c r="KRJ1" s="42"/>
      <c r="KRK1" s="42"/>
      <c r="KRL1" s="42"/>
      <c r="KRM1" s="42"/>
      <c r="KRN1" s="42"/>
      <c r="KRO1" s="42"/>
      <c r="KRP1" s="42"/>
      <c r="KRQ1" s="42"/>
      <c r="KRR1" s="42"/>
      <c r="KRS1" s="42"/>
      <c r="KRT1" s="42"/>
      <c r="KRU1" s="42"/>
      <c r="KRV1" s="42"/>
      <c r="KRW1" s="42"/>
      <c r="KRX1" s="42"/>
      <c r="KRY1" s="42"/>
      <c r="KRZ1" s="42"/>
      <c r="KSA1" s="42"/>
      <c r="KSB1" s="42"/>
      <c r="KSC1" s="42"/>
      <c r="KSD1" s="42"/>
      <c r="KSE1" s="42"/>
      <c r="KSF1" s="42"/>
      <c r="KSG1" s="42"/>
      <c r="KSH1" s="42"/>
      <c r="KSI1" s="42"/>
      <c r="KSJ1" s="42"/>
      <c r="KSK1" s="42"/>
      <c r="KSL1" s="42"/>
      <c r="KSM1" s="42"/>
      <c r="KSN1" s="42"/>
      <c r="KSO1" s="42"/>
      <c r="KSP1" s="42"/>
      <c r="KSQ1" s="42"/>
      <c r="KSR1" s="42"/>
      <c r="KSS1" s="42"/>
      <c r="KST1" s="42"/>
      <c r="KSU1" s="42"/>
      <c r="KSV1" s="42"/>
      <c r="KSW1" s="42"/>
      <c r="KSX1" s="42"/>
      <c r="KSY1" s="42"/>
      <c r="KSZ1" s="42"/>
      <c r="KTA1" s="42"/>
      <c r="KTB1" s="42"/>
      <c r="KTC1" s="42"/>
      <c r="KTD1" s="42"/>
      <c r="KTE1" s="42"/>
      <c r="KTF1" s="42"/>
      <c r="KTG1" s="42"/>
      <c r="KTH1" s="42"/>
      <c r="KTI1" s="42"/>
      <c r="KTJ1" s="42"/>
      <c r="KTK1" s="42"/>
      <c r="KTL1" s="42"/>
      <c r="KTM1" s="42"/>
      <c r="KTN1" s="42"/>
      <c r="KTO1" s="42"/>
      <c r="KTP1" s="42"/>
      <c r="KTQ1" s="42"/>
      <c r="KTR1" s="42"/>
      <c r="KTS1" s="42"/>
      <c r="KTT1" s="42"/>
      <c r="KTU1" s="42"/>
      <c r="KTV1" s="42"/>
      <c r="KTW1" s="42"/>
      <c r="KTX1" s="42"/>
      <c r="KTY1" s="42"/>
      <c r="KTZ1" s="42"/>
      <c r="KUA1" s="42"/>
      <c r="KUB1" s="42"/>
      <c r="KUC1" s="42"/>
      <c r="KUD1" s="42"/>
      <c r="KUE1" s="42"/>
      <c r="KUF1" s="42"/>
      <c r="KUG1" s="42"/>
      <c r="KUH1" s="42"/>
      <c r="KUI1" s="42"/>
      <c r="KUJ1" s="42"/>
      <c r="KUK1" s="42"/>
      <c r="KUL1" s="42"/>
      <c r="KUM1" s="42"/>
      <c r="KUN1" s="42"/>
      <c r="KUO1" s="42"/>
      <c r="KUP1" s="42"/>
      <c r="KUQ1" s="42"/>
      <c r="KUR1" s="42"/>
      <c r="KUS1" s="42"/>
      <c r="KUT1" s="42"/>
      <c r="KUU1" s="42"/>
      <c r="KUV1" s="42"/>
      <c r="KUW1" s="42"/>
      <c r="KUX1" s="42"/>
      <c r="KUY1" s="42"/>
      <c r="KUZ1" s="42"/>
      <c r="KVA1" s="42"/>
      <c r="KVB1" s="42"/>
      <c r="KVC1" s="42"/>
      <c r="KVD1" s="42"/>
      <c r="KVE1" s="42"/>
      <c r="KVF1" s="42"/>
      <c r="KVG1" s="42"/>
      <c r="KVH1" s="42"/>
      <c r="KVI1" s="42"/>
      <c r="KVJ1" s="42"/>
      <c r="KVK1" s="42"/>
      <c r="KVL1" s="42"/>
      <c r="KVM1" s="42"/>
      <c r="KVN1" s="42"/>
      <c r="KVO1" s="42"/>
      <c r="KVP1" s="42"/>
      <c r="KVQ1" s="42"/>
      <c r="KVR1" s="42"/>
      <c r="KVS1" s="42"/>
      <c r="KVT1" s="42"/>
      <c r="KVU1" s="42"/>
      <c r="KVV1" s="42"/>
      <c r="KVW1" s="42"/>
      <c r="KVX1" s="42"/>
      <c r="KVY1" s="42"/>
      <c r="KVZ1" s="42"/>
      <c r="KWA1" s="42"/>
      <c r="KWB1" s="42"/>
      <c r="KWC1" s="42"/>
      <c r="KWD1" s="42"/>
      <c r="KWE1" s="42"/>
      <c r="KWF1" s="42"/>
      <c r="KWG1" s="42"/>
      <c r="KWH1" s="42"/>
      <c r="KWI1" s="42"/>
      <c r="KWJ1" s="42"/>
      <c r="KWK1" s="42"/>
      <c r="KWL1" s="42"/>
      <c r="KWM1" s="42"/>
      <c r="KWN1" s="42"/>
      <c r="KWO1" s="42"/>
      <c r="KWP1" s="42"/>
      <c r="KWQ1" s="42"/>
      <c r="KWR1" s="42"/>
      <c r="KWS1" s="42"/>
      <c r="KWT1" s="42"/>
      <c r="KWU1" s="42"/>
      <c r="KWV1" s="42"/>
      <c r="KWW1" s="42"/>
      <c r="KWX1" s="42"/>
      <c r="KWY1" s="42"/>
      <c r="KWZ1" s="42"/>
      <c r="KXA1" s="42"/>
      <c r="KXB1" s="42"/>
      <c r="KXC1" s="42"/>
      <c r="KXD1" s="42"/>
      <c r="KXE1" s="42"/>
      <c r="KXF1" s="42"/>
      <c r="KXG1" s="42"/>
      <c r="KXH1" s="42"/>
      <c r="KXI1" s="42"/>
      <c r="KXJ1" s="42"/>
      <c r="KXK1" s="42"/>
      <c r="KXL1" s="42"/>
      <c r="KXM1" s="42"/>
      <c r="KXN1" s="42"/>
      <c r="KXO1" s="42"/>
      <c r="KXP1" s="42"/>
      <c r="KXQ1" s="42"/>
      <c r="KXR1" s="42"/>
      <c r="KXS1" s="42"/>
      <c r="KXT1" s="42"/>
      <c r="KXU1" s="42"/>
      <c r="KXV1" s="42"/>
      <c r="KXW1" s="42"/>
      <c r="KXX1" s="42"/>
      <c r="KXY1" s="42"/>
      <c r="KXZ1" s="42"/>
      <c r="KYA1" s="42"/>
      <c r="KYB1" s="42"/>
      <c r="KYC1" s="42"/>
      <c r="KYD1" s="42"/>
      <c r="KYE1" s="42"/>
      <c r="KYF1" s="42"/>
      <c r="KYG1" s="42"/>
      <c r="KYH1" s="42"/>
      <c r="KYI1" s="42"/>
      <c r="KYJ1" s="42"/>
      <c r="KYK1" s="42"/>
      <c r="KYL1" s="42"/>
      <c r="KYM1" s="42"/>
      <c r="KYN1" s="42"/>
      <c r="KYO1" s="42"/>
      <c r="KYP1" s="42"/>
      <c r="KYQ1" s="42"/>
      <c r="KYR1" s="42"/>
      <c r="KYS1" s="42"/>
      <c r="KYT1" s="42"/>
      <c r="KYU1" s="42"/>
      <c r="KYV1" s="42"/>
      <c r="KYW1" s="42"/>
      <c r="KYX1" s="42"/>
      <c r="KYY1" s="42"/>
      <c r="KYZ1" s="42"/>
      <c r="KZA1" s="42"/>
      <c r="KZB1" s="42"/>
      <c r="KZC1" s="42"/>
      <c r="KZD1" s="42"/>
      <c r="KZE1" s="42"/>
      <c r="KZF1" s="42"/>
      <c r="KZG1" s="42"/>
      <c r="KZH1" s="42"/>
      <c r="KZI1" s="42"/>
      <c r="KZJ1" s="42"/>
      <c r="KZK1" s="42"/>
      <c r="KZL1" s="42"/>
      <c r="KZM1" s="42"/>
      <c r="KZN1" s="42"/>
      <c r="KZO1" s="42"/>
      <c r="KZP1" s="42"/>
      <c r="KZQ1" s="42"/>
      <c r="KZR1" s="42"/>
      <c r="KZS1" s="42"/>
      <c r="KZT1" s="42"/>
      <c r="KZU1" s="42"/>
      <c r="KZV1" s="42"/>
      <c r="KZW1" s="42"/>
      <c r="KZX1" s="42"/>
      <c r="KZY1" s="42"/>
      <c r="KZZ1" s="42"/>
      <c r="LAA1" s="42"/>
      <c r="LAB1" s="42"/>
      <c r="LAC1" s="42"/>
      <c r="LAD1" s="42"/>
      <c r="LAE1" s="42"/>
      <c r="LAF1" s="42"/>
      <c r="LAG1" s="42"/>
      <c r="LAH1" s="42"/>
      <c r="LAI1" s="42"/>
      <c r="LAJ1" s="42"/>
      <c r="LAK1" s="42"/>
      <c r="LAL1" s="42"/>
      <c r="LAM1" s="42"/>
      <c r="LAN1" s="42"/>
      <c r="LAO1" s="42"/>
      <c r="LAP1" s="42"/>
      <c r="LAQ1" s="42"/>
      <c r="LAR1" s="42"/>
      <c r="LAS1" s="42"/>
      <c r="LAT1" s="42"/>
      <c r="LAU1" s="42"/>
      <c r="LAV1" s="42"/>
      <c r="LAW1" s="42"/>
      <c r="LAX1" s="42"/>
      <c r="LAY1" s="42"/>
      <c r="LAZ1" s="42"/>
      <c r="LBA1" s="42"/>
      <c r="LBB1" s="42"/>
      <c r="LBC1" s="42"/>
      <c r="LBD1" s="42"/>
      <c r="LBE1" s="42"/>
      <c r="LBF1" s="42"/>
      <c r="LBG1" s="42"/>
      <c r="LBH1" s="42"/>
      <c r="LBI1" s="42"/>
      <c r="LBJ1" s="42"/>
      <c r="LBK1" s="42"/>
      <c r="LBL1" s="42"/>
      <c r="LBM1" s="42"/>
      <c r="LBN1" s="42"/>
      <c r="LBO1" s="42"/>
      <c r="LBP1" s="42"/>
      <c r="LBQ1" s="42"/>
      <c r="LBR1" s="42"/>
      <c r="LBS1" s="42"/>
      <c r="LBT1" s="42"/>
      <c r="LBU1" s="42"/>
      <c r="LBV1" s="42"/>
      <c r="LBW1" s="42"/>
      <c r="LBX1" s="42"/>
      <c r="LBY1" s="42"/>
      <c r="LBZ1" s="42"/>
      <c r="LCA1" s="42"/>
      <c r="LCB1" s="42"/>
      <c r="LCC1" s="42"/>
      <c r="LCD1" s="42"/>
      <c r="LCE1" s="42"/>
      <c r="LCF1" s="42"/>
      <c r="LCG1" s="42"/>
      <c r="LCH1" s="42"/>
      <c r="LCI1" s="42"/>
      <c r="LCJ1" s="42"/>
      <c r="LCK1" s="42"/>
      <c r="LCL1" s="42"/>
      <c r="LCM1" s="42"/>
      <c r="LCN1" s="42"/>
      <c r="LCO1" s="42"/>
      <c r="LCP1" s="42"/>
      <c r="LCQ1" s="42"/>
      <c r="LCR1" s="42"/>
      <c r="LCS1" s="42"/>
      <c r="LCT1" s="42"/>
      <c r="LCU1" s="42"/>
      <c r="LCV1" s="42"/>
      <c r="LCW1" s="42"/>
      <c r="LCX1" s="42"/>
      <c r="LCY1" s="42"/>
      <c r="LCZ1" s="42"/>
      <c r="LDA1" s="42"/>
      <c r="LDB1" s="42"/>
      <c r="LDC1" s="42"/>
      <c r="LDD1" s="42"/>
      <c r="LDE1" s="42"/>
      <c r="LDF1" s="42"/>
      <c r="LDG1" s="42"/>
      <c r="LDH1" s="42"/>
      <c r="LDI1" s="42"/>
      <c r="LDJ1" s="42"/>
      <c r="LDK1" s="42"/>
      <c r="LDL1" s="42"/>
      <c r="LDM1" s="42"/>
      <c r="LDN1" s="42"/>
      <c r="LDO1" s="42"/>
      <c r="LDP1" s="42"/>
      <c r="LDQ1" s="42"/>
      <c r="LDR1" s="42"/>
      <c r="LDS1" s="42"/>
      <c r="LDT1" s="42"/>
      <c r="LDU1" s="42"/>
      <c r="LDV1" s="42"/>
      <c r="LDW1" s="42"/>
      <c r="LDX1" s="42"/>
      <c r="LDY1" s="42"/>
      <c r="LDZ1" s="42"/>
      <c r="LEA1" s="42"/>
      <c r="LEB1" s="42"/>
      <c r="LEC1" s="42"/>
      <c r="LED1" s="42"/>
      <c r="LEE1" s="42"/>
      <c r="LEF1" s="42"/>
      <c r="LEG1" s="42"/>
      <c r="LEH1" s="42"/>
      <c r="LEI1" s="42"/>
      <c r="LEJ1" s="42"/>
      <c r="LEK1" s="42"/>
      <c r="LEL1" s="42"/>
      <c r="LEM1" s="42"/>
      <c r="LEN1" s="42"/>
      <c r="LEO1" s="42"/>
      <c r="LEP1" s="42"/>
      <c r="LEQ1" s="42"/>
      <c r="LER1" s="42"/>
      <c r="LES1" s="42"/>
      <c r="LET1" s="42"/>
      <c r="LEU1" s="42"/>
      <c r="LEV1" s="42"/>
      <c r="LEW1" s="42"/>
      <c r="LEX1" s="42"/>
      <c r="LEY1" s="42"/>
      <c r="LEZ1" s="42"/>
      <c r="LFA1" s="42"/>
      <c r="LFB1" s="42"/>
      <c r="LFC1" s="42"/>
      <c r="LFD1" s="42"/>
      <c r="LFE1" s="42"/>
      <c r="LFF1" s="42"/>
      <c r="LFG1" s="42"/>
      <c r="LFH1" s="42"/>
      <c r="LFI1" s="42"/>
      <c r="LFJ1" s="42"/>
      <c r="LFK1" s="42"/>
      <c r="LFL1" s="42"/>
      <c r="LFM1" s="42"/>
      <c r="LFN1" s="42"/>
      <c r="LFO1" s="42"/>
      <c r="LFP1" s="42"/>
      <c r="LFQ1" s="42"/>
      <c r="LFR1" s="42"/>
      <c r="LFS1" s="42"/>
      <c r="LFT1" s="42"/>
      <c r="LFU1" s="42"/>
      <c r="LFV1" s="42"/>
      <c r="LFW1" s="42"/>
      <c r="LFX1" s="42"/>
      <c r="LFY1" s="42"/>
      <c r="LFZ1" s="42"/>
      <c r="LGA1" s="42"/>
      <c r="LGB1" s="42"/>
      <c r="LGC1" s="42"/>
      <c r="LGD1" s="42"/>
      <c r="LGE1" s="42"/>
      <c r="LGF1" s="42"/>
      <c r="LGG1" s="42"/>
      <c r="LGH1" s="42"/>
      <c r="LGI1" s="42"/>
      <c r="LGJ1" s="42"/>
      <c r="LGK1" s="42"/>
      <c r="LGL1" s="42"/>
      <c r="LGM1" s="42"/>
      <c r="LGN1" s="42"/>
      <c r="LGO1" s="42"/>
      <c r="LGP1" s="42"/>
      <c r="LGQ1" s="42"/>
      <c r="LGR1" s="42"/>
      <c r="LGS1" s="42"/>
      <c r="LGT1" s="42"/>
      <c r="LGU1" s="42"/>
      <c r="LGV1" s="42"/>
      <c r="LGW1" s="42"/>
      <c r="LGX1" s="42"/>
      <c r="LGY1" s="42"/>
      <c r="LGZ1" s="42"/>
      <c r="LHA1" s="42"/>
      <c r="LHB1" s="42"/>
      <c r="LHC1" s="42"/>
      <c r="LHD1" s="42"/>
      <c r="LHE1" s="42"/>
      <c r="LHF1" s="42"/>
      <c r="LHG1" s="42"/>
      <c r="LHH1" s="42"/>
      <c r="LHI1" s="42"/>
      <c r="LHJ1" s="42"/>
      <c r="LHK1" s="42"/>
      <c r="LHL1" s="42"/>
      <c r="LHM1" s="42"/>
      <c r="LHN1" s="42"/>
      <c r="LHO1" s="42"/>
      <c r="LHP1" s="42"/>
      <c r="LHQ1" s="42"/>
      <c r="LHR1" s="42"/>
      <c r="LHS1" s="42"/>
      <c r="LHT1" s="42"/>
      <c r="LHU1" s="42"/>
      <c r="LHV1" s="42"/>
      <c r="LHW1" s="42"/>
      <c r="LHX1" s="42"/>
      <c r="LHY1" s="42"/>
      <c r="LHZ1" s="42"/>
      <c r="LIA1" s="42"/>
      <c r="LIB1" s="42"/>
      <c r="LIC1" s="42"/>
      <c r="LID1" s="42"/>
      <c r="LIE1" s="42"/>
      <c r="LIF1" s="42"/>
      <c r="LIG1" s="42"/>
      <c r="LIH1" s="42"/>
      <c r="LII1" s="42"/>
      <c r="LIJ1" s="42"/>
      <c r="LIK1" s="42"/>
      <c r="LIL1" s="42"/>
      <c r="LIM1" s="42"/>
      <c r="LIN1" s="42"/>
      <c r="LIO1" s="42"/>
      <c r="LIP1" s="42"/>
      <c r="LIQ1" s="42"/>
      <c r="LIR1" s="42"/>
      <c r="LIS1" s="42"/>
      <c r="LIT1" s="42"/>
      <c r="LIU1" s="42"/>
      <c r="LIV1" s="42"/>
      <c r="LIW1" s="42"/>
      <c r="LIX1" s="42"/>
      <c r="LIY1" s="42"/>
      <c r="LIZ1" s="42"/>
      <c r="LJA1" s="42"/>
      <c r="LJB1" s="42"/>
      <c r="LJC1" s="42"/>
      <c r="LJD1" s="42"/>
      <c r="LJE1" s="42"/>
      <c r="LJF1" s="42"/>
      <c r="LJG1" s="42"/>
      <c r="LJH1" s="42"/>
      <c r="LJI1" s="42"/>
      <c r="LJJ1" s="42"/>
      <c r="LJK1" s="42"/>
      <c r="LJL1" s="42"/>
      <c r="LJM1" s="42"/>
      <c r="LJN1" s="42"/>
      <c r="LJO1" s="42"/>
      <c r="LJP1" s="42"/>
      <c r="LJQ1" s="42"/>
      <c r="LJR1" s="42"/>
      <c r="LJS1" s="42"/>
      <c r="LJT1" s="42"/>
      <c r="LJU1" s="42"/>
      <c r="LJV1" s="42"/>
      <c r="LJW1" s="42"/>
      <c r="LJX1" s="42"/>
      <c r="LJY1" s="42"/>
      <c r="LJZ1" s="42"/>
      <c r="LKA1" s="42"/>
      <c r="LKB1" s="42"/>
      <c r="LKC1" s="42"/>
      <c r="LKD1" s="42"/>
      <c r="LKE1" s="42"/>
      <c r="LKF1" s="42"/>
      <c r="LKG1" s="42"/>
      <c r="LKH1" s="42"/>
      <c r="LKI1" s="42"/>
      <c r="LKJ1" s="42"/>
      <c r="LKK1" s="42"/>
      <c r="LKL1" s="42"/>
      <c r="LKM1" s="42"/>
      <c r="LKN1" s="42"/>
      <c r="LKO1" s="42"/>
      <c r="LKP1" s="42"/>
      <c r="LKQ1" s="42"/>
      <c r="LKR1" s="42"/>
      <c r="LKS1" s="42"/>
      <c r="LKT1" s="42"/>
      <c r="LKU1" s="42"/>
      <c r="LKV1" s="42"/>
      <c r="LKW1" s="42"/>
      <c r="LKX1" s="42"/>
      <c r="LKY1" s="42"/>
      <c r="LKZ1" s="42"/>
      <c r="LLA1" s="42"/>
      <c r="LLB1" s="42"/>
      <c r="LLC1" s="42"/>
      <c r="LLD1" s="42"/>
      <c r="LLE1" s="42"/>
      <c r="LLF1" s="42"/>
      <c r="LLG1" s="42"/>
      <c r="LLH1" s="42"/>
      <c r="LLI1" s="42"/>
      <c r="LLJ1" s="42"/>
      <c r="LLK1" s="42"/>
      <c r="LLL1" s="42"/>
      <c r="LLM1" s="42"/>
      <c r="LLN1" s="42"/>
      <c r="LLO1" s="42"/>
      <c r="LLP1" s="42"/>
      <c r="LLQ1" s="42"/>
      <c r="LLR1" s="42"/>
      <c r="LLS1" s="42"/>
      <c r="LLT1" s="42"/>
      <c r="LLU1" s="42"/>
      <c r="LLV1" s="42"/>
      <c r="LLW1" s="42"/>
      <c r="LLX1" s="42"/>
      <c r="LLY1" s="42"/>
      <c r="LLZ1" s="42"/>
      <c r="LMA1" s="42"/>
      <c r="LMB1" s="42"/>
      <c r="LMC1" s="42"/>
      <c r="LMD1" s="42"/>
      <c r="LME1" s="42"/>
      <c r="LMF1" s="42"/>
      <c r="LMG1" s="42"/>
      <c r="LMH1" s="42"/>
      <c r="LMI1" s="42"/>
      <c r="LMJ1" s="42"/>
      <c r="LMK1" s="42"/>
      <c r="LML1" s="42"/>
      <c r="LMM1" s="42"/>
      <c r="LMN1" s="42"/>
      <c r="LMO1" s="42"/>
      <c r="LMP1" s="42"/>
      <c r="LMQ1" s="42"/>
      <c r="LMR1" s="42"/>
      <c r="LMS1" s="42"/>
      <c r="LMT1" s="42"/>
      <c r="LMU1" s="42"/>
      <c r="LMV1" s="42"/>
      <c r="LMW1" s="42"/>
      <c r="LMX1" s="42"/>
      <c r="LMY1" s="42"/>
      <c r="LMZ1" s="42"/>
      <c r="LNA1" s="42"/>
      <c r="LNB1" s="42"/>
      <c r="LNC1" s="42"/>
      <c r="LND1" s="42"/>
      <c r="LNE1" s="42"/>
      <c r="LNF1" s="42"/>
      <c r="LNG1" s="42"/>
      <c r="LNH1" s="42"/>
      <c r="LNI1" s="42"/>
      <c r="LNJ1" s="42"/>
      <c r="LNK1" s="42"/>
      <c r="LNL1" s="42"/>
      <c r="LNM1" s="42"/>
      <c r="LNN1" s="42"/>
      <c r="LNO1" s="42"/>
      <c r="LNP1" s="42"/>
      <c r="LNQ1" s="42"/>
      <c r="LNR1" s="42"/>
      <c r="LNS1" s="42"/>
      <c r="LNT1" s="42"/>
      <c r="LNU1" s="42"/>
      <c r="LNV1" s="42"/>
      <c r="LNW1" s="42"/>
      <c r="LNX1" s="42"/>
      <c r="LNY1" s="42"/>
      <c r="LNZ1" s="42"/>
      <c r="LOA1" s="42"/>
      <c r="LOB1" s="42"/>
      <c r="LOC1" s="42"/>
      <c r="LOD1" s="42"/>
      <c r="LOE1" s="42"/>
      <c r="LOF1" s="42"/>
      <c r="LOG1" s="42"/>
      <c r="LOH1" s="42"/>
      <c r="LOI1" s="42"/>
      <c r="LOJ1" s="42"/>
      <c r="LOK1" s="42"/>
      <c r="LOL1" s="42"/>
      <c r="LOM1" s="42"/>
      <c r="LON1" s="42"/>
      <c r="LOO1" s="42"/>
      <c r="LOP1" s="42"/>
      <c r="LOQ1" s="42"/>
      <c r="LOR1" s="42"/>
      <c r="LOS1" s="42"/>
      <c r="LOT1" s="42"/>
      <c r="LOU1" s="42"/>
      <c r="LOV1" s="42"/>
      <c r="LOW1" s="42"/>
      <c r="LOX1" s="42"/>
      <c r="LOY1" s="42"/>
      <c r="LOZ1" s="42"/>
      <c r="LPA1" s="42"/>
      <c r="LPB1" s="42"/>
      <c r="LPC1" s="42"/>
      <c r="LPD1" s="42"/>
      <c r="LPE1" s="42"/>
      <c r="LPF1" s="42"/>
      <c r="LPG1" s="42"/>
      <c r="LPH1" s="42"/>
      <c r="LPI1" s="42"/>
      <c r="LPJ1" s="42"/>
      <c r="LPK1" s="42"/>
      <c r="LPL1" s="42"/>
      <c r="LPM1" s="42"/>
      <c r="LPN1" s="42"/>
      <c r="LPO1" s="42"/>
      <c r="LPP1" s="42"/>
      <c r="LPQ1" s="42"/>
      <c r="LPR1" s="42"/>
      <c r="LPS1" s="42"/>
      <c r="LPT1" s="42"/>
      <c r="LPU1" s="42"/>
      <c r="LPV1" s="42"/>
      <c r="LPW1" s="42"/>
      <c r="LPX1" s="42"/>
      <c r="LPY1" s="42"/>
      <c r="LPZ1" s="42"/>
      <c r="LQA1" s="42"/>
      <c r="LQB1" s="42"/>
      <c r="LQC1" s="42"/>
      <c r="LQD1" s="42"/>
      <c r="LQE1" s="42"/>
      <c r="LQF1" s="42"/>
      <c r="LQG1" s="42"/>
      <c r="LQH1" s="42"/>
      <c r="LQI1" s="42"/>
      <c r="LQJ1" s="42"/>
      <c r="LQK1" s="42"/>
      <c r="LQL1" s="42"/>
      <c r="LQM1" s="42"/>
      <c r="LQN1" s="42"/>
      <c r="LQO1" s="42"/>
      <c r="LQP1" s="42"/>
      <c r="LQQ1" s="42"/>
      <c r="LQR1" s="42"/>
      <c r="LQS1" s="42"/>
      <c r="LQT1" s="42"/>
      <c r="LQU1" s="42"/>
      <c r="LQV1" s="42"/>
      <c r="LQW1" s="42"/>
      <c r="LQX1" s="42"/>
      <c r="LQY1" s="42"/>
      <c r="LQZ1" s="42"/>
      <c r="LRA1" s="42"/>
      <c r="LRB1" s="42"/>
      <c r="LRC1" s="42"/>
      <c r="LRD1" s="42"/>
      <c r="LRE1" s="42"/>
      <c r="LRF1" s="42"/>
      <c r="LRG1" s="42"/>
      <c r="LRH1" s="42"/>
      <c r="LRI1" s="42"/>
      <c r="LRJ1" s="42"/>
      <c r="LRK1" s="42"/>
      <c r="LRL1" s="42"/>
      <c r="LRM1" s="42"/>
      <c r="LRN1" s="42"/>
      <c r="LRO1" s="42"/>
      <c r="LRP1" s="42"/>
      <c r="LRQ1" s="42"/>
      <c r="LRR1" s="42"/>
      <c r="LRS1" s="42"/>
      <c r="LRT1" s="42"/>
      <c r="LRU1" s="42"/>
      <c r="LRV1" s="42"/>
      <c r="LRW1" s="42"/>
      <c r="LRX1" s="42"/>
      <c r="LRY1" s="42"/>
      <c r="LRZ1" s="42"/>
      <c r="LSA1" s="42"/>
      <c r="LSB1" s="42"/>
      <c r="LSC1" s="42"/>
      <c r="LSD1" s="42"/>
      <c r="LSE1" s="42"/>
      <c r="LSF1" s="42"/>
      <c r="LSG1" s="42"/>
      <c r="LSH1" s="42"/>
      <c r="LSI1" s="42"/>
      <c r="LSJ1" s="42"/>
      <c r="LSK1" s="42"/>
      <c r="LSL1" s="42"/>
      <c r="LSM1" s="42"/>
      <c r="LSN1" s="42"/>
      <c r="LSO1" s="42"/>
      <c r="LSP1" s="42"/>
      <c r="LSQ1" s="42"/>
      <c r="LSR1" s="42"/>
      <c r="LSS1" s="42"/>
      <c r="LST1" s="42"/>
      <c r="LSU1" s="42"/>
      <c r="LSV1" s="42"/>
      <c r="LSW1" s="42"/>
      <c r="LSX1" s="42"/>
      <c r="LSY1" s="42"/>
      <c r="LSZ1" s="42"/>
      <c r="LTA1" s="42"/>
      <c r="LTB1" s="42"/>
      <c r="LTC1" s="42"/>
      <c r="LTD1" s="42"/>
      <c r="LTE1" s="42"/>
      <c r="LTF1" s="42"/>
      <c r="LTG1" s="42"/>
      <c r="LTH1" s="42"/>
      <c r="LTI1" s="42"/>
      <c r="LTJ1" s="42"/>
      <c r="LTK1" s="42"/>
      <c r="LTL1" s="42"/>
      <c r="LTM1" s="42"/>
      <c r="LTN1" s="42"/>
      <c r="LTO1" s="42"/>
      <c r="LTP1" s="42"/>
      <c r="LTQ1" s="42"/>
      <c r="LTR1" s="42"/>
      <c r="LTS1" s="42"/>
      <c r="LTT1" s="42"/>
      <c r="LTU1" s="42"/>
      <c r="LTV1" s="42"/>
      <c r="LTW1" s="42"/>
      <c r="LTX1" s="42"/>
      <c r="LTY1" s="42"/>
      <c r="LTZ1" s="42"/>
      <c r="LUA1" s="42"/>
      <c r="LUB1" s="42"/>
      <c r="LUC1" s="42"/>
      <c r="LUD1" s="42"/>
      <c r="LUE1" s="42"/>
      <c r="LUF1" s="42"/>
      <c r="LUG1" s="42"/>
      <c r="LUH1" s="42"/>
      <c r="LUI1" s="42"/>
      <c r="LUJ1" s="42"/>
      <c r="LUK1" s="42"/>
      <c r="LUL1" s="42"/>
      <c r="LUM1" s="42"/>
      <c r="LUN1" s="42"/>
      <c r="LUO1" s="42"/>
      <c r="LUP1" s="42"/>
      <c r="LUQ1" s="42"/>
      <c r="LUR1" s="42"/>
      <c r="LUS1" s="42"/>
      <c r="LUT1" s="42"/>
      <c r="LUU1" s="42"/>
      <c r="LUV1" s="42"/>
      <c r="LUW1" s="42"/>
      <c r="LUX1" s="42"/>
      <c r="LUY1" s="42"/>
      <c r="LUZ1" s="42"/>
      <c r="LVA1" s="42"/>
      <c r="LVB1" s="42"/>
      <c r="LVC1" s="42"/>
      <c r="LVD1" s="42"/>
      <c r="LVE1" s="42"/>
      <c r="LVF1" s="42"/>
      <c r="LVG1" s="42"/>
      <c r="LVH1" s="42"/>
      <c r="LVI1" s="42"/>
      <c r="LVJ1" s="42"/>
      <c r="LVK1" s="42"/>
      <c r="LVL1" s="42"/>
      <c r="LVM1" s="42"/>
      <c r="LVN1" s="42"/>
      <c r="LVO1" s="42"/>
      <c r="LVP1" s="42"/>
      <c r="LVQ1" s="42"/>
      <c r="LVR1" s="42"/>
      <c r="LVS1" s="42"/>
      <c r="LVT1" s="42"/>
      <c r="LVU1" s="42"/>
      <c r="LVV1" s="42"/>
      <c r="LVW1" s="42"/>
      <c r="LVX1" s="42"/>
      <c r="LVY1" s="42"/>
      <c r="LVZ1" s="42"/>
      <c r="LWA1" s="42"/>
      <c r="LWB1" s="42"/>
      <c r="LWC1" s="42"/>
      <c r="LWD1" s="42"/>
      <c r="LWE1" s="42"/>
      <c r="LWF1" s="42"/>
      <c r="LWG1" s="42"/>
      <c r="LWH1" s="42"/>
      <c r="LWI1" s="42"/>
      <c r="LWJ1" s="42"/>
      <c r="LWK1" s="42"/>
      <c r="LWL1" s="42"/>
      <c r="LWM1" s="42"/>
      <c r="LWN1" s="42"/>
      <c r="LWO1" s="42"/>
      <c r="LWP1" s="42"/>
      <c r="LWQ1" s="42"/>
      <c r="LWR1" s="42"/>
      <c r="LWS1" s="42"/>
      <c r="LWT1" s="42"/>
      <c r="LWU1" s="42"/>
      <c r="LWV1" s="42"/>
      <c r="LWW1" s="42"/>
      <c r="LWX1" s="42"/>
      <c r="LWY1" s="42"/>
      <c r="LWZ1" s="42"/>
      <c r="LXA1" s="42"/>
      <c r="LXB1" s="42"/>
      <c r="LXC1" s="42"/>
      <c r="LXD1" s="42"/>
      <c r="LXE1" s="42"/>
      <c r="LXF1" s="42"/>
      <c r="LXG1" s="42"/>
      <c r="LXH1" s="42"/>
      <c r="LXI1" s="42"/>
      <c r="LXJ1" s="42"/>
      <c r="LXK1" s="42"/>
      <c r="LXL1" s="42"/>
      <c r="LXM1" s="42"/>
      <c r="LXN1" s="42"/>
      <c r="LXO1" s="42"/>
      <c r="LXP1" s="42"/>
      <c r="LXQ1" s="42"/>
      <c r="LXR1" s="42"/>
      <c r="LXS1" s="42"/>
      <c r="LXT1" s="42"/>
      <c r="LXU1" s="42"/>
      <c r="LXV1" s="42"/>
      <c r="LXW1" s="42"/>
      <c r="LXX1" s="42"/>
      <c r="LXY1" s="42"/>
      <c r="LXZ1" s="42"/>
      <c r="LYA1" s="42"/>
      <c r="LYB1" s="42"/>
      <c r="LYC1" s="42"/>
      <c r="LYD1" s="42"/>
      <c r="LYE1" s="42"/>
      <c r="LYF1" s="42"/>
      <c r="LYG1" s="42"/>
      <c r="LYH1" s="42"/>
      <c r="LYI1" s="42"/>
      <c r="LYJ1" s="42"/>
      <c r="LYK1" s="42"/>
      <c r="LYL1" s="42"/>
      <c r="LYM1" s="42"/>
      <c r="LYN1" s="42"/>
      <c r="LYO1" s="42"/>
      <c r="LYP1" s="42"/>
      <c r="LYQ1" s="42"/>
      <c r="LYR1" s="42"/>
      <c r="LYS1" s="42"/>
      <c r="LYT1" s="42"/>
      <c r="LYU1" s="42"/>
      <c r="LYV1" s="42"/>
      <c r="LYW1" s="42"/>
      <c r="LYX1" s="42"/>
      <c r="LYY1" s="42"/>
      <c r="LYZ1" s="42"/>
      <c r="LZA1" s="42"/>
      <c r="LZB1" s="42"/>
      <c r="LZC1" s="42"/>
      <c r="LZD1" s="42"/>
      <c r="LZE1" s="42"/>
      <c r="LZF1" s="42"/>
      <c r="LZG1" s="42"/>
      <c r="LZH1" s="42"/>
      <c r="LZI1" s="42"/>
      <c r="LZJ1" s="42"/>
      <c r="LZK1" s="42"/>
      <c r="LZL1" s="42"/>
      <c r="LZM1" s="42"/>
      <c r="LZN1" s="42"/>
      <c r="LZO1" s="42"/>
      <c r="LZP1" s="42"/>
      <c r="LZQ1" s="42"/>
      <c r="LZR1" s="42"/>
      <c r="LZS1" s="42"/>
      <c r="LZT1" s="42"/>
      <c r="LZU1" s="42"/>
      <c r="LZV1" s="42"/>
      <c r="LZW1" s="42"/>
      <c r="LZX1" s="42"/>
      <c r="LZY1" s="42"/>
      <c r="LZZ1" s="42"/>
      <c r="MAA1" s="42"/>
      <c r="MAB1" s="42"/>
      <c r="MAC1" s="42"/>
      <c r="MAD1" s="42"/>
      <c r="MAE1" s="42"/>
      <c r="MAF1" s="42"/>
      <c r="MAG1" s="42"/>
      <c r="MAH1" s="42"/>
      <c r="MAI1" s="42"/>
      <c r="MAJ1" s="42"/>
      <c r="MAK1" s="42"/>
      <c r="MAL1" s="42"/>
      <c r="MAM1" s="42"/>
      <c r="MAN1" s="42"/>
      <c r="MAO1" s="42"/>
      <c r="MAP1" s="42"/>
      <c r="MAQ1" s="42"/>
      <c r="MAR1" s="42"/>
      <c r="MAS1" s="42"/>
      <c r="MAT1" s="42"/>
      <c r="MAU1" s="42"/>
      <c r="MAV1" s="42"/>
      <c r="MAW1" s="42"/>
      <c r="MAX1" s="42"/>
      <c r="MAY1" s="42"/>
      <c r="MAZ1" s="42"/>
      <c r="MBA1" s="42"/>
      <c r="MBB1" s="42"/>
      <c r="MBC1" s="42"/>
      <c r="MBD1" s="42"/>
      <c r="MBE1" s="42"/>
      <c r="MBF1" s="42"/>
      <c r="MBG1" s="42"/>
      <c r="MBH1" s="42"/>
      <c r="MBI1" s="42"/>
      <c r="MBJ1" s="42"/>
      <c r="MBK1" s="42"/>
      <c r="MBL1" s="42"/>
      <c r="MBM1" s="42"/>
      <c r="MBN1" s="42"/>
      <c r="MBO1" s="42"/>
      <c r="MBP1" s="42"/>
      <c r="MBQ1" s="42"/>
      <c r="MBR1" s="42"/>
      <c r="MBS1" s="42"/>
      <c r="MBT1" s="42"/>
      <c r="MBU1" s="42"/>
      <c r="MBV1" s="42"/>
      <c r="MBW1" s="42"/>
      <c r="MBX1" s="42"/>
      <c r="MBY1" s="42"/>
      <c r="MBZ1" s="42"/>
      <c r="MCA1" s="42"/>
      <c r="MCB1" s="42"/>
      <c r="MCC1" s="42"/>
      <c r="MCD1" s="42"/>
      <c r="MCE1" s="42"/>
      <c r="MCF1" s="42"/>
      <c r="MCG1" s="42"/>
      <c r="MCH1" s="42"/>
      <c r="MCI1" s="42"/>
      <c r="MCJ1" s="42"/>
      <c r="MCK1" s="42"/>
      <c r="MCL1" s="42"/>
      <c r="MCM1" s="42"/>
      <c r="MCN1" s="42"/>
      <c r="MCO1" s="42"/>
      <c r="MCP1" s="42"/>
      <c r="MCQ1" s="42"/>
      <c r="MCR1" s="42"/>
      <c r="MCS1" s="42"/>
      <c r="MCT1" s="42"/>
      <c r="MCU1" s="42"/>
      <c r="MCV1" s="42"/>
      <c r="MCW1" s="42"/>
      <c r="MCX1" s="42"/>
      <c r="MCY1" s="42"/>
      <c r="MCZ1" s="42"/>
      <c r="MDA1" s="42"/>
      <c r="MDB1" s="42"/>
      <c r="MDC1" s="42"/>
      <c r="MDD1" s="42"/>
      <c r="MDE1" s="42"/>
      <c r="MDF1" s="42"/>
      <c r="MDG1" s="42"/>
      <c r="MDH1" s="42"/>
      <c r="MDI1" s="42"/>
      <c r="MDJ1" s="42"/>
      <c r="MDK1" s="42"/>
      <c r="MDL1" s="42"/>
      <c r="MDM1" s="42"/>
      <c r="MDN1" s="42"/>
      <c r="MDO1" s="42"/>
      <c r="MDP1" s="42"/>
      <c r="MDQ1" s="42"/>
      <c r="MDR1" s="42"/>
      <c r="MDS1" s="42"/>
      <c r="MDT1" s="42"/>
      <c r="MDU1" s="42"/>
      <c r="MDV1" s="42"/>
      <c r="MDW1" s="42"/>
      <c r="MDX1" s="42"/>
      <c r="MDY1" s="42"/>
      <c r="MDZ1" s="42"/>
      <c r="MEA1" s="42"/>
      <c r="MEB1" s="42"/>
      <c r="MEC1" s="42"/>
      <c r="MED1" s="42"/>
      <c r="MEE1" s="42"/>
      <c r="MEF1" s="42"/>
      <c r="MEG1" s="42"/>
      <c r="MEH1" s="42"/>
      <c r="MEI1" s="42"/>
      <c r="MEJ1" s="42"/>
      <c r="MEK1" s="42"/>
      <c r="MEL1" s="42"/>
      <c r="MEM1" s="42"/>
      <c r="MEN1" s="42"/>
      <c r="MEO1" s="42"/>
      <c r="MEP1" s="42"/>
      <c r="MEQ1" s="42"/>
      <c r="MER1" s="42"/>
      <c r="MES1" s="42"/>
      <c r="MET1" s="42"/>
      <c r="MEU1" s="42"/>
      <c r="MEV1" s="42"/>
      <c r="MEW1" s="42"/>
      <c r="MEX1" s="42"/>
      <c r="MEY1" s="42"/>
      <c r="MEZ1" s="42"/>
      <c r="MFA1" s="42"/>
      <c r="MFB1" s="42"/>
      <c r="MFC1" s="42"/>
      <c r="MFD1" s="42"/>
      <c r="MFE1" s="42"/>
      <c r="MFF1" s="42"/>
      <c r="MFG1" s="42"/>
      <c r="MFH1" s="42"/>
      <c r="MFI1" s="42"/>
      <c r="MFJ1" s="42"/>
      <c r="MFK1" s="42"/>
      <c r="MFL1" s="42"/>
      <c r="MFM1" s="42"/>
      <c r="MFN1" s="42"/>
      <c r="MFO1" s="42"/>
      <c r="MFP1" s="42"/>
      <c r="MFQ1" s="42"/>
      <c r="MFR1" s="42"/>
      <c r="MFS1" s="42"/>
      <c r="MFT1" s="42"/>
      <c r="MFU1" s="42"/>
      <c r="MFV1" s="42"/>
      <c r="MFW1" s="42"/>
      <c r="MFX1" s="42"/>
      <c r="MFY1" s="42"/>
      <c r="MFZ1" s="42"/>
      <c r="MGA1" s="42"/>
      <c r="MGB1" s="42"/>
      <c r="MGC1" s="42"/>
      <c r="MGD1" s="42"/>
      <c r="MGE1" s="42"/>
      <c r="MGF1" s="42"/>
      <c r="MGG1" s="42"/>
      <c r="MGH1" s="42"/>
      <c r="MGI1" s="42"/>
      <c r="MGJ1" s="42"/>
      <c r="MGK1" s="42"/>
      <c r="MGL1" s="42"/>
      <c r="MGM1" s="42"/>
      <c r="MGN1" s="42"/>
      <c r="MGO1" s="42"/>
      <c r="MGP1" s="42"/>
      <c r="MGQ1" s="42"/>
      <c r="MGR1" s="42"/>
      <c r="MGS1" s="42"/>
      <c r="MGT1" s="42"/>
      <c r="MGU1" s="42"/>
      <c r="MGV1" s="42"/>
      <c r="MGW1" s="42"/>
      <c r="MGX1" s="42"/>
      <c r="MGY1" s="42"/>
      <c r="MGZ1" s="42"/>
      <c r="MHA1" s="42"/>
      <c r="MHB1" s="42"/>
      <c r="MHC1" s="42"/>
      <c r="MHD1" s="42"/>
      <c r="MHE1" s="42"/>
      <c r="MHF1" s="42"/>
      <c r="MHG1" s="42"/>
      <c r="MHH1" s="42"/>
      <c r="MHI1" s="42"/>
      <c r="MHJ1" s="42"/>
      <c r="MHK1" s="42"/>
      <c r="MHL1" s="42"/>
      <c r="MHM1" s="42"/>
      <c r="MHN1" s="42"/>
      <c r="MHO1" s="42"/>
      <c r="MHP1" s="42"/>
      <c r="MHQ1" s="42"/>
      <c r="MHR1" s="42"/>
      <c r="MHS1" s="42"/>
      <c r="MHT1" s="42"/>
      <c r="MHU1" s="42"/>
      <c r="MHV1" s="42"/>
      <c r="MHW1" s="42"/>
      <c r="MHX1" s="42"/>
      <c r="MHY1" s="42"/>
      <c r="MHZ1" s="42"/>
      <c r="MIA1" s="42"/>
      <c r="MIB1" s="42"/>
      <c r="MIC1" s="42"/>
      <c r="MID1" s="42"/>
      <c r="MIE1" s="42"/>
      <c r="MIF1" s="42"/>
      <c r="MIG1" s="42"/>
      <c r="MIH1" s="42"/>
      <c r="MII1" s="42"/>
      <c r="MIJ1" s="42"/>
      <c r="MIK1" s="42"/>
      <c r="MIL1" s="42"/>
      <c r="MIM1" s="42"/>
      <c r="MIN1" s="42"/>
      <c r="MIO1" s="42"/>
      <c r="MIP1" s="42"/>
      <c r="MIQ1" s="42"/>
      <c r="MIR1" s="42"/>
      <c r="MIS1" s="42"/>
      <c r="MIT1" s="42"/>
      <c r="MIU1" s="42"/>
      <c r="MIV1" s="42"/>
      <c r="MIW1" s="42"/>
      <c r="MIX1" s="42"/>
      <c r="MIY1" s="42"/>
      <c r="MIZ1" s="42"/>
      <c r="MJA1" s="42"/>
      <c r="MJB1" s="42"/>
      <c r="MJC1" s="42"/>
      <c r="MJD1" s="42"/>
      <c r="MJE1" s="42"/>
      <c r="MJF1" s="42"/>
      <c r="MJG1" s="42"/>
      <c r="MJH1" s="42"/>
      <c r="MJI1" s="42"/>
      <c r="MJJ1" s="42"/>
      <c r="MJK1" s="42"/>
      <c r="MJL1" s="42"/>
      <c r="MJM1" s="42"/>
      <c r="MJN1" s="42"/>
      <c r="MJO1" s="42"/>
      <c r="MJP1" s="42"/>
      <c r="MJQ1" s="42"/>
      <c r="MJR1" s="42"/>
      <c r="MJS1" s="42"/>
      <c r="MJT1" s="42"/>
      <c r="MJU1" s="42"/>
      <c r="MJV1" s="42"/>
      <c r="MJW1" s="42"/>
      <c r="MJX1" s="42"/>
      <c r="MJY1" s="42"/>
      <c r="MJZ1" s="42"/>
      <c r="MKA1" s="42"/>
      <c r="MKB1" s="42"/>
      <c r="MKC1" s="42"/>
      <c r="MKD1" s="42"/>
      <c r="MKE1" s="42"/>
      <c r="MKF1" s="42"/>
      <c r="MKG1" s="42"/>
      <c r="MKH1" s="42"/>
      <c r="MKI1" s="42"/>
      <c r="MKJ1" s="42"/>
      <c r="MKK1" s="42"/>
      <c r="MKL1" s="42"/>
      <c r="MKM1" s="42"/>
      <c r="MKN1" s="42"/>
      <c r="MKO1" s="42"/>
      <c r="MKP1" s="42"/>
      <c r="MKQ1" s="42"/>
      <c r="MKR1" s="42"/>
      <c r="MKS1" s="42"/>
      <c r="MKT1" s="42"/>
      <c r="MKU1" s="42"/>
      <c r="MKV1" s="42"/>
      <c r="MKW1" s="42"/>
      <c r="MKX1" s="42"/>
      <c r="MKY1" s="42"/>
      <c r="MKZ1" s="42"/>
      <c r="MLA1" s="42"/>
      <c r="MLB1" s="42"/>
      <c r="MLC1" s="42"/>
      <c r="MLD1" s="42"/>
      <c r="MLE1" s="42"/>
      <c r="MLF1" s="42"/>
      <c r="MLG1" s="42"/>
      <c r="MLH1" s="42"/>
      <c r="MLI1" s="42"/>
      <c r="MLJ1" s="42"/>
      <c r="MLK1" s="42"/>
      <c r="MLL1" s="42"/>
      <c r="MLM1" s="42"/>
      <c r="MLN1" s="42"/>
      <c r="MLO1" s="42"/>
      <c r="MLP1" s="42"/>
      <c r="MLQ1" s="42"/>
      <c r="MLR1" s="42"/>
      <c r="MLS1" s="42"/>
      <c r="MLT1" s="42"/>
      <c r="MLU1" s="42"/>
      <c r="MLV1" s="42"/>
      <c r="MLW1" s="42"/>
      <c r="MLX1" s="42"/>
      <c r="MLY1" s="42"/>
      <c r="MLZ1" s="42"/>
      <c r="MMA1" s="42"/>
      <c r="MMB1" s="42"/>
      <c r="MMC1" s="42"/>
      <c r="MMD1" s="42"/>
      <c r="MME1" s="42"/>
      <c r="MMF1" s="42"/>
      <c r="MMG1" s="42"/>
      <c r="MMH1" s="42"/>
      <c r="MMI1" s="42"/>
      <c r="MMJ1" s="42"/>
      <c r="MMK1" s="42"/>
      <c r="MML1" s="42"/>
      <c r="MMM1" s="42"/>
      <c r="MMN1" s="42"/>
      <c r="MMO1" s="42"/>
      <c r="MMP1" s="42"/>
      <c r="MMQ1" s="42"/>
      <c r="MMR1" s="42"/>
      <c r="MMS1" s="42"/>
      <c r="MMT1" s="42"/>
      <c r="MMU1" s="42"/>
      <c r="MMV1" s="42"/>
      <c r="MMW1" s="42"/>
      <c r="MMX1" s="42"/>
      <c r="MMY1" s="42"/>
      <c r="MMZ1" s="42"/>
      <c r="MNA1" s="42"/>
      <c r="MNB1" s="42"/>
      <c r="MNC1" s="42"/>
      <c r="MND1" s="42"/>
      <c r="MNE1" s="42"/>
      <c r="MNF1" s="42"/>
      <c r="MNG1" s="42"/>
      <c r="MNH1" s="42"/>
      <c r="MNI1" s="42"/>
      <c r="MNJ1" s="42"/>
      <c r="MNK1" s="42"/>
      <c r="MNL1" s="42"/>
      <c r="MNM1" s="42"/>
      <c r="MNN1" s="42"/>
      <c r="MNO1" s="42"/>
      <c r="MNP1" s="42"/>
      <c r="MNQ1" s="42"/>
      <c r="MNR1" s="42"/>
      <c r="MNS1" s="42"/>
      <c r="MNT1" s="42"/>
      <c r="MNU1" s="42"/>
      <c r="MNV1" s="42"/>
      <c r="MNW1" s="42"/>
      <c r="MNX1" s="42"/>
      <c r="MNY1" s="42"/>
      <c r="MNZ1" s="42"/>
      <c r="MOA1" s="42"/>
      <c r="MOB1" s="42"/>
      <c r="MOC1" s="42"/>
      <c r="MOD1" s="42"/>
      <c r="MOE1" s="42"/>
      <c r="MOF1" s="42"/>
      <c r="MOG1" s="42"/>
      <c r="MOH1" s="42"/>
      <c r="MOI1" s="42"/>
      <c r="MOJ1" s="42"/>
      <c r="MOK1" s="42"/>
      <c r="MOL1" s="42"/>
      <c r="MOM1" s="42"/>
      <c r="MON1" s="42"/>
      <c r="MOO1" s="42"/>
      <c r="MOP1" s="42"/>
      <c r="MOQ1" s="42"/>
      <c r="MOR1" s="42"/>
      <c r="MOS1" s="42"/>
      <c r="MOT1" s="42"/>
      <c r="MOU1" s="42"/>
      <c r="MOV1" s="42"/>
      <c r="MOW1" s="42"/>
      <c r="MOX1" s="42"/>
      <c r="MOY1" s="42"/>
      <c r="MOZ1" s="42"/>
      <c r="MPA1" s="42"/>
      <c r="MPB1" s="42"/>
      <c r="MPC1" s="42"/>
      <c r="MPD1" s="42"/>
      <c r="MPE1" s="42"/>
      <c r="MPF1" s="42"/>
      <c r="MPG1" s="42"/>
      <c r="MPH1" s="42"/>
      <c r="MPI1" s="42"/>
      <c r="MPJ1" s="42"/>
      <c r="MPK1" s="42"/>
      <c r="MPL1" s="42"/>
      <c r="MPM1" s="42"/>
      <c r="MPN1" s="42"/>
      <c r="MPO1" s="42"/>
      <c r="MPP1" s="42"/>
      <c r="MPQ1" s="42"/>
      <c r="MPR1" s="42"/>
      <c r="MPS1" s="42"/>
      <c r="MPT1" s="42"/>
      <c r="MPU1" s="42"/>
      <c r="MPV1" s="42"/>
      <c r="MPW1" s="42"/>
      <c r="MPX1" s="42"/>
      <c r="MPY1" s="42"/>
      <c r="MPZ1" s="42"/>
      <c r="MQA1" s="42"/>
      <c r="MQB1" s="42"/>
      <c r="MQC1" s="42"/>
      <c r="MQD1" s="42"/>
      <c r="MQE1" s="42"/>
      <c r="MQF1" s="42"/>
      <c r="MQG1" s="42"/>
      <c r="MQH1" s="42"/>
      <c r="MQI1" s="42"/>
      <c r="MQJ1" s="42"/>
      <c r="MQK1" s="42"/>
      <c r="MQL1" s="42"/>
      <c r="MQM1" s="42"/>
      <c r="MQN1" s="42"/>
      <c r="MQO1" s="42"/>
      <c r="MQP1" s="42"/>
      <c r="MQQ1" s="42"/>
      <c r="MQR1" s="42"/>
      <c r="MQS1" s="42"/>
      <c r="MQT1" s="42"/>
      <c r="MQU1" s="42"/>
      <c r="MQV1" s="42"/>
      <c r="MQW1" s="42"/>
      <c r="MQX1" s="42"/>
      <c r="MQY1" s="42"/>
      <c r="MQZ1" s="42"/>
      <c r="MRA1" s="42"/>
      <c r="MRB1" s="42"/>
      <c r="MRC1" s="42"/>
      <c r="MRD1" s="42"/>
      <c r="MRE1" s="42"/>
      <c r="MRF1" s="42"/>
      <c r="MRG1" s="42"/>
      <c r="MRH1" s="42"/>
      <c r="MRI1" s="42"/>
      <c r="MRJ1" s="42"/>
      <c r="MRK1" s="42"/>
      <c r="MRL1" s="42"/>
      <c r="MRM1" s="42"/>
      <c r="MRN1" s="42"/>
      <c r="MRO1" s="42"/>
      <c r="MRP1" s="42"/>
      <c r="MRQ1" s="42"/>
      <c r="MRR1" s="42"/>
      <c r="MRS1" s="42"/>
      <c r="MRT1" s="42"/>
      <c r="MRU1" s="42"/>
      <c r="MRV1" s="42"/>
      <c r="MRW1" s="42"/>
      <c r="MRX1" s="42"/>
      <c r="MRY1" s="42"/>
      <c r="MRZ1" s="42"/>
      <c r="MSA1" s="42"/>
      <c r="MSB1" s="42"/>
      <c r="MSC1" s="42"/>
      <c r="MSD1" s="42"/>
      <c r="MSE1" s="42"/>
      <c r="MSF1" s="42"/>
      <c r="MSG1" s="42"/>
      <c r="MSH1" s="42"/>
      <c r="MSI1" s="42"/>
      <c r="MSJ1" s="42"/>
      <c r="MSK1" s="42"/>
      <c r="MSL1" s="42"/>
      <c r="MSM1" s="42"/>
      <c r="MSN1" s="42"/>
      <c r="MSO1" s="42"/>
      <c r="MSP1" s="42"/>
      <c r="MSQ1" s="42"/>
      <c r="MSR1" s="42"/>
      <c r="MSS1" s="42"/>
      <c r="MST1" s="42"/>
      <c r="MSU1" s="42"/>
      <c r="MSV1" s="42"/>
      <c r="MSW1" s="42"/>
      <c r="MSX1" s="42"/>
      <c r="MSY1" s="42"/>
      <c r="MSZ1" s="42"/>
      <c r="MTA1" s="42"/>
      <c r="MTB1" s="42"/>
      <c r="MTC1" s="42"/>
      <c r="MTD1" s="42"/>
      <c r="MTE1" s="42"/>
      <c r="MTF1" s="42"/>
      <c r="MTG1" s="42"/>
      <c r="MTH1" s="42"/>
      <c r="MTI1" s="42"/>
      <c r="MTJ1" s="42"/>
      <c r="MTK1" s="42"/>
      <c r="MTL1" s="42"/>
      <c r="MTM1" s="42"/>
      <c r="MTN1" s="42"/>
      <c r="MTO1" s="42"/>
      <c r="MTP1" s="42"/>
      <c r="MTQ1" s="42"/>
      <c r="MTR1" s="42"/>
      <c r="MTS1" s="42"/>
      <c r="MTT1" s="42"/>
      <c r="MTU1" s="42"/>
      <c r="MTV1" s="42"/>
      <c r="MTW1" s="42"/>
      <c r="MTX1" s="42"/>
      <c r="MTY1" s="42"/>
      <c r="MTZ1" s="42"/>
      <c r="MUA1" s="42"/>
      <c r="MUB1" s="42"/>
      <c r="MUC1" s="42"/>
      <c r="MUD1" s="42"/>
      <c r="MUE1" s="42"/>
      <c r="MUF1" s="42"/>
      <c r="MUG1" s="42"/>
      <c r="MUH1" s="42"/>
      <c r="MUI1" s="42"/>
      <c r="MUJ1" s="42"/>
      <c r="MUK1" s="42"/>
      <c r="MUL1" s="42"/>
      <c r="MUM1" s="42"/>
      <c r="MUN1" s="42"/>
      <c r="MUO1" s="42"/>
      <c r="MUP1" s="42"/>
      <c r="MUQ1" s="42"/>
      <c r="MUR1" s="42"/>
      <c r="MUS1" s="42"/>
      <c r="MUT1" s="42"/>
      <c r="MUU1" s="42"/>
      <c r="MUV1" s="42"/>
      <c r="MUW1" s="42"/>
      <c r="MUX1" s="42"/>
      <c r="MUY1" s="42"/>
      <c r="MUZ1" s="42"/>
      <c r="MVA1" s="42"/>
      <c r="MVB1" s="42"/>
      <c r="MVC1" s="42"/>
      <c r="MVD1" s="42"/>
      <c r="MVE1" s="42"/>
      <c r="MVF1" s="42"/>
      <c r="MVG1" s="42"/>
      <c r="MVH1" s="42"/>
      <c r="MVI1" s="42"/>
      <c r="MVJ1" s="42"/>
      <c r="MVK1" s="42"/>
      <c r="MVL1" s="42"/>
      <c r="MVM1" s="42"/>
      <c r="MVN1" s="42"/>
      <c r="MVO1" s="42"/>
      <c r="MVP1" s="42"/>
      <c r="MVQ1" s="42"/>
      <c r="MVR1" s="42"/>
      <c r="MVS1" s="42"/>
      <c r="MVT1" s="42"/>
      <c r="MVU1" s="42"/>
      <c r="MVV1" s="42"/>
      <c r="MVW1" s="42"/>
      <c r="MVX1" s="42"/>
      <c r="MVY1" s="42"/>
      <c r="MVZ1" s="42"/>
      <c r="MWA1" s="42"/>
      <c r="MWB1" s="42"/>
      <c r="MWC1" s="42"/>
      <c r="MWD1" s="42"/>
      <c r="MWE1" s="42"/>
      <c r="MWF1" s="42"/>
      <c r="MWG1" s="42"/>
      <c r="MWH1" s="42"/>
      <c r="MWI1" s="42"/>
      <c r="MWJ1" s="42"/>
      <c r="MWK1" s="42"/>
      <c r="MWL1" s="42"/>
      <c r="MWM1" s="42"/>
      <c r="MWN1" s="42"/>
      <c r="MWO1" s="42"/>
      <c r="MWP1" s="42"/>
      <c r="MWQ1" s="42"/>
      <c r="MWR1" s="42"/>
      <c r="MWS1" s="42"/>
      <c r="MWT1" s="42"/>
      <c r="MWU1" s="42"/>
      <c r="MWV1" s="42"/>
      <c r="MWW1" s="42"/>
      <c r="MWX1" s="42"/>
      <c r="MWY1" s="42"/>
      <c r="MWZ1" s="42"/>
      <c r="MXA1" s="42"/>
      <c r="MXB1" s="42"/>
      <c r="MXC1" s="42"/>
      <c r="MXD1" s="42"/>
      <c r="MXE1" s="42"/>
      <c r="MXF1" s="42"/>
      <c r="MXG1" s="42"/>
      <c r="MXH1" s="42"/>
      <c r="MXI1" s="42"/>
      <c r="MXJ1" s="42"/>
      <c r="MXK1" s="42"/>
      <c r="MXL1" s="42"/>
      <c r="MXM1" s="42"/>
      <c r="MXN1" s="42"/>
      <c r="MXO1" s="42"/>
      <c r="MXP1" s="42"/>
      <c r="MXQ1" s="42"/>
      <c r="MXR1" s="42"/>
      <c r="MXS1" s="42"/>
      <c r="MXT1" s="42"/>
      <c r="MXU1" s="42"/>
      <c r="MXV1" s="42"/>
      <c r="MXW1" s="42"/>
      <c r="MXX1" s="42"/>
      <c r="MXY1" s="42"/>
      <c r="MXZ1" s="42"/>
      <c r="MYA1" s="42"/>
      <c r="MYB1" s="42"/>
      <c r="MYC1" s="42"/>
      <c r="MYD1" s="42"/>
      <c r="MYE1" s="42"/>
      <c r="MYF1" s="42"/>
      <c r="MYG1" s="42"/>
      <c r="MYH1" s="42"/>
      <c r="MYI1" s="42"/>
      <c r="MYJ1" s="42"/>
      <c r="MYK1" s="42"/>
      <c r="MYL1" s="42"/>
      <c r="MYM1" s="42"/>
      <c r="MYN1" s="42"/>
      <c r="MYO1" s="42"/>
      <c r="MYP1" s="42"/>
      <c r="MYQ1" s="42"/>
      <c r="MYR1" s="42"/>
      <c r="MYS1" s="42"/>
      <c r="MYT1" s="42"/>
      <c r="MYU1" s="42"/>
      <c r="MYV1" s="42"/>
      <c r="MYW1" s="42"/>
      <c r="MYX1" s="42"/>
      <c r="MYY1" s="42"/>
      <c r="MYZ1" s="42"/>
      <c r="MZA1" s="42"/>
      <c r="MZB1" s="42"/>
      <c r="MZC1" s="42"/>
      <c r="MZD1" s="42"/>
      <c r="MZE1" s="42"/>
      <c r="MZF1" s="42"/>
      <c r="MZG1" s="42"/>
      <c r="MZH1" s="42"/>
      <c r="MZI1" s="42"/>
      <c r="MZJ1" s="42"/>
      <c r="MZK1" s="42"/>
      <c r="MZL1" s="42"/>
      <c r="MZM1" s="42"/>
      <c r="MZN1" s="42"/>
      <c r="MZO1" s="42"/>
      <c r="MZP1" s="42"/>
      <c r="MZQ1" s="42"/>
      <c r="MZR1" s="42"/>
      <c r="MZS1" s="42"/>
      <c r="MZT1" s="42"/>
      <c r="MZU1" s="42"/>
      <c r="MZV1" s="42"/>
      <c r="MZW1" s="42"/>
      <c r="MZX1" s="42"/>
      <c r="MZY1" s="42"/>
      <c r="MZZ1" s="42"/>
      <c r="NAA1" s="42"/>
      <c r="NAB1" s="42"/>
      <c r="NAC1" s="42"/>
      <c r="NAD1" s="42"/>
      <c r="NAE1" s="42"/>
      <c r="NAF1" s="42"/>
      <c r="NAG1" s="42"/>
      <c r="NAH1" s="42"/>
      <c r="NAI1" s="42"/>
      <c r="NAJ1" s="42"/>
      <c r="NAK1" s="42"/>
      <c r="NAL1" s="42"/>
      <c r="NAM1" s="42"/>
      <c r="NAN1" s="42"/>
      <c r="NAO1" s="42"/>
      <c r="NAP1" s="42"/>
      <c r="NAQ1" s="42"/>
      <c r="NAR1" s="42"/>
      <c r="NAS1" s="42"/>
      <c r="NAT1" s="42"/>
      <c r="NAU1" s="42"/>
      <c r="NAV1" s="42"/>
      <c r="NAW1" s="42"/>
      <c r="NAX1" s="42"/>
      <c r="NAY1" s="42"/>
      <c r="NAZ1" s="42"/>
      <c r="NBA1" s="42"/>
      <c r="NBB1" s="42"/>
      <c r="NBC1" s="42"/>
      <c r="NBD1" s="42"/>
      <c r="NBE1" s="42"/>
      <c r="NBF1" s="42"/>
      <c r="NBG1" s="42"/>
      <c r="NBH1" s="42"/>
      <c r="NBI1" s="42"/>
      <c r="NBJ1" s="42"/>
      <c r="NBK1" s="42"/>
      <c r="NBL1" s="42"/>
      <c r="NBM1" s="42"/>
      <c r="NBN1" s="42"/>
      <c r="NBO1" s="42"/>
      <c r="NBP1" s="42"/>
      <c r="NBQ1" s="42"/>
      <c r="NBR1" s="42"/>
      <c r="NBS1" s="42"/>
      <c r="NBT1" s="42"/>
      <c r="NBU1" s="42"/>
      <c r="NBV1" s="42"/>
      <c r="NBW1" s="42"/>
      <c r="NBX1" s="42"/>
      <c r="NBY1" s="42"/>
      <c r="NBZ1" s="42"/>
      <c r="NCA1" s="42"/>
      <c r="NCB1" s="42"/>
      <c r="NCC1" s="42"/>
      <c r="NCD1" s="42"/>
      <c r="NCE1" s="42"/>
      <c r="NCF1" s="42"/>
      <c r="NCG1" s="42"/>
      <c r="NCH1" s="42"/>
      <c r="NCI1" s="42"/>
      <c r="NCJ1" s="42"/>
      <c r="NCK1" s="42"/>
      <c r="NCL1" s="42"/>
      <c r="NCM1" s="42"/>
      <c r="NCN1" s="42"/>
      <c r="NCO1" s="42"/>
      <c r="NCP1" s="42"/>
      <c r="NCQ1" s="42"/>
      <c r="NCR1" s="42"/>
      <c r="NCS1" s="42"/>
      <c r="NCT1" s="42"/>
      <c r="NCU1" s="42"/>
      <c r="NCV1" s="42"/>
      <c r="NCW1" s="42"/>
      <c r="NCX1" s="42"/>
      <c r="NCY1" s="42"/>
      <c r="NCZ1" s="42"/>
      <c r="NDA1" s="42"/>
      <c r="NDB1" s="42"/>
      <c r="NDC1" s="42"/>
      <c r="NDD1" s="42"/>
      <c r="NDE1" s="42"/>
      <c r="NDF1" s="42"/>
      <c r="NDG1" s="42"/>
      <c r="NDH1" s="42"/>
      <c r="NDI1" s="42"/>
      <c r="NDJ1" s="42"/>
      <c r="NDK1" s="42"/>
      <c r="NDL1" s="42"/>
      <c r="NDM1" s="42"/>
      <c r="NDN1" s="42"/>
      <c r="NDO1" s="42"/>
      <c r="NDP1" s="42"/>
      <c r="NDQ1" s="42"/>
      <c r="NDR1" s="42"/>
      <c r="NDS1" s="42"/>
      <c r="NDT1" s="42"/>
      <c r="NDU1" s="42"/>
      <c r="NDV1" s="42"/>
      <c r="NDW1" s="42"/>
      <c r="NDX1" s="42"/>
      <c r="NDY1" s="42"/>
      <c r="NDZ1" s="42"/>
      <c r="NEA1" s="42"/>
      <c r="NEB1" s="42"/>
      <c r="NEC1" s="42"/>
      <c r="NED1" s="42"/>
      <c r="NEE1" s="42"/>
      <c r="NEF1" s="42"/>
      <c r="NEG1" s="42"/>
      <c r="NEH1" s="42"/>
      <c r="NEI1" s="42"/>
      <c r="NEJ1" s="42"/>
      <c r="NEK1" s="42"/>
      <c r="NEL1" s="42"/>
      <c r="NEM1" s="42"/>
      <c r="NEN1" s="42"/>
      <c r="NEO1" s="42"/>
      <c r="NEP1" s="42"/>
      <c r="NEQ1" s="42"/>
      <c r="NER1" s="42"/>
      <c r="NES1" s="42"/>
      <c r="NET1" s="42"/>
      <c r="NEU1" s="42"/>
      <c r="NEV1" s="42"/>
      <c r="NEW1" s="42"/>
      <c r="NEX1" s="42"/>
      <c r="NEY1" s="42"/>
      <c r="NEZ1" s="42"/>
      <c r="NFA1" s="42"/>
      <c r="NFB1" s="42"/>
      <c r="NFC1" s="42"/>
      <c r="NFD1" s="42"/>
      <c r="NFE1" s="42"/>
      <c r="NFF1" s="42"/>
      <c r="NFG1" s="42"/>
      <c r="NFH1" s="42"/>
      <c r="NFI1" s="42"/>
      <c r="NFJ1" s="42"/>
      <c r="NFK1" s="42"/>
      <c r="NFL1" s="42"/>
      <c r="NFM1" s="42"/>
      <c r="NFN1" s="42"/>
      <c r="NFO1" s="42"/>
      <c r="NFP1" s="42"/>
      <c r="NFQ1" s="42"/>
      <c r="NFR1" s="42"/>
      <c r="NFS1" s="42"/>
      <c r="NFT1" s="42"/>
      <c r="NFU1" s="42"/>
      <c r="NFV1" s="42"/>
      <c r="NFW1" s="42"/>
      <c r="NFX1" s="42"/>
      <c r="NFY1" s="42"/>
      <c r="NFZ1" s="42"/>
      <c r="NGA1" s="42"/>
      <c r="NGB1" s="42"/>
      <c r="NGC1" s="42"/>
      <c r="NGD1" s="42"/>
      <c r="NGE1" s="42"/>
      <c r="NGF1" s="42"/>
      <c r="NGG1" s="42"/>
      <c r="NGH1" s="42"/>
      <c r="NGI1" s="42"/>
      <c r="NGJ1" s="42"/>
      <c r="NGK1" s="42"/>
      <c r="NGL1" s="42"/>
      <c r="NGM1" s="42"/>
      <c r="NGN1" s="42"/>
      <c r="NGO1" s="42"/>
      <c r="NGP1" s="42"/>
      <c r="NGQ1" s="42"/>
      <c r="NGR1" s="42"/>
      <c r="NGS1" s="42"/>
      <c r="NGT1" s="42"/>
      <c r="NGU1" s="42"/>
      <c r="NGV1" s="42"/>
      <c r="NGW1" s="42"/>
      <c r="NGX1" s="42"/>
      <c r="NGY1" s="42"/>
      <c r="NGZ1" s="42"/>
      <c r="NHA1" s="42"/>
      <c r="NHB1" s="42"/>
      <c r="NHC1" s="42"/>
      <c r="NHD1" s="42"/>
      <c r="NHE1" s="42"/>
      <c r="NHF1" s="42"/>
      <c r="NHG1" s="42"/>
      <c r="NHH1" s="42"/>
      <c r="NHI1" s="42"/>
      <c r="NHJ1" s="42"/>
      <c r="NHK1" s="42"/>
      <c r="NHL1" s="42"/>
      <c r="NHM1" s="42"/>
      <c r="NHN1" s="42"/>
      <c r="NHO1" s="42"/>
      <c r="NHP1" s="42"/>
      <c r="NHQ1" s="42"/>
      <c r="NHR1" s="42"/>
      <c r="NHS1" s="42"/>
      <c r="NHT1" s="42"/>
      <c r="NHU1" s="42"/>
      <c r="NHV1" s="42"/>
      <c r="NHW1" s="42"/>
      <c r="NHX1" s="42"/>
      <c r="NHY1" s="42"/>
      <c r="NHZ1" s="42"/>
      <c r="NIA1" s="42"/>
      <c r="NIB1" s="42"/>
      <c r="NIC1" s="42"/>
      <c r="NID1" s="42"/>
      <c r="NIE1" s="42"/>
      <c r="NIF1" s="42"/>
      <c r="NIG1" s="42"/>
      <c r="NIH1" s="42"/>
      <c r="NII1" s="42"/>
      <c r="NIJ1" s="42"/>
      <c r="NIK1" s="42"/>
      <c r="NIL1" s="42"/>
      <c r="NIM1" s="42"/>
      <c r="NIN1" s="42"/>
      <c r="NIO1" s="42"/>
      <c r="NIP1" s="42"/>
      <c r="NIQ1" s="42"/>
      <c r="NIR1" s="42"/>
      <c r="NIS1" s="42"/>
      <c r="NIT1" s="42"/>
      <c r="NIU1" s="42"/>
      <c r="NIV1" s="42"/>
      <c r="NIW1" s="42"/>
      <c r="NIX1" s="42"/>
      <c r="NIY1" s="42"/>
      <c r="NIZ1" s="42"/>
      <c r="NJA1" s="42"/>
      <c r="NJB1" s="42"/>
      <c r="NJC1" s="42"/>
      <c r="NJD1" s="42"/>
      <c r="NJE1" s="42"/>
      <c r="NJF1" s="42"/>
      <c r="NJG1" s="42"/>
      <c r="NJH1" s="42"/>
      <c r="NJI1" s="42"/>
      <c r="NJJ1" s="42"/>
      <c r="NJK1" s="42"/>
      <c r="NJL1" s="42"/>
      <c r="NJM1" s="42"/>
      <c r="NJN1" s="42"/>
      <c r="NJO1" s="42"/>
      <c r="NJP1" s="42"/>
      <c r="NJQ1" s="42"/>
      <c r="NJR1" s="42"/>
      <c r="NJS1" s="42"/>
      <c r="NJT1" s="42"/>
      <c r="NJU1" s="42"/>
      <c r="NJV1" s="42"/>
      <c r="NJW1" s="42"/>
      <c r="NJX1" s="42"/>
      <c r="NJY1" s="42"/>
      <c r="NJZ1" s="42"/>
      <c r="NKA1" s="42"/>
      <c r="NKB1" s="42"/>
      <c r="NKC1" s="42"/>
      <c r="NKD1" s="42"/>
      <c r="NKE1" s="42"/>
      <c r="NKF1" s="42"/>
      <c r="NKG1" s="42"/>
      <c r="NKH1" s="42"/>
      <c r="NKI1" s="42"/>
      <c r="NKJ1" s="42"/>
      <c r="NKK1" s="42"/>
      <c r="NKL1" s="42"/>
      <c r="NKM1" s="42"/>
      <c r="NKN1" s="42"/>
      <c r="NKO1" s="42"/>
      <c r="NKP1" s="42"/>
      <c r="NKQ1" s="42"/>
      <c r="NKR1" s="42"/>
      <c r="NKS1" s="42"/>
      <c r="NKT1" s="42"/>
      <c r="NKU1" s="42"/>
      <c r="NKV1" s="42"/>
      <c r="NKW1" s="42"/>
      <c r="NKX1" s="42"/>
      <c r="NKY1" s="42"/>
      <c r="NKZ1" s="42"/>
      <c r="NLA1" s="42"/>
      <c r="NLB1" s="42"/>
      <c r="NLC1" s="42"/>
      <c r="NLD1" s="42"/>
      <c r="NLE1" s="42"/>
      <c r="NLF1" s="42"/>
      <c r="NLG1" s="42"/>
      <c r="NLH1" s="42"/>
      <c r="NLI1" s="42"/>
      <c r="NLJ1" s="42"/>
      <c r="NLK1" s="42"/>
      <c r="NLL1" s="42"/>
      <c r="NLM1" s="42"/>
      <c r="NLN1" s="42"/>
      <c r="NLO1" s="42"/>
      <c r="NLP1" s="42"/>
      <c r="NLQ1" s="42"/>
      <c r="NLR1" s="42"/>
      <c r="NLS1" s="42"/>
      <c r="NLT1" s="42"/>
      <c r="NLU1" s="42"/>
      <c r="NLV1" s="42"/>
      <c r="NLW1" s="42"/>
      <c r="NLX1" s="42"/>
      <c r="NLY1" s="42"/>
      <c r="NLZ1" s="42"/>
      <c r="NMA1" s="42"/>
      <c r="NMB1" s="42"/>
      <c r="NMC1" s="42"/>
      <c r="NMD1" s="42"/>
      <c r="NME1" s="42"/>
      <c r="NMF1" s="42"/>
      <c r="NMG1" s="42"/>
      <c r="NMH1" s="42"/>
      <c r="NMI1" s="42"/>
      <c r="NMJ1" s="42"/>
      <c r="NMK1" s="42"/>
      <c r="NML1" s="42"/>
      <c r="NMM1" s="42"/>
      <c r="NMN1" s="42"/>
      <c r="NMO1" s="42"/>
      <c r="NMP1" s="42"/>
      <c r="NMQ1" s="42"/>
      <c r="NMR1" s="42"/>
      <c r="NMS1" s="42"/>
      <c r="NMT1" s="42"/>
      <c r="NMU1" s="42"/>
      <c r="NMV1" s="42"/>
      <c r="NMW1" s="42"/>
      <c r="NMX1" s="42"/>
      <c r="NMY1" s="42"/>
      <c r="NMZ1" s="42"/>
      <c r="NNA1" s="42"/>
      <c r="NNB1" s="42"/>
      <c r="NNC1" s="42"/>
      <c r="NND1" s="42"/>
      <c r="NNE1" s="42"/>
      <c r="NNF1" s="42"/>
      <c r="NNG1" s="42"/>
      <c r="NNH1" s="42"/>
      <c r="NNI1" s="42"/>
      <c r="NNJ1" s="42"/>
      <c r="NNK1" s="42"/>
      <c r="NNL1" s="42"/>
      <c r="NNM1" s="42"/>
      <c r="NNN1" s="42"/>
      <c r="NNO1" s="42"/>
      <c r="NNP1" s="42"/>
      <c r="NNQ1" s="42"/>
      <c r="NNR1" s="42"/>
      <c r="NNS1" s="42"/>
      <c r="NNT1" s="42"/>
      <c r="NNU1" s="42"/>
      <c r="NNV1" s="42"/>
      <c r="NNW1" s="42"/>
      <c r="NNX1" s="42"/>
      <c r="NNY1" s="42"/>
      <c r="NNZ1" s="42"/>
      <c r="NOA1" s="42"/>
      <c r="NOB1" s="42"/>
      <c r="NOC1" s="42"/>
      <c r="NOD1" s="42"/>
      <c r="NOE1" s="42"/>
      <c r="NOF1" s="42"/>
      <c r="NOG1" s="42"/>
      <c r="NOH1" s="42"/>
      <c r="NOI1" s="42"/>
      <c r="NOJ1" s="42"/>
      <c r="NOK1" s="42"/>
      <c r="NOL1" s="42"/>
      <c r="NOM1" s="42"/>
      <c r="NON1" s="42"/>
      <c r="NOO1" s="42"/>
      <c r="NOP1" s="42"/>
      <c r="NOQ1" s="42"/>
      <c r="NOR1" s="42"/>
      <c r="NOS1" s="42"/>
      <c r="NOT1" s="42"/>
      <c r="NOU1" s="42"/>
      <c r="NOV1" s="42"/>
      <c r="NOW1" s="42"/>
      <c r="NOX1" s="42"/>
      <c r="NOY1" s="42"/>
      <c r="NOZ1" s="42"/>
      <c r="NPA1" s="42"/>
      <c r="NPB1" s="42"/>
      <c r="NPC1" s="42"/>
      <c r="NPD1" s="42"/>
      <c r="NPE1" s="42"/>
      <c r="NPF1" s="42"/>
      <c r="NPG1" s="42"/>
      <c r="NPH1" s="42"/>
      <c r="NPI1" s="42"/>
      <c r="NPJ1" s="42"/>
      <c r="NPK1" s="42"/>
      <c r="NPL1" s="42"/>
      <c r="NPM1" s="42"/>
      <c r="NPN1" s="42"/>
      <c r="NPO1" s="42"/>
      <c r="NPP1" s="42"/>
      <c r="NPQ1" s="42"/>
      <c r="NPR1" s="42"/>
      <c r="NPS1" s="42"/>
      <c r="NPT1" s="42"/>
      <c r="NPU1" s="42"/>
      <c r="NPV1" s="42"/>
      <c r="NPW1" s="42"/>
      <c r="NPX1" s="42"/>
      <c r="NPY1" s="42"/>
      <c r="NPZ1" s="42"/>
      <c r="NQA1" s="42"/>
      <c r="NQB1" s="42"/>
      <c r="NQC1" s="42"/>
      <c r="NQD1" s="42"/>
      <c r="NQE1" s="42"/>
      <c r="NQF1" s="42"/>
      <c r="NQG1" s="42"/>
      <c r="NQH1" s="42"/>
      <c r="NQI1" s="42"/>
      <c r="NQJ1" s="42"/>
      <c r="NQK1" s="42"/>
      <c r="NQL1" s="42"/>
      <c r="NQM1" s="42"/>
      <c r="NQN1" s="42"/>
      <c r="NQO1" s="42"/>
      <c r="NQP1" s="42"/>
      <c r="NQQ1" s="42"/>
      <c r="NQR1" s="42"/>
      <c r="NQS1" s="42"/>
      <c r="NQT1" s="42"/>
      <c r="NQU1" s="42"/>
      <c r="NQV1" s="42"/>
      <c r="NQW1" s="42"/>
      <c r="NQX1" s="42"/>
      <c r="NQY1" s="42"/>
      <c r="NQZ1" s="42"/>
      <c r="NRA1" s="42"/>
      <c r="NRB1" s="42"/>
      <c r="NRC1" s="42"/>
      <c r="NRD1" s="42"/>
      <c r="NRE1" s="42"/>
      <c r="NRF1" s="42"/>
      <c r="NRG1" s="42"/>
      <c r="NRH1" s="42"/>
      <c r="NRI1" s="42"/>
      <c r="NRJ1" s="42"/>
      <c r="NRK1" s="42"/>
      <c r="NRL1" s="42"/>
      <c r="NRM1" s="42"/>
      <c r="NRN1" s="42"/>
      <c r="NRO1" s="42"/>
      <c r="NRP1" s="42"/>
      <c r="NRQ1" s="42"/>
      <c r="NRR1" s="42"/>
      <c r="NRS1" s="42"/>
      <c r="NRT1" s="42"/>
      <c r="NRU1" s="42"/>
      <c r="NRV1" s="42"/>
      <c r="NRW1" s="42"/>
      <c r="NRX1" s="42"/>
      <c r="NRY1" s="42"/>
      <c r="NRZ1" s="42"/>
      <c r="NSA1" s="42"/>
      <c r="NSB1" s="42"/>
      <c r="NSC1" s="42"/>
      <c r="NSD1" s="42"/>
      <c r="NSE1" s="42"/>
      <c r="NSF1" s="42"/>
      <c r="NSG1" s="42"/>
      <c r="NSH1" s="42"/>
      <c r="NSI1" s="42"/>
      <c r="NSJ1" s="42"/>
      <c r="NSK1" s="42"/>
      <c r="NSL1" s="42"/>
      <c r="NSM1" s="42"/>
      <c r="NSN1" s="42"/>
      <c r="NSO1" s="42"/>
      <c r="NSP1" s="42"/>
      <c r="NSQ1" s="42"/>
      <c r="NSR1" s="42"/>
      <c r="NSS1" s="42"/>
      <c r="NST1" s="42"/>
      <c r="NSU1" s="42"/>
      <c r="NSV1" s="42"/>
      <c r="NSW1" s="42"/>
      <c r="NSX1" s="42"/>
      <c r="NSY1" s="42"/>
      <c r="NSZ1" s="42"/>
      <c r="NTA1" s="42"/>
      <c r="NTB1" s="42"/>
      <c r="NTC1" s="42"/>
      <c r="NTD1" s="42"/>
      <c r="NTE1" s="42"/>
      <c r="NTF1" s="42"/>
      <c r="NTG1" s="42"/>
      <c r="NTH1" s="42"/>
      <c r="NTI1" s="42"/>
      <c r="NTJ1" s="42"/>
      <c r="NTK1" s="42"/>
      <c r="NTL1" s="42"/>
      <c r="NTM1" s="42"/>
      <c r="NTN1" s="42"/>
      <c r="NTO1" s="42"/>
      <c r="NTP1" s="42"/>
      <c r="NTQ1" s="42"/>
      <c r="NTR1" s="42"/>
      <c r="NTS1" s="42"/>
      <c r="NTT1" s="42"/>
      <c r="NTU1" s="42"/>
      <c r="NTV1" s="42"/>
      <c r="NTW1" s="42"/>
      <c r="NTX1" s="42"/>
      <c r="NTY1" s="42"/>
      <c r="NTZ1" s="42"/>
      <c r="NUA1" s="42"/>
      <c r="NUB1" s="42"/>
      <c r="NUC1" s="42"/>
      <c r="NUD1" s="42"/>
      <c r="NUE1" s="42"/>
      <c r="NUF1" s="42"/>
      <c r="NUG1" s="42"/>
      <c r="NUH1" s="42"/>
      <c r="NUI1" s="42"/>
      <c r="NUJ1" s="42"/>
      <c r="NUK1" s="42"/>
      <c r="NUL1" s="42"/>
      <c r="NUM1" s="42"/>
      <c r="NUN1" s="42"/>
      <c r="NUO1" s="42"/>
      <c r="NUP1" s="42"/>
      <c r="NUQ1" s="42"/>
      <c r="NUR1" s="42"/>
      <c r="NUS1" s="42"/>
      <c r="NUT1" s="42"/>
      <c r="NUU1" s="42"/>
      <c r="NUV1" s="42"/>
      <c r="NUW1" s="42"/>
      <c r="NUX1" s="42"/>
      <c r="NUY1" s="42"/>
      <c r="NUZ1" s="42"/>
      <c r="NVA1" s="42"/>
      <c r="NVB1" s="42"/>
      <c r="NVC1" s="42"/>
      <c r="NVD1" s="42"/>
      <c r="NVE1" s="42"/>
      <c r="NVF1" s="42"/>
      <c r="NVG1" s="42"/>
      <c r="NVH1" s="42"/>
      <c r="NVI1" s="42"/>
      <c r="NVJ1" s="42"/>
      <c r="NVK1" s="42"/>
      <c r="NVL1" s="42"/>
      <c r="NVM1" s="42"/>
      <c r="NVN1" s="42"/>
      <c r="NVO1" s="42"/>
      <c r="NVP1" s="42"/>
      <c r="NVQ1" s="42"/>
      <c r="NVR1" s="42"/>
      <c r="NVS1" s="42"/>
      <c r="NVT1" s="42"/>
      <c r="NVU1" s="42"/>
      <c r="NVV1" s="42"/>
      <c r="NVW1" s="42"/>
      <c r="NVX1" s="42"/>
      <c r="NVY1" s="42"/>
      <c r="NVZ1" s="42"/>
      <c r="NWA1" s="42"/>
      <c r="NWB1" s="42"/>
      <c r="NWC1" s="42"/>
      <c r="NWD1" s="42"/>
      <c r="NWE1" s="42"/>
      <c r="NWF1" s="42"/>
      <c r="NWG1" s="42"/>
      <c r="NWH1" s="42"/>
      <c r="NWI1" s="42"/>
      <c r="NWJ1" s="42"/>
      <c r="NWK1" s="42"/>
      <c r="NWL1" s="42"/>
      <c r="NWM1" s="42"/>
      <c r="NWN1" s="42"/>
      <c r="NWO1" s="42"/>
      <c r="NWP1" s="42"/>
      <c r="NWQ1" s="42"/>
      <c r="NWR1" s="42"/>
      <c r="NWS1" s="42"/>
      <c r="NWT1" s="42"/>
      <c r="NWU1" s="42"/>
      <c r="NWV1" s="42"/>
      <c r="NWW1" s="42"/>
      <c r="NWX1" s="42"/>
      <c r="NWY1" s="42"/>
      <c r="NWZ1" s="42"/>
      <c r="NXA1" s="42"/>
      <c r="NXB1" s="42"/>
      <c r="NXC1" s="42"/>
      <c r="NXD1" s="42"/>
      <c r="NXE1" s="42"/>
      <c r="NXF1" s="42"/>
      <c r="NXG1" s="42"/>
      <c r="NXH1" s="42"/>
      <c r="NXI1" s="42"/>
      <c r="NXJ1" s="42"/>
      <c r="NXK1" s="42"/>
      <c r="NXL1" s="42"/>
      <c r="NXM1" s="42"/>
      <c r="NXN1" s="42"/>
      <c r="NXO1" s="42"/>
      <c r="NXP1" s="42"/>
      <c r="NXQ1" s="42"/>
      <c r="NXR1" s="42"/>
      <c r="NXS1" s="42"/>
      <c r="NXT1" s="42"/>
      <c r="NXU1" s="42"/>
      <c r="NXV1" s="42"/>
      <c r="NXW1" s="42"/>
      <c r="NXX1" s="42"/>
      <c r="NXY1" s="42"/>
      <c r="NXZ1" s="42"/>
      <c r="NYA1" s="42"/>
      <c r="NYB1" s="42"/>
      <c r="NYC1" s="42"/>
      <c r="NYD1" s="42"/>
      <c r="NYE1" s="42"/>
      <c r="NYF1" s="42"/>
      <c r="NYG1" s="42"/>
      <c r="NYH1" s="42"/>
      <c r="NYI1" s="42"/>
      <c r="NYJ1" s="42"/>
      <c r="NYK1" s="42"/>
      <c r="NYL1" s="42"/>
      <c r="NYM1" s="42"/>
      <c r="NYN1" s="42"/>
      <c r="NYO1" s="42"/>
      <c r="NYP1" s="42"/>
      <c r="NYQ1" s="42"/>
      <c r="NYR1" s="42"/>
      <c r="NYS1" s="42"/>
      <c r="NYT1" s="42"/>
      <c r="NYU1" s="42"/>
      <c r="NYV1" s="42"/>
      <c r="NYW1" s="42"/>
      <c r="NYX1" s="42"/>
      <c r="NYY1" s="42"/>
      <c r="NYZ1" s="42"/>
      <c r="NZA1" s="42"/>
      <c r="NZB1" s="42"/>
      <c r="NZC1" s="42"/>
      <c r="NZD1" s="42"/>
      <c r="NZE1" s="42"/>
      <c r="NZF1" s="42"/>
      <c r="NZG1" s="42"/>
      <c r="NZH1" s="42"/>
      <c r="NZI1" s="42"/>
      <c r="NZJ1" s="42"/>
      <c r="NZK1" s="42"/>
      <c r="NZL1" s="42"/>
      <c r="NZM1" s="42"/>
      <c r="NZN1" s="42"/>
      <c r="NZO1" s="42"/>
      <c r="NZP1" s="42"/>
      <c r="NZQ1" s="42"/>
      <c r="NZR1" s="42"/>
      <c r="NZS1" s="42"/>
      <c r="NZT1" s="42"/>
      <c r="NZU1" s="42"/>
      <c r="NZV1" s="42"/>
      <c r="NZW1" s="42"/>
      <c r="NZX1" s="42"/>
      <c r="NZY1" s="42"/>
      <c r="NZZ1" s="42"/>
      <c r="OAA1" s="42"/>
      <c r="OAB1" s="42"/>
      <c r="OAC1" s="42"/>
      <c r="OAD1" s="42"/>
      <c r="OAE1" s="42"/>
      <c r="OAF1" s="42"/>
      <c r="OAG1" s="42"/>
      <c r="OAH1" s="42"/>
      <c r="OAI1" s="42"/>
      <c r="OAJ1" s="42"/>
      <c r="OAK1" s="42"/>
      <c r="OAL1" s="42"/>
      <c r="OAM1" s="42"/>
      <c r="OAN1" s="42"/>
      <c r="OAO1" s="42"/>
      <c r="OAP1" s="42"/>
      <c r="OAQ1" s="42"/>
      <c r="OAR1" s="42"/>
      <c r="OAS1" s="42"/>
      <c r="OAT1" s="42"/>
      <c r="OAU1" s="42"/>
      <c r="OAV1" s="42"/>
      <c r="OAW1" s="42"/>
      <c r="OAX1" s="42"/>
      <c r="OAY1" s="42"/>
      <c r="OAZ1" s="42"/>
      <c r="OBA1" s="42"/>
      <c r="OBB1" s="42"/>
      <c r="OBC1" s="42"/>
      <c r="OBD1" s="42"/>
      <c r="OBE1" s="42"/>
      <c r="OBF1" s="42"/>
      <c r="OBG1" s="42"/>
      <c r="OBH1" s="42"/>
      <c r="OBI1" s="42"/>
      <c r="OBJ1" s="42"/>
      <c r="OBK1" s="42"/>
      <c r="OBL1" s="42"/>
      <c r="OBM1" s="42"/>
      <c r="OBN1" s="42"/>
      <c r="OBO1" s="42"/>
      <c r="OBP1" s="42"/>
      <c r="OBQ1" s="42"/>
      <c r="OBR1" s="42"/>
      <c r="OBS1" s="42"/>
      <c r="OBT1" s="42"/>
      <c r="OBU1" s="42"/>
      <c r="OBV1" s="42"/>
      <c r="OBW1" s="42"/>
      <c r="OBX1" s="42"/>
      <c r="OBY1" s="42"/>
      <c r="OBZ1" s="42"/>
      <c r="OCA1" s="42"/>
      <c r="OCB1" s="42"/>
      <c r="OCC1" s="42"/>
      <c r="OCD1" s="42"/>
      <c r="OCE1" s="42"/>
      <c r="OCF1" s="42"/>
      <c r="OCG1" s="42"/>
      <c r="OCH1" s="42"/>
      <c r="OCI1" s="42"/>
      <c r="OCJ1" s="42"/>
      <c r="OCK1" s="42"/>
      <c r="OCL1" s="42"/>
      <c r="OCM1" s="42"/>
      <c r="OCN1" s="42"/>
      <c r="OCO1" s="42"/>
      <c r="OCP1" s="42"/>
      <c r="OCQ1" s="42"/>
      <c r="OCR1" s="42"/>
      <c r="OCS1" s="42"/>
      <c r="OCT1" s="42"/>
      <c r="OCU1" s="42"/>
      <c r="OCV1" s="42"/>
      <c r="OCW1" s="42"/>
      <c r="OCX1" s="42"/>
      <c r="OCY1" s="42"/>
      <c r="OCZ1" s="42"/>
      <c r="ODA1" s="42"/>
      <c r="ODB1" s="42"/>
      <c r="ODC1" s="42"/>
      <c r="ODD1" s="42"/>
      <c r="ODE1" s="42"/>
      <c r="ODF1" s="42"/>
      <c r="ODG1" s="42"/>
      <c r="ODH1" s="42"/>
      <c r="ODI1" s="42"/>
      <c r="ODJ1" s="42"/>
      <c r="ODK1" s="42"/>
      <c r="ODL1" s="42"/>
      <c r="ODM1" s="42"/>
      <c r="ODN1" s="42"/>
      <c r="ODO1" s="42"/>
      <c r="ODP1" s="42"/>
      <c r="ODQ1" s="42"/>
      <c r="ODR1" s="42"/>
      <c r="ODS1" s="42"/>
      <c r="ODT1" s="42"/>
      <c r="ODU1" s="42"/>
      <c r="ODV1" s="42"/>
      <c r="ODW1" s="42"/>
      <c r="ODX1" s="42"/>
      <c r="ODY1" s="42"/>
      <c r="ODZ1" s="42"/>
      <c r="OEA1" s="42"/>
      <c r="OEB1" s="42"/>
      <c r="OEC1" s="42"/>
      <c r="OED1" s="42"/>
      <c r="OEE1" s="42"/>
      <c r="OEF1" s="42"/>
      <c r="OEG1" s="42"/>
      <c r="OEH1" s="42"/>
      <c r="OEI1" s="42"/>
      <c r="OEJ1" s="42"/>
      <c r="OEK1" s="42"/>
      <c r="OEL1" s="42"/>
      <c r="OEM1" s="42"/>
      <c r="OEN1" s="42"/>
      <c r="OEO1" s="42"/>
      <c r="OEP1" s="42"/>
      <c r="OEQ1" s="42"/>
      <c r="OER1" s="42"/>
      <c r="OES1" s="42"/>
      <c r="OET1" s="42"/>
      <c r="OEU1" s="42"/>
      <c r="OEV1" s="42"/>
      <c r="OEW1" s="42"/>
      <c r="OEX1" s="42"/>
      <c r="OEY1" s="42"/>
      <c r="OEZ1" s="42"/>
      <c r="OFA1" s="42"/>
      <c r="OFB1" s="42"/>
      <c r="OFC1" s="42"/>
      <c r="OFD1" s="42"/>
      <c r="OFE1" s="42"/>
      <c r="OFF1" s="42"/>
      <c r="OFG1" s="42"/>
      <c r="OFH1" s="42"/>
      <c r="OFI1" s="42"/>
      <c r="OFJ1" s="42"/>
      <c r="OFK1" s="42"/>
      <c r="OFL1" s="42"/>
      <c r="OFM1" s="42"/>
      <c r="OFN1" s="42"/>
      <c r="OFO1" s="42"/>
      <c r="OFP1" s="42"/>
      <c r="OFQ1" s="42"/>
      <c r="OFR1" s="42"/>
      <c r="OFS1" s="42"/>
      <c r="OFT1" s="42"/>
      <c r="OFU1" s="42"/>
      <c r="OFV1" s="42"/>
      <c r="OFW1" s="42"/>
      <c r="OFX1" s="42"/>
      <c r="OFY1" s="42"/>
      <c r="OFZ1" s="42"/>
      <c r="OGA1" s="42"/>
      <c r="OGB1" s="42"/>
      <c r="OGC1" s="42"/>
      <c r="OGD1" s="42"/>
      <c r="OGE1" s="42"/>
      <c r="OGF1" s="42"/>
      <c r="OGG1" s="42"/>
      <c r="OGH1" s="42"/>
      <c r="OGI1" s="42"/>
      <c r="OGJ1" s="42"/>
      <c r="OGK1" s="42"/>
      <c r="OGL1" s="42"/>
      <c r="OGM1" s="42"/>
      <c r="OGN1" s="42"/>
      <c r="OGO1" s="42"/>
      <c r="OGP1" s="42"/>
      <c r="OGQ1" s="42"/>
      <c r="OGR1" s="42"/>
      <c r="OGS1" s="42"/>
      <c r="OGT1" s="42"/>
      <c r="OGU1" s="42"/>
      <c r="OGV1" s="42"/>
      <c r="OGW1" s="42"/>
      <c r="OGX1" s="42"/>
      <c r="OGY1" s="42"/>
      <c r="OGZ1" s="42"/>
      <c r="OHA1" s="42"/>
      <c r="OHB1" s="42"/>
      <c r="OHC1" s="42"/>
      <c r="OHD1" s="42"/>
      <c r="OHE1" s="42"/>
      <c r="OHF1" s="42"/>
      <c r="OHG1" s="42"/>
      <c r="OHH1" s="42"/>
      <c r="OHI1" s="42"/>
      <c r="OHJ1" s="42"/>
      <c r="OHK1" s="42"/>
      <c r="OHL1" s="42"/>
      <c r="OHM1" s="42"/>
      <c r="OHN1" s="42"/>
      <c r="OHO1" s="42"/>
      <c r="OHP1" s="42"/>
      <c r="OHQ1" s="42"/>
      <c r="OHR1" s="42"/>
      <c r="OHS1" s="42"/>
      <c r="OHT1" s="42"/>
      <c r="OHU1" s="42"/>
      <c r="OHV1" s="42"/>
      <c r="OHW1" s="42"/>
      <c r="OHX1" s="42"/>
      <c r="OHY1" s="42"/>
      <c r="OHZ1" s="42"/>
      <c r="OIA1" s="42"/>
      <c r="OIB1" s="42"/>
      <c r="OIC1" s="42"/>
      <c r="OID1" s="42"/>
      <c r="OIE1" s="42"/>
      <c r="OIF1" s="42"/>
      <c r="OIG1" s="42"/>
      <c r="OIH1" s="42"/>
      <c r="OII1" s="42"/>
      <c r="OIJ1" s="42"/>
      <c r="OIK1" s="42"/>
      <c r="OIL1" s="42"/>
      <c r="OIM1" s="42"/>
      <c r="OIN1" s="42"/>
      <c r="OIO1" s="42"/>
      <c r="OIP1" s="42"/>
      <c r="OIQ1" s="42"/>
      <c r="OIR1" s="42"/>
      <c r="OIS1" s="42"/>
      <c r="OIT1" s="42"/>
      <c r="OIU1" s="42"/>
      <c r="OIV1" s="42"/>
      <c r="OIW1" s="42"/>
      <c r="OIX1" s="42"/>
      <c r="OIY1" s="42"/>
      <c r="OIZ1" s="42"/>
      <c r="OJA1" s="42"/>
      <c r="OJB1" s="42"/>
      <c r="OJC1" s="42"/>
      <c r="OJD1" s="42"/>
      <c r="OJE1" s="42"/>
      <c r="OJF1" s="42"/>
      <c r="OJG1" s="42"/>
      <c r="OJH1" s="42"/>
      <c r="OJI1" s="42"/>
      <c r="OJJ1" s="42"/>
      <c r="OJK1" s="42"/>
      <c r="OJL1" s="42"/>
      <c r="OJM1" s="42"/>
      <c r="OJN1" s="42"/>
      <c r="OJO1" s="42"/>
      <c r="OJP1" s="42"/>
      <c r="OJQ1" s="42"/>
      <c r="OJR1" s="42"/>
      <c r="OJS1" s="42"/>
      <c r="OJT1" s="42"/>
      <c r="OJU1" s="42"/>
      <c r="OJV1" s="42"/>
      <c r="OJW1" s="42"/>
      <c r="OJX1" s="42"/>
      <c r="OJY1" s="42"/>
      <c r="OJZ1" s="42"/>
      <c r="OKA1" s="42"/>
      <c r="OKB1" s="42"/>
      <c r="OKC1" s="42"/>
      <c r="OKD1" s="42"/>
      <c r="OKE1" s="42"/>
      <c r="OKF1" s="42"/>
      <c r="OKG1" s="42"/>
      <c r="OKH1" s="42"/>
      <c r="OKI1" s="42"/>
      <c r="OKJ1" s="42"/>
      <c r="OKK1" s="42"/>
      <c r="OKL1" s="42"/>
      <c r="OKM1" s="42"/>
      <c r="OKN1" s="42"/>
      <c r="OKO1" s="42"/>
      <c r="OKP1" s="42"/>
      <c r="OKQ1" s="42"/>
      <c r="OKR1" s="42"/>
      <c r="OKS1" s="42"/>
      <c r="OKT1" s="42"/>
      <c r="OKU1" s="42"/>
      <c r="OKV1" s="42"/>
      <c r="OKW1" s="42"/>
      <c r="OKX1" s="42"/>
      <c r="OKY1" s="42"/>
      <c r="OKZ1" s="42"/>
      <c r="OLA1" s="42"/>
      <c r="OLB1" s="42"/>
      <c r="OLC1" s="42"/>
      <c r="OLD1" s="42"/>
      <c r="OLE1" s="42"/>
      <c r="OLF1" s="42"/>
      <c r="OLG1" s="42"/>
      <c r="OLH1" s="42"/>
      <c r="OLI1" s="42"/>
      <c r="OLJ1" s="42"/>
      <c r="OLK1" s="42"/>
      <c r="OLL1" s="42"/>
      <c r="OLM1" s="42"/>
      <c r="OLN1" s="42"/>
      <c r="OLO1" s="42"/>
      <c r="OLP1" s="42"/>
      <c r="OLQ1" s="42"/>
      <c r="OLR1" s="42"/>
      <c r="OLS1" s="42"/>
      <c r="OLT1" s="42"/>
      <c r="OLU1" s="42"/>
      <c r="OLV1" s="42"/>
      <c r="OLW1" s="42"/>
      <c r="OLX1" s="42"/>
      <c r="OLY1" s="42"/>
      <c r="OLZ1" s="42"/>
      <c r="OMA1" s="42"/>
      <c r="OMB1" s="42"/>
      <c r="OMC1" s="42"/>
      <c r="OMD1" s="42"/>
      <c r="OME1" s="42"/>
      <c r="OMF1" s="42"/>
      <c r="OMG1" s="42"/>
      <c r="OMH1" s="42"/>
      <c r="OMI1" s="42"/>
      <c r="OMJ1" s="42"/>
      <c r="OMK1" s="42"/>
      <c r="OML1" s="42"/>
      <c r="OMM1" s="42"/>
      <c r="OMN1" s="42"/>
      <c r="OMO1" s="42"/>
      <c r="OMP1" s="42"/>
      <c r="OMQ1" s="42"/>
      <c r="OMR1" s="42"/>
      <c r="OMS1" s="42"/>
      <c r="OMT1" s="42"/>
      <c r="OMU1" s="42"/>
      <c r="OMV1" s="42"/>
      <c r="OMW1" s="42"/>
      <c r="OMX1" s="42"/>
      <c r="OMY1" s="42"/>
      <c r="OMZ1" s="42"/>
      <c r="ONA1" s="42"/>
      <c r="ONB1" s="42"/>
      <c r="ONC1" s="42"/>
      <c r="OND1" s="42"/>
      <c r="ONE1" s="42"/>
      <c r="ONF1" s="42"/>
      <c r="ONG1" s="42"/>
      <c r="ONH1" s="42"/>
      <c r="ONI1" s="42"/>
      <c r="ONJ1" s="42"/>
      <c r="ONK1" s="42"/>
      <c r="ONL1" s="42"/>
      <c r="ONM1" s="42"/>
      <c r="ONN1" s="42"/>
      <c r="ONO1" s="42"/>
      <c r="ONP1" s="42"/>
      <c r="ONQ1" s="42"/>
      <c r="ONR1" s="42"/>
      <c r="ONS1" s="42"/>
      <c r="ONT1" s="42"/>
      <c r="ONU1" s="42"/>
      <c r="ONV1" s="42"/>
      <c r="ONW1" s="42"/>
      <c r="ONX1" s="42"/>
      <c r="ONY1" s="42"/>
      <c r="ONZ1" s="42"/>
      <c r="OOA1" s="42"/>
      <c r="OOB1" s="42"/>
      <c r="OOC1" s="42"/>
      <c r="OOD1" s="42"/>
      <c r="OOE1" s="42"/>
      <c r="OOF1" s="42"/>
      <c r="OOG1" s="42"/>
      <c r="OOH1" s="42"/>
      <c r="OOI1" s="42"/>
      <c r="OOJ1" s="42"/>
      <c r="OOK1" s="42"/>
      <c r="OOL1" s="42"/>
      <c r="OOM1" s="42"/>
      <c r="OON1" s="42"/>
      <c r="OOO1" s="42"/>
      <c r="OOP1" s="42"/>
      <c r="OOQ1" s="42"/>
      <c r="OOR1" s="42"/>
      <c r="OOS1" s="42"/>
      <c r="OOT1" s="42"/>
      <c r="OOU1" s="42"/>
      <c r="OOV1" s="42"/>
      <c r="OOW1" s="42"/>
      <c r="OOX1" s="42"/>
      <c r="OOY1" s="42"/>
      <c r="OOZ1" s="42"/>
      <c r="OPA1" s="42"/>
      <c r="OPB1" s="42"/>
      <c r="OPC1" s="42"/>
      <c r="OPD1" s="42"/>
      <c r="OPE1" s="42"/>
      <c r="OPF1" s="42"/>
      <c r="OPG1" s="42"/>
      <c r="OPH1" s="42"/>
      <c r="OPI1" s="42"/>
      <c r="OPJ1" s="42"/>
      <c r="OPK1" s="42"/>
      <c r="OPL1" s="42"/>
      <c r="OPM1" s="42"/>
      <c r="OPN1" s="42"/>
      <c r="OPO1" s="42"/>
      <c r="OPP1" s="42"/>
      <c r="OPQ1" s="42"/>
      <c r="OPR1" s="42"/>
      <c r="OPS1" s="42"/>
      <c r="OPT1" s="42"/>
      <c r="OPU1" s="42"/>
      <c r="OPV1" s="42"/>
      <c r="OPW1" s="42"/>
      <c r="OPX1" s="42"/>
      <c r="OPY1" s="42"/>
      <c r="OPZ1" s="42"/>
      <c r="OQA1" s="42"/>
      <c r="OQB1" s="42"/>
      <c r="OQC1" s="42"/>
      <c r="OQD1" s="42"/>
      <c r="OQE1" s="42"/>
      <c r="OQF1" s="42"/>
      <c r="OQG1" s="42"/>
      <c r="OQH1" s="42"/>
      <c r="OQI1" s="42"/>
      <c r="OQJ1" s="42"/>
      <c r="OQK1" s="42"/>
      <c r="OQL1" s="42"/>
      <c r="OQM1" s="42"/>
      <c r="OQN1" s="42"/>
      <c r="OQO1" s="42"/>
      <c r="OQP1" s="42"/>
      <c r="OQQ1" s="42"/>
      <c r="OQR1" s="42"/>
      <c r="OQS1" s="42"/>
      <c r="OQT1" s="42"/>
      <c r="OQU1" s="42"/>
      <c r="OQV1" s="42"/>
      <c r="OQW1" s="42"/>
      <c r="OQX1" s="42"/>
      <c r="OQY1" s="42"/>
      <c r="OQZ1" s="42"/>
      <c r="ORA1" s="42"/>
      <c r="ORB1" s="42"/>
      <c r="ORC1" s="42"/>
      <c r="ORD1" s="42"/>
      <c r="ORE1" s="42"/>
      <c r="ORF1" s="42"/>
      <c r="ORG1" s="42"/>
      <c r="ORH1" s="42"/>
      <c r="ORI1" s="42"/>
      <c r="ORJ1" s="42"/>
      <c r="ORK1" s="42"/>
      <c r="ORL1" s="42"/>
      <c r="ORM1" s="42"/>
      <c r="ORN1" s="42"/>
      <c r="ORO1" s="42"/>
      <c r="ORP1" s="42"/>
      <c r="ORQ1" s="42"/>
      <c r="ORR1" s="42"/>
      <c r="ORS1" s="42"/>
      <c r="ORT1" s="42"/>
      <c r="ORU1" s="42"/>
      <c r="ORV1" s="42"/>
      <c r="ORW1" s="42"/>
      <c r="ORX1" s="42"/>
      <c r="ORY1" s="42"/>
      <c r="ORZ1" s="42"/>
      <c r="OSA1" s="42"/>
      <c r="OSB1" s="42"/>
      <c r="OSC1" s="42"/>
      <c r="OSD1" s="42"/>
      <c r="OSE1" s="42"/>
      <c r="OSF1" s="42"/>
      <c r="OSG1" s="42"/>
      <c r="OSH1" s="42"/>
      <c r="OSI1" s="42"/>
      <c r="OSJ1" s="42"/>
      <c r="OSK1" s="42"/>
      <c r="OSL1" s="42"/>
      <c r="OSM1" s="42"/>
      <c r="OSN1" s="42"/>
      <c r="OSO1" s="42"/>
      <c r="OSP1" s="42"/>
      <c r="OSQ1" s="42"/>
      <c r="OSR1" s="42"/>
      <c r="OSS1" s="42"/>
      <c r="OST1" s="42"/>
      <c r="OSU1" s="42"/>
      <c r="OSV1" s="42"/>
      <c r="OSW1" s="42"/>
      <c r="OSX1" s="42"/>
      <c r="OSY1" s="42"/>
      <c r="OSZ1" s="42"/>
      <c r="OTA1" s="42"/>
      <c r="OTB1" s="42"/>
      <c r="OTC1" s="42"/>
      <c r="OTD1" s="42"/>
      <c r="OTE1" s="42"/>
      <c r="OTF1" s="42"/>
      <c r="OTG1" s="42"/>
      <c r="OTH1" s="42"/>
      <c r="OTI1" s="42"/>
      <c r="OTJ1" s="42"/>
      <c r="OTK1" s="42"/>
      <c r="OTL1" s="42"/>
      <c r="OTM1" s="42"/>
      <c r="OTN1" s="42"/>
      <c r="OTO1" s="42"/>
      <c r="OTP1" s="42"/>
      <c r="OTQ1" s="42"/>
      <c r="OTR1" s="42"/>
      <c r="OTS1" s="42"/>
      <c r="OTT1" s="42"/>
      <c r="OTU1" s="42"/>
      <c r="OTV1" s="42"/>
      <c r="OTW1" s="42"/>
      <c r="OTX1" s="42"/>
      <c r="OTY1" s="42"/>
      <c r="OTZ1" s="42"/>
      <c r="OUA1" s="42"/>
      <c r="OUB1" s="42"/>
      <c r="OUC1" s="42"/>
      <c r="OUD1" s="42"/>
      <c r="OUE1" s="42"/>
      <c r="OUF1" s="42"/>
      <c r="OUG1" s="42"/>
      <c r="OUH1" s="42"/>
      <c r="OUI1" s="42"/>
      <c r="OUJ1" s="42"/>
      <c r="OUK1" s="42"/>
      <c r="OUL1" s="42"/>
      <c r="OUM1" s="42"/>
      <c r="OUN1" s="42"/>
      <c r="OUO1" s="42"/>
      <c r="OUP1" s="42"/>
      <c r="OUQ1" s="42"/>
      <c r="OUR1" s="42"/>
      <c r="OUS1" s="42"/>
      <c r="OUT1" s="42"/>
      <c r="OUU1" s="42"/>
      <c r="OUV1" s="42"/>
      <c r="OUW1" s="42"/>
      <c r="OUX1" s="42"/>
      <c r="OUY1" s="42"/>
      <c r="OUZ1" s="42"/>
      <c r="OVA1" s="42"/>
      <c r="OVB1" s="42"/>
      <c r="OVC1" s="42"/>
      <c r="OVD1" s="42"/>
      <c r="OVE1" s="42"/>
      <c r="OVF1" s="42"/>
      <c r="OVG1" s="42"/>
      <c r="OVH1" s="42"/>
      <c r="OVI1" s="42"/>
      <c r="OVJ1" s="42"/>
      <c r="OVK1" s="42"/>
      <c r="OVL1" s="42"/>
      <c r="OVM1" s="42"/>
      <c r="OVN1" s="42"/>
      <c r="OVO1" s="42"/>
      <c r="OVP1" s="42"/>
      <c r="OVQ1" s="42"/>
      <c r="OVR1" s="42"/>
      <c r="OVS1" s="42"/>
      <c r="OVT1" s="42"/>
      <c r="OVU1" s="42"/>
      <c r="OVV1" s="42"/>
      <c r="OVW1" s="42"/>
      <c r="OVX1" s="42"/>
      <c r="OVY1" s="42"/>
      <c r="OVZ1" s="42"/>
      <c r="OWA1" s="42"/>
      <c r="OWB1" s="42"/>
      <c r="OWC1" s="42"/>
      <c r="OWD1" s="42"/>
      <c r="OWE1" s="42"/>
      <c r="OWF1" s="42"/>
      <c r="OWG1" s="42"/>
      <c r="OWH1" s="42"/>
      <c r="OWI1" s="42"/>
      <c r="OWJ1" s="42"/>
      <c r="OWK1" s="42"/>
      <c r="OWL1" s="42"/>
      <c r="OWM1" s="42"/>
      <c r="OWN1" s="42"/>
      <c r="OWO1" s="42"/>
      <c r="OWP1" s="42"/>
      <c r="OWQ1" s="42"/>
      <c r="OWR1" s="42"/>
      <c r="OWS1" s="42"/>
      <c r="OWT1" s="42"/>
      <c r="OWU1" s="42"/>
      <c r="OWV1" s="42"/>
      <c r="OWW1" s="42"/>
      <c r="OWX1" s="42"/>
      <c r="OWY1" s="42"/>
      <c r="OWZ1" s="42"/>
      <c r="OXA1" s="42"/>
      <c r="OXB1" s="42"/>
      <c r="OXC1" s="42"/>
      <c r="OXD1" s="42"/>
      <c r="OXE1" s="42"/>
      <c r="OXF1" s="42"/>
      <c r="OXG1" s="42"/>
      <c r="OXH1" s="42"/>
      <c r="OXI1" s="42"/>
      <c r="OXJ1" s="42"/>
      <c r="OXK1" s="42"/>
      <c r="OXL1" s="42"/>
      <c r="OXM1" s="42"/>
      <c r="OXN1" s="42"/>
      <c r="OXO1" s="42"/>
      <c r="OXP1" s="42"/>
      <c r="OXQ1" s="42"/>
      <c r="OXR1" s="42"/>
      <c r="OXS1" s="42"/>
      <c r="OXT1" s="42"/>
      <c r="OXU1" s="42"/>
      <c r="OXV1" s="42"/>
      <c r="OXW1" s="42"/>
      <c r="OXX1" s="42"/>
      <c r="OXY1" s="42"/>
      <c r="OXZ1" s="42"/>
      <c r="OYA1" s="42"/>
      <c r="OYB1" s="42"/>
      <c r="OYC1" s="42"/>
      <c r="OYD1" s="42"/>
      <c r="OYE1" s="42"/>
      <c r="OYF1" s="42"/>
      <c r="OYG1" s="42"/>
      <c r="OYH1" s="42"/>
      <c r="OYI1" s="42"/>
      <c r="OYJ1" s="42"/>
      <c r="OYK1" s="42"/>
      <c r="OYL1" s="42"/>
      <c r="OYM1" s="42"/>
      <c r="OYN1" s="42"/>
      <c r="OYO1" s="42"/>
      <c r="OYP1" s="42"/>
      <c r="OYQ1" s="42"/>
      <c r="OYR1" s="42"/>
      <c r="OYS1" s="42"/>
      <c r="OYT1" s="42"/>
      <c r="OYU1" s="42"/>
      <c r="OYV1" s="42"/>
      <c r="OYW1" s="42"/>
      <c r="OYX1" s="42"/>
      <c r="OYY1" s="42"/>
      <c r="OYZ1" s="42"/>
      <c r="OZA1" s="42"/>
      <c r="OZB1" s="42"/>
      <c r="OZC1" s="42"/>
      <c r="OZD1" s="42"/>
      <c r="OZE1" s="42"/>
      <c r="OZF1" s="42"/>
      <c r="OZG1" s="42"/>
      <c r="OZH1" s="42"/>
      <c r="OZI1" s="42"/>
      <c r="OZJ1" s="42"/>
      <c r="OZK1" s="42"/>
      <c r="OZL1" s="42"/>
      <c r="OZM1" s="42"/>
      <c r="OZN1" s="42"/>
      <c r="OZO1" s="42"/>
      <c r="OZP1" s="42"/>
      <c r="OZQ1" s="42"/>
      <c r="OZR1" s="42"/>
      <c r="OZS1" s="42"/>
      <c r="OZT1" s="42"/>
      <c r="OZU1" s="42"/>
      <c r="OZV1" s="42"/>
      <c r="OZW1" s="42"/>
      <c r="OZX1" s="42"/>
      <c r="OZY1" s="42"/>
      <c r="OZZ1" s="42"/>
      <c r="PAA1" s="42"/>
      <c r="PAB1" s="42"/>
      <c r="PAC1" s="42"/>
      <c r="PAD1" s="42"/>
      <c r="PAE1" s="42"/>
      <c r="PAF1" s="42"/>
      <c r="PAG1" s="42"/>
      <c r="PAH1" s="42"/>
      <c r="PAI1" s="42"/>
      <c r="PAJ1" s="42"/>
      <c r="PAK1" s="42"/>
      <c r="PAL1" s="42"/>
      <c r="PAM1" s="42"/>
      <c r="PAN1" s="42"/>
      <c r="PAO1" s="42"/>
      <c r="PAP1" s="42"/>
      <c r="PAQ1" s="42"/>
      <c r="PAR1" s="42"/>
      <c r="PAS1" s="42"/>
      <c r="PAT1" s="42"/>
      <c r="PAU1" s="42"/>
      <c r="PAV1" s="42"/>
      <c r="PAW1" s="42"/>
      <c r="PAX1" s="42"/>
      <c r="PAY1" s="42"/>
      <c r="PAZ1" s="42"/>
      <c r="PBA1" s="42"/>
      <c r="PBB1" s="42"/>
      <c r="PBC1" s="42"/>
      <c r="PBD1" s="42"/>
      <c r="PBE1" s="42"/>
      <c r="PBF1" s="42"/>
      <c r="PBG1" s="42"/>
      <c r="PBH1" s="42"/>
      <c r="PBI1" s="42"/>
      <c r="PBJ1" s="42"/>
      <c r="PBK1" s="42"/>
      <c r="PBL1" s="42"/>
      <c r="PBM1" s="42"/>
      <c r="PBN1" s="42"/>
      <c r="PBO1" s="42"/>
      <c r="PBP1" s="42"/>
      <c r="PBQ1" s="42"/>
      <c r="PBR1" s="42"/>
      <c r="PBS1" s="42"/>
      <c r="PBT1" s="42"/>
      <c r="PBU1" s="42"/>
      <c r="PBV1" s="42"/>
      <c r="PBW1" s="42"/>
      <c r="PBX1" s="42"/>
      <c r="PBY1" s="42"/>
      <c r="PBZ1" s="42"/>
      <c r="PCA1" s="42"/>
      <c r="PCB1" s="42"/>
      <c r="PCC1" s="42"/>
      <c r="PCD1" s="42"/>
      <c r="PCE1" s="42"/>
      <c r="PCF1" s="42"/>
      <c r="PCG1" s="42"/>
      <c r="PCH1" s="42"/>
      <c r="PCI1" s="42"/>
      <c r="PCJ1" s="42"/>
      <c r="PCK1" s="42"/>
      <c r="PCL1" s="42"/>
      <c r="PCM1" s="42"/>
      <c r="PCN1" s="42"/>
      <c r="PCO1" s="42"/>
      <c r="PCP1" s="42"/>
      <c r="PCQ1" s="42"/>
      <c r="PCR1" s="42"/>
      <c r="PCS1" s="42"/>
      <c r="PCT1" s="42"/>
      <c r="PCU1" s="42"/>
      <c r="PCV1" s="42"/>
      <c r="PCW1" s="42"/>
      <c r="PCX1" s="42"/>
      <c r="PCY1" s="42"/>
      <c r="PCZ1" s="42"/>
      <c r="PDA1" s="42"/>
      <c r="PDB1" s="42"/>
      <c r="PDC1" s="42"/>
      <c r="PDD1" s="42"/>
      <c r="PDE1" s="42"/>
      <c r="PDF1" s="42"/>
      <c r="PDG1" s="42"/>
      <c r="PDH1" s="42"/>
      <c r="PDI1" s="42"/>
      <c r="PDJ1" s="42"/>
      <c r="PDK1" s="42"/>
      <c r="PDL1" s="42"/>
      <c r="PDM1" s="42"/>
      <c r="PDN1" s="42"/>
      <c r="PDO1" s="42"/>
      <c r="PDP1" s="42"/>
      <c r="PDQ1" s="42"/>
      <c r="PDR1" s="42"/>
      <c r="PDS1" s="42"/>
      <c r="PDT1" s="42"/>
      <c r="PDU1" s="42"/>
      <c r="PDV1" s="42"/>
      <c r="PDW1" s="42"/>
      <c r="PDX1" s="42"/>
      <c r="PDY1" s="42"/>
      <c r="PDZ1" s="42"/>
      <c r="PEA1" s="42"/>
      <c r="PEB1" s="42"/>
      <c r="PEC1" s="42"/>
      <c r="PED1" s="42"/>
      <c r="PEE1" s="42"/>
      <c r="PEF1" s="42"/>
      <c r="PEG1" s="42"/>
      <c r="PEH1" s="42"/>
      <c r="PEI1" s="42"/>
      <c r="PEJ1" s="42"/>
      <c r="PEK1" s="42"/>
      <c r="PEL1" s="42"/>
      <c r="PEM1" s="42"/>
      <c r="PEN1" s="42"/>
      <c r="PEO1" s="42"/>
      <c r="PEP1" s="42"/>
      <c r="PEQ1" s="42"/>
      <c r="PER1" s="42"/>
      <c r="PES1" s="42"/>
      <c r="PET1" s="42"/>
      <c r="PEU1" s="42"/>
      <c r="PEV1" s="42"/>
      <c r="PEW1" s="42"/>
      <c r="PEX1" s="42"/>
      <c r="PEY1" s="42"/>
      <c r="PEZ1" s="42"/>
      <c r="PFA1" s="42"/>
      <c r="PFB1" s="42"/>
      <c r="PFC1" s="42"/>
      <c r="PFD1" s="42"/>
      <c r="PFE1" s="42"/>
      <c r="PFF1" s="42"/>
      <c r="PFG1" s="42"/>
      <c r="PFH1" s="42"/>
      <c r="PFI1" s="42"/>
      <c r="PFJ1" s="42"/>
      <c r="PFK1" s="42"/>
      <c r="PFL1" s="42"/>
      <c r="PFM1" s="42"/>
      <c r="PFN1" s="42"/>
      <c r="PFO1" s="42"/>
      <c r="PFP1" s="42"/>
      <c r="PFQ1" s="42"/>
      <c r="PFR1" s="42"/>
      <c r="PFS1" s="42"/>
      <c r="PFT1" s="42"/>
      <c r="PFU1" s="42"/>
      <c r="PFV1" s="42"/>
      <c r="PFW1" s="42"/>
      <c r="PFX1" s="42"/>
      <c r="PFY1" s="42"/>
      <c r="PFZ1" s="42"/>
      <c r="PGA1" s="42"/>
      <c r="PGB1" s="42"/>
      <c r="PGC1" s="42"/>
      <c r="PGD1" s="42"/>
      <c r="PGE1" s="42"/>
      <c r="PGF1" s="42"/>
      <c r="PGG1" s="42"/>
      <c r="PGH1" s="42"/>
      <c r="PGI1" s="42"/>
      <c r="PGJ1" s="42"/>
      <c r="PGK1" s="42"/>
      <c r="PGL1" s="42"/>
      <c r="PGM1" s="42"/>
      <c r="PGN1" s="42"/>
      <c r="PGO1" s="42"/>
      <c r="PGP1" s="42"/>
      <c r="PGQ1" s="42"/>
      <c r="PGR1" s="42"/>
      <c r="PGS1" s="42"/>
      <c r="PGT1" s="42"/>
      <c r="PGU1" s="42"/>
      <c r="PGV1" s="42"/>
      <c r="PGW1" s="42"/>
      <c r="PGX1" s="42"/>
      <c r="PGY1" s="42"/>
      <c r="PGZ1" s="42"/>
      <c r="PHA1" s="42"/>
      <c r="PHB1" s="42"/>
      <c r="PHC1" s="42"/>
      <c r="PHD1" s="42"/>
      <c r="PHE1" s="42"/>
      <c r="PHF1" s="42"/>
      <c r="PHG1" s="42"/>
      <c r="PHH1" s="42"/>
      <c r="PHI1" s="42"/>
      <c r="PHJ1" s="42"/>
      <c r="PHK1" s="42"/>
      <c r="PHL1" s="42"/>
      <c r="PHM1" s="42"/>
      <c r="PHN1" s="42"/>
      <c r="PHO1" s="42"/>
      <c r="PHP1" s="42"/>
      <c r="PHQ1" s="42"/>
      <c r="PHR1" s="42"/>
      <c r="PHS1" s="42"/>
      <c r="PHT1" s="42"/>
      <c r="PHU1" s="42"/>
      <c r="PHV1" s="42"/>
      <c r="PHW1" s="42"/>
      <c r="PHX1" s="42"/>
      <c r="PHY1" s="42"/>
      <c r="PHZ1" s="42"/>
      <c r="PIA1" s="42"/>
      <c r="PIB1" s="42"/>
      <c r="PIC1" s="42"/>
      <c r="PID1" s="42"/>
      <c r="PIE1" s="42"/>
      <c r="PIF1" s="42"/>
      <c r="PIG1" s="42"/>
      <c r="PIH1" s="42"/>
      <c r="PII1" s="42"/>
      <c r="PIJ1" s="42"/>
      <c r="PIK1" s="42"/>
      <c r="PIL1" s="42"/>
      <c r="PIM1" s="42"/>
      <c r="PIN1" s="42"/>
      <c r="PIO1" s="42"/>
      <c r="PIP1" s="42"/>
      <c r="PIQ1" s="42"/>
      <c r="PIR1" s="42"/>
      <c r="PIS1" s="42"/>
      <c r="PIT1" s="42"/>
      <c r="PIU1" s="42"/>
      <c r="PIV1" s="42"/>
      <c r="PIW1" s="42"/>
      <c r="PIX1" s="42"/>
      <c r="PIY1" s="42"/>
      <c r="PIZ1" s="42"/>
      <c r="PJA1" s="42"/>
      <c r="PJB1" s="42"/>
      <c r="PJC1" s="42"/>
      <c r="PJD1" s="42"/>
      <c r="PJE1" s="42"/>
      <c r="PJF1" s="42"/>
      <c r="PJG1" s="42"/>
      <c r="PJH1" s="42"/>
      <c r="PJI1" s="42"/>
      <c r="PJJ1" s="42"/>
      <c r="PJK1" s="42"/>
      <c r="PJL1" s="42"/>
      <c r="PJM1" s="42"/>
      <c r="PJN1" s="42"/>
      <c r="PJO1" s="42"/>
      <c r="PJP1" s="42"/>
      <c r="PJQ1" s="42"/>
      <c r="PJR1" s="42"/>
      <c r="PJS1" s="42"/>
      <c r="PJT1" s="42"/>
      <c r="PJU1" s="42"/>
      <c r="PJV1" s="42"/>
      <c r="PJW1" s="42"/>
      <c r="PJX1" s="42"/>
      <c r="PJY1" s="42"/>
      <c r="PJZ1" s="42"/>
      <c r="PKA1" s="42"/>
      <c r="PKB1" s="42"/>
      <c r="PKC1" s="42"/>
      <c r="PKD1" s="42"/>
      <c r="PKE1" s="42"/>
      <c r="PKF1" s="42"/>
      <c r="PKG1" s="42"/>
      <c r="PKH1" s="42"/>
      <c r="PKI1" s="42"/>
      <c r="PKJ1" s="42"/>
      <c r="PKK1" s="42"/>
      <c r="PKL1" s="42"/>
      <c r="PKM1" s="42"/>
      <c r="PKN1" s="42"/>
      <c r="PKO1" s="42"/>
      <c r="PKP1" s="42"/>
      <c r="PKQ1" s="42"/>
      <c r="PKR1" s="42"/>
      <c r="PKS1" s="42"/>
      <c r="PKT1" s="42"/>
      <c r="PKU1" s="42"/>
      <c r="PKV1" s="42"/>
      <c r="PKW1" s="42"/>
      <c r="PKX1" s="42"/>
      <c r="PKY1" s="42"/>
      <c r="PKZ1" s="42"/>
      <c r="PLA1" s="42"/>
      <c r="PLB1" s="42"/>
      <c r="PLC1" s="42"/>
      <c r="PLD1" s="42"/>
      <c r="PLE1" s="42"/>
      <c r="PLF1" s="42"/>
      <c r="PLG1" s="42"/>
      <c r="PLH1" s="42"/>
      <c r="PLI1" s="42"/>
      <c r="PLJ1" s="42"/>
      <c r="PLK1" s="42"/>
      <c r="PLL1" s="42"/>
      <c r="PLM1" s="42"/>
      <c r="PLN1" s="42"/>
      <c r="PLO1" s="42"/>
      <c r="PLP1" s="42"/>
      <c r="PLQ1" s="42"/>
      <c r="PLR1" s="42"/>
      <c r="PLS1" s="42"/>
      <c r="PLT1" s="42"/>
      <c r="PLU1" s="42"/>
      <c r="PLV1" s="42"/>
      <c r="PLW1" s="42"/>
      <c r="PLX1" s="42"/>
      <c r="PLY1" s="42"/>
      <c r="PLZ1" s="42"/>
      <c r="PMA1" s="42"/>
      <c r="PMB1" s="42"/>
      <c r="PMC1" s="42"/>
      <c r="PMD1" s="42"/>
      <c r="PME1" s="42"/>
      <c r="PMF1" s="42"/>
      <c r="PMG1" s="42"/>
      <c r="PMH1" s="42"/>
      <c r="PMI1" s="42"/>
      <c r="PMJ1" s="42"/>
      <c r="PMK1" s="42"/>
      <c r="PML1" s="42"/>
      <c r="PMM1" s="42"/>
      <c r="PMN1" s="42"/>
      <c r="PMO1" s="42"/>
      <c r="PMP1" s="42"/>
      <c r="PMQ1" s="42"/>
      <c r="PMR1" s="42"/>
      <c r="PMS1" s="42"/>
      <c r="PMT1" s="42"/>
      <c r="PMU1" s="42"/>
      <c r="PMV1" s="42"/>
      <c r="PMW1" s="42"/>
      <c r="PMX1" s="42"/>
      <c r="PMY1" s="42"/>
      <c r="PMZ1" s="42"/>
      <c r="PNA1" s="42"/>
      <c r="PNB1" s="42"/>
      <c r="PNC1" s="42"/>
      <c r="PND1" s="42"/>
      <c r="PNE1" s="42"/>
      <c r="PNF1" s="42"/>
      <c r="PNG1" s="42"/>
      <c r="PNH1" s="42"/>
      <c r="PNI1" s="42"/>
      <c r="PNJ1" s="42"/>
      <c r="PNK1" s="42"/>
      <c r="PNL1" s="42"/>
      <c r="PNM1" s="42"/>
      <c r="PNN1" s="42"/>
      <c r="PNO1" s="42"/>
      <c r="PNP1" s="42"/>
      <c r="PNQ1" s="42"/>
      <c r="PNR1" s="42"/>
      <c r="PNS1" s="42"/>
      <c r="PNT1" s="42"/>
      <c r="PNU1" s="42"/>
      <c r="PNV1" s="42"/>
      <c r="PNW1" s="42"/>
      <c r="PNX1" s="42"/>
      <c r="PNY1" s="42"/>
      <c r="PNZ1" s="42"/>
      <c r="POA1" s="42"/>
      <c r="POB1" s="42"/>
      <c r="POC1" s="42"/>
      <c r="POD1" s="42"/>
      <c r="POE1" s="42"/>
      <c r="POF1" s="42"/>
      <c r="POG1" s="42"/>
      <c r="POH1" s="42"/>
      <c r="POI1" s="42"/>
      <c r="POJ1" s="42"/>
      <c r="POK1" s="42"/>
      <c r="POL1" s="42"/>
      <c r="POM1" s="42"/>
      <c r="PON1" s="42"/>
      <c r="POO1" s="42"/>
      <c r="POP1" s="42"/>
      <c r="POQ1" s="42"/>
      <c r="POR1" s="42"/>
      <c r="POS1" s="42"/>
      <c r="POT1" s="42"/>
      <c r="POU1" s="42"/>
      <c r="POV1" s="42"/>
      <c r="POW1" s="42"/>
      <c r="POX1" s="42"/>
      <c r="POY1" s="42"/>
      <c r="POZ1" s="42"/>
      <c r="PPA1" s="42"/>
      <c r="PPB1" s="42"/>
      <c r="PPC1" s="42"/>
      <c r="PPD1" s="42"/>
      <c r="PPE1" s="42"/>
      <c r="PPF1" s="42"/>
      <c r="PPG1" s="42"/>
      <c r="PPH1" s="42"/>
      <c r="PPI1" s="42"/>
      <c r="PPJ1" s="42"/>
      <c r="PPK1" s="42"/>
      <c r="PPL1" s="42"/>
      <c r="PPM1" s="42"/>
      <c r="PPN1" s="42"/>
      <c r="PPO1" s="42"/>
      <c r="PPP1" s="42"/>
      <c r="PPQ1" s="42"/>
      <c r="PPR1" s="42"/>
      <c r="PPS1" s="42"/>
      <c r="PPT1" s="42"/>
      <c r="PPU1" s="42"/>
      <c r="PPV1" s="42"/>
      <c r="PPW1" s="42"/>
      <c r="PPX1" s="42"/>
      <c r="PPY1" s="42"/>
      <c r="PPZ1" s="42"/>
      <c r="PQA1" s="42"/>
      <c r="PQB1" s="42"/>
      <c r="PQC1" s="42"/>
      <c r="PQD1" s="42"/>
      <c r="PQE1" s="42"/>
      <c r="PQF1" s="42"/>
      <c r="PQG1" s="42"/>
      <c r="PQH1" s="42"/>
      <c r="PQI1" s="42"/>
      <c r="PQJ1" s="42"/>
      <c r="PQK1" s="42"/>
      <c r="PQL1" s="42"/>
      <c r="PQM1" s="42"/>
      <c r="PQN1" s="42"/>
      <c r="PQO1" s="42"/>
      <c r="PQP1" s="42"/>
      <c r="PQQ1" s="42"/>
      <c r="PQR1" s="42"/>
      <c r="PQS1" s="42"/>
      <c r="PQT1" s="42"/>
      <c r="PQU1" s="42"/>
      <c r="PQV1" s="42"/>
      <c r="PQW1" s="42"/>
      <c r="PQX1" s="42"/>
      <c r="PQY1" s="42"/>
      <c r="PQZ1" s="42"/>
      <c r="PRA1" s="42"/>
      <c r="PRB1" s="42"/>
      <c r="PRC1" s="42"/>
      <c r="PRD1" s="42"/>
      <c r="PRE1" s="42"/>
      <c r="PRF1" s="42"/>
      <c r="PRG1" s="42"/>
      <c r="PRH1" s="42"/>
      <c r="PRI1" s="42"/>
      <c r="PRJ1" s="42"/>
      <c r="PRK1" s="42"/>
      <c r="PRL1" s="42"/>
      <c r="PRM1" s="42"/>
      <c r="PRN1" s="42"/>
      <c r="PRO1" s="42"/>
      <c r="PRP1" s="42"/>
      <c r="PRQ1" s="42"/>
      <c r="PRR1" s="42"/>
      <c r="PRS1" s="42"/>
      <c r="PRT1" s="42"/>
      <c r="PRU1" s="42"/>
      <c r="PRV1" s="42"/>
      <c r="PRW1" s="42"/>
      <c r="PRX1" s="42"/>
      <c r="PRY1" s="42"/>
      <c r="PRZ1" s="42"/>
      <c r="PSA1" s="42"/>
      <c r="PSB1" s="42"/>
      <c r="PSC1" s="42"/>
      <c r="PSD1" s="42"/>
      <c r="PSE1" s="42"/>
      <c r="PSF1" s="42"/>
      <c r="PSG1" s="42"/>
      <c r="PSH1" s="42"/>
      <c r="PSI1" s="42"/>
      <c r="PSJ1" s="42"/>
      <c r="PSK1" s="42"/>
      <c r="PSL1" s="42"/>
      <c r="PSM1" s="42"/>
      <c r="PSN1" s="42"/>
      <c r="PSO1" s="42"/>
      <c r="PSP1" s="42"/>
      <c r="PSQ1" s="42"/>
      <c r="PSR1" s="42"/>
      <c r="PSS1" s="42"/>
      <c r="PST1" s="42"/>
      <c r="PSU1" s="42"/>
      <c r="PSV1" s="42"/>
      <c r="PSW1" s="42"/>
      <c r="PSX1" s="42"/>
      <c r="PSY1" s="42"/>
      <c r="PSZ1" s="42"/>
      <c r="PTA1" s="42"/>
      <c r="PTB1" s="42"/>
      <c r="PTC1" s="42"/>
      <c r="PTD1" s="42"/>
      <c r="PTE1" s="42"/>
      <c r="PTF1" s="42"/>
      <c r="PTG1" s="42"/>
      <c r="PTH1" s="42"/>
      <c r="PTI1" s="42"/>
      <c r="PTJ1" s="42"/>
      <c r="PTK1" s="42"/>
      <c r="PTL1" s="42"/>
      <c r="PTM1" s="42"/>
      <c r="PTN1" s="42"/>
      <c r="PTO1" s="42"/>
      <c r="PTP1" s="42"/>
      <c r="PTQ1" s="42"/>
      <c r="PTR1" s="42"/>
      <c r="PTS1" s="42"/>
      <c r="PTT1" s="42"/>
      <c r="PTU1" s="42"/>
      <c r="PTV1" s="42"/>
      <c r="PTW1" s="42"/>
      <c r="PTX1" s="42"/>
      <c r="PTY1" s="42"/>
      <c r="PTZ1" s="42"/>
      <c r="PUA1" s="42"/>
      <c r="PUB1" s="42"/>
      <c r="PUC1" s="42"/>
      <c r="PUD1" s="42"/>
      <c r="PUE1" s="42"/>
      <c r="PUF1" s="42"/>
      <c r="PUG1" s="42"/>
      <c r="PUH1" s="42"/>
      <c r="PUI1" s="42"/>
      <c r="PUJ1" s="42"/>
      <c r="PUK1" s="42"/>
      <c r="PUL1" s="42"/>
      <c r="PUM1" s="42"/>
      <c r="PUN1" s="42"/>
      <c r="PUO1" s="42"/>
      <c r="PUP1" s="42"/>
      <c r="PUQ1" s="42"/>
      <c r="PUR1" s="42"/>
      <c r="PUS1" s="42"/>
      <c r="PUT1" s="42"/>
      <c r="PUU1" s="42"/>
      <c r="PUV1" s="42"/>
      <c r="PUW1" s="42"/>
      <c r="PUX1" s="42"/>
      <c r="PUY1" s="42"/>
      <c r="PUZ1" s="42"/>
      <c r="PVA1" s="42"/>
      <c r="PVB1" s="42"/>
      <c r="PVC1" s="42"/>
      <c r="PVD1" s="42"/>
      <c r="PVE1" s="42"/>
      <c r="PVF1" s="42"/>
      <c r="PVG1" s="42"/>
      <c r="PVH1" s="42"/>
      <c r="PVI1" s="42"/>
      <c r="PVJ1" s="42"/>
      <c r="PVK1" s="42"/>
      <c r="PVL1" s="42"/>
      <c r="PVM1" s="42"/>
      <c r="PVN1" s="42"/>
      <c r="PVO1" s="42"/>
      <c r="PVP1" s="42"/>
      <c r="PVQ1" s="42"/>
      <c r="PVR1" s="42"/>
      <c r="PVS1" s="42"/>
      <c r="PVT1" s="42"/>
      <c r="PVU1" s="42"/>
      <c r="PVV1" s="42"/>
      <c r="PVW1" s="42"/>
      <c r="PVX1" s="42"/>
      <c r="PVY1" s="42"/>
      <c r="PVZ1" s="42"/>
      <c r="PWA1" s="42"/>
      <c r="PWB1" s="42"/>
      <c r="PWC1" s="42"/>
      <c r="PWD1" s="42"/>
      <c r="PWE1" s="42"/>
      <c r="PWF1" s="42"/>
      <c r="PWG1" s="42"/>
      <c r="PWH1" s="42"/>
      <c r="PWI1" s="42"/>
      <c r="PWJ1" s="42"/>
      <c r="PWK1" s="42"/>
      <c r="PWL1" s="42"/>
      <c r="PWM1" s="42"/>
      <c r="PWN1" s="42"/>
      <c r="PWO1" s="42"/>
      <c r="PWP1" s="42"/>
      <c r="PWQ1" s="42"/>
      <c r="PWR1" s="42"/>
      <c r="PWS1" s="42"/>
      <c r="PWT1" s="42"/>
      <c r="PWU1" s="42"/>
      <c r="PWV1" s="42"/>
      <c r="PWW1" s="42"/>
      <c r="PWX1" s="42"/>
      <c r="PWY1" s="42"/>
      <c r="PWZ1" s="42"/>
      <c r="PXA1" s="42"/>
      <c r="PXB1" s="42"/>
      <c r="PXC1" s="42"/>
      <c r="PXD1" s="42"/>
      <c r="PXE1" s="42"/>
      <c r="PXF1" s="42"/>
      <c r="PXG1" s="42"/>
      <c r="PXH1" s="42"/>
      <c r="PXI1" s="42"/>
      <c r="PXJ1" s="42"/>
      <c r="PXK1" s="42"/>
      <c r="PXL1" s="42"/>
      <c r="PXM1" s="42"/>
      <c r="PXN1" s="42"/>
      <c r="PXO1" s="42"/>
      <c r="PXP1" s="42"/>
      <c r="PXQ1" s="42"/>
      <c r="PXR1" s="42"/>
      <c r="PXS1" s="42"/>
      <c r="PXT1" s="42"/>
      <c r="PXU1" s="42"/>
      <c r="PXV1" s="42"/>
      <c r="PXW1" s="42"/>
      <c r="PXX1" s="42"/>
      <c r="PXY1" s="42"/>
      <c r="PXZ1" s="42"/>
      <c r="PYA1" s="42"/>
      <c r="PYB1" s="42"/>
      <c r="PYC1" s="42"/>
      <c r="PYD1" s="42"/>
      <c r="PYE1" s="42"/>
      <c r="PYF1" s="42"/>
      <c r="PYG1" s="42"/>
      <c r="PYH1" s="42"/>
      <c r="PYI1" s="42"/>
      <c r="PYJ1" s="42"/>
      <c r="PYK1" s="42"/>
      <c r="PYL1" s="42"/>
      <c r="PYM1" s="42"/>
      <c r="PYN1" s="42"/>
      <c r="PYO1" s="42"/>
      <c r="PYP1" s="42"/>
      <c r="PYQ1" s="42"/>
      <c r="PYR1" s="42"/>
      <c r="PYS1" s="42"/>
      <c r="PYT1" s="42"/>
      <c r="PYU1" s="42"/>
      <c r="PYV1" s="42"/>
      <c r="PYW1" s="42"/>
      <c r="PYX1" s="42"/>
      <c r="PYY1" s="42"/>
      <c r="PYZ1" s="42"/>
      <c r="PZA1" s="42"/>
      <c r="PZB1" s="42"/>
      <c r="PZC1" s="42"/>
      <c r="PZD1" s="42"/>
      <c r="PZE1" s="42"/>
      <c r="PZF1" s="42"/>
      <c r="PZG1" s="42"/>
      <c r="PZH1" s="42"/>
      <c r="PZI1" s="42"/>
      <c r="PZJ1" s="42"/>
      <c r="PZK1" s="42"/>
      <c r="PZL1" s="42"/>
      <c r="PZM1" s="42"/>
      <c r="PZN1" s="42"/>
      <c r="PZO1" s="42"/>
      <c r="PZP1" s="42"/>
      <c r="PZQ1" s="42"/>
      <c r="PZR1" s="42"/>
      <c r="PZS1" s="42"/>
      <c r="PZT1" s="42"/>
      <c r="PZU1" s="42"/>
      <c r="PZV1" s="42"/>
      <c r="PZW1" s="42"/>
      <c r="PZX1" s="42"/>
      <c r="PZY1" s="42"/>
      <c r="PZZ1" s="42"/>
      <c r="QAA1" s="42"/>
      <c r="QAB1" s="42"/>
      <c r="QAC1" s="42"/>
      <c r="QAD1" s="42"/>
      <c r="QAE1" s="42"/>
      <c r="QAF1" s="42"/>
      <c r="QAG1" s="42"/>
      <c r="QAH1" s="42"/>
      <c r="QAI1" s="42"/>
      <c r="QAJ1" s="42"/>
      <c r="QAK1" s="42"/>
      <c r="QAL1" s="42"/>
      <c r="QAM1" s="42"/>
      <c r="QAN1" s="42"/>
      <c r="QAO1" s="42"/>
      <c r="QAP1" s="42"/>
      <c r="QAQ1" s="42"/>
      <c r="QAR1" s="42"/>
      <c r="QAS1" s="42"/>
      <c r="QAT1" s="42"/>
      <c r="QAU1" s="42"/>
      <c r="QAV1" s="42"/>
      <c r="QAW1" s="42"/>
      <c r="QAX1" s="42"/>
      <c r="QAY1" s="42"/>
      <c r="QAZ1" s="42"/>
      <c r="QBA1" s="42"/>
      <c r="QBB1" s="42"/>
      <c r="QBC1" s="42"/>
      <c r="QBD1" s="42"/>
      <c r="QBE1" s="42"/>
      <c r="QBF1" s="42"/>
      <c r="QBG1" s="42"/>
      <c r="QBH1" s="42"/>
      <c r="QBI1" s="42"/>
      <c r="QBJ1" s="42"/>
      <c r="QBK1" s="42"/>
      <c r="QBL1" s="42"/>
      <c r="QBM1" s="42"/>
      <c r="QBN1" s="42"/>
      <c r="QBO1" s="42"/>
      <c r="QBP1" s="42"/>
      <c r="QBQ1" s="42"/>
      <c r="QBR1" s="42"/>
      <c r="QBS1" s="42"/>
      <c r="QBT1" s="42"/>
      <c r="QBU1" s="42"/>
      <c r="QBV1" s="42"/>
      <c r="QBW1" s="42"/>
      <c r="QBX1" s="42"/>
      <c r="QBY1" s="42"/>
      <c r="QBZ1" s="42"/>
      <c r="QCA1" s="42"/>
      <c r="QCB1" s="42"/>
      <c r="QCC1" s="42"/>
      <c r="QCD1" s="42"/>
      <c r="QCE1" s="42"/>
      <c r="QCF1" s="42"/>
      <c r="QCG1" s="42"/>
      <c r="QCH1" s="42"/>
      <c r="QCI1" s="42"/>
      <c r="QCJ1" s="42"/>
      <c r="QCK1" s="42"/>
      <c r="QCL1" s="42"/>
      <c r="QCM1" s="42"/>
      <c r="QCN1" s="42"/>
      <c r="QCO1" s="42"/>
      <c r="QCP1" s="42"/>
      <c r="QCQ1" s="42"/>
      <c r="QCR1" s="42"/>
      <c r="QCS1" s="42"/>
      <c r="QCT1" s="42"/>
      <c r="QCU1" s="42"/>
      <c r="QCV1" s="42"/>
      <c r="QCW1" s="42"/>
      <c r="QCX1" s="42"/>
      <c r="QCY1" s="42"/>
      <c r="QCZ1" s="42"/>
      <c r="QDA1" s="42"/>
      <c r="QDB1" s="42"/>
      <c r="QDC1" s="42"/>
      <c r="QDD1" s="42"/>
      <c r="QDE1" s="42"/>
      <c r="QDF1" s="42"/>
      <c r="QDG1" s="42"/>
      <c r="QDH1" s="42"/>
      <c r="QDI1" s="42"/>
      <c r="QDJ1" s="42"/>
      <c r="QDK1" s="42"/>
      <c r="QDL1" s="42"/>
      <c r="QDM1" s="42"/>
      <c r="QDN1" s="42"/>
      <c r="QDO1" s="42"/>
      <c r="QDP1" s="42"/>
      <c r="QDQ1" s="42"/>
      <c r="QDR1" s="42"/>
      <c r="QDS1" s="42"/>
      <c r="QDT1" s="42"/>
      <c r="QDU1" s="42"/>
      <c r="QDV1" s="42"/>
      <c r="QDW1" s="42"/>
      <c r="QDX1" s="42"/>
      <c r="QDY1" s="42"/>
      <c r="QDZ1" s="42"/>
      <c r="QEA1" s="42"/>
      <c r="QEB1" s="42"/>
      <c r="QEC1" s="42"/>
      <c r="QED1" s="42"/>
      <c r="QEE1" s="42"/>
      <c r="QEF1" s="42"/>
      <c r="QEG1" s="42"/>
      <c r="QEH1" s="42"/>
      <c r="QEI1" s="42"/>
      <c r="QEJ1" s="42"/>
      <c r="QEK1" s="42"/>
      <c r="QEL1" s="42"/>
      <c r="QEM1" s="42"/>
      <c r="QEN1" s="42"/>
      <c r="QEO1" s="42"/>
      <c r="QEP1" s="42"/>
      <c r="QEQ1" s="42"/>
      <c r="QER1" s="42"/>
      <c r="QES1" s="42"/>
      <c r="QET1" s="42"/>
      <c r="QEU1" s="42"/>
      <c r="QEV1" s="42"/>
      <c r="QEW1" s="42"/>
      <c r="QEX1" s="42"/>
      <c r="QEY1" s="42"/>
      <c r="QEZ1" s="42"/>
      <c r="QFA1" s="42"/>
      <c r="QFB1" s="42"/>
      <c r="QFC1" s="42"/>
      <c r="QFD1" s="42"/>
      <c r="QFE1" s="42"/>
      <c r="QFF1" s="42"/>
      <c r="QFG1" s="42"/>
      <c r="QFH1" s="42"/>
      <c r="QFI1" s="42"/>
      <c r="QFJ1" s="42"/>
      <c r="QFK1" s="42"/>
      <c r="QFL1" s="42"/>
      <c r="QFM1" s="42"/>
      <c r="QFN1" s="42"/>
      <c r="QFO1" s="42"/>
      <c r="QFP1" s="42"/>
      <c r="QFQ1" s="42"/>
      <c r="QFR1" s="42"/>
      <c r="QFS1" s="42"/>
      <c r="QFT1" s="42"/>
      <c r="QFU1" s="42"/>
      <c r="QFV1" s="42"/>
      <c r="QFW1" s="42"/>
      <c r="QFX1" s="42"/>
      <c r="QFY1" s="42"/>
      <c r="QFZ1" s="42"/>
      <c r="QGA1" s="42"/>
      <c r="QGB1" s="42"/>
      <c r="QGC1" s="42"/>
      <c r="QGD1" s="42"/>
      <c r="QGE1" s="42"/>
      <c r="QGF1" s="42"/>
      <c r="QGG1" s="42"/>
      <c r="QGH1" s="42"/>
      <c r="QGI1" s="42"/>
      <c r="QGJ1" s="42"/>
      <c r="QGK1" s="42"/>
      <c r="QGL1" s="42"/>
      <c r="QGM1" s="42"/>
      <c r="QGN1" s="42"/>
      <c r="QGO1" s="42"/>
      <c r="QGP1" s="42"/>
      <c r="QGQ1" s="42"/>
      <c r="QGR1" s="42"/>
      <c r="QGS1" s="42"/>
      <c r="QGT1" s="42"/>
      <c r="QGU1" s="42"/>
      <c r="QGV1" s="42"/>
      <c r="QGW1" s="42"/>
      <c r="QGX1" s="42"/>
      <c r="QGY1" s="42"/>
      <c r="QGZ1" s="42"/>
      <c r="QHA1" s="42"/>
      <c r="QHB1" s="42"/>
      <c r="QHC1" s="42"/>
      <c r="QHD1" s="42"/>
      <c r="QHE1" s="42"/>
      <c r="QHF1" s="42"/>
      <c r="QHG1" s="42"/>
      <c r="QHH1" s="42"/>
      <c r="QHI1" s="42"/>
      <c r="QHJ1" s="42"/>
      <c r="QHK1" s="42"/>
      <c r="QHL1" s="42"/>
      <c r="QHM1" s="42"/>
      <c r="QHN1" s="42"/>
      <c r="QHO1" s="42"/>
      <c r="QHP1" s="42"/>
      <c r="QHQ1" s="42"/>
      <c r="QHR1" s="42"/>
      <c r="QHS1" s="42"/>
      <c r="QHT1" s="42"/>
      <c r="QHU1" s="42"/>
      <c r="QHV1" s="42"/>
      <c r="QHW1" s="42"/>
      <c r="QHX1" s="42"/>
      <c r="QHY1" s="42"/>
      <c r="QHZ1" s="42"/>
      <c r="QIA1" s="42"/>
      <c r="QIB1" s="42"/>
      <c r="QIC1" s="42"/>
      <c r="QID1" s="42"/>
      <c r="QIE1" s="42"/>
      <c r="QIF1" s="42"/>
      <c r="QIG1" s="42"/>
      <c r="QIH1" s="42"/>
      <c r="QII1" s="42"/>
      <c r="QIJ1" s="42"/>
      <c r="QIK1" s="42"/>
      <c r="QIL1" s="42"/>
      <c r="QIM1" s="42"/>
      <c r="QIN1" s="42"/>
      <c r="QIO1" s="42"/>
      <c r="QIP1" s="42"/>
      <c r="QIQ1" s="42"/>
      <c r="QIR1" s="42"/>
      <c r="QIS1" s="42"/>
      <c r="QIT1" s="42"/>
      <c r="QIU1" s="42"/>
      <c r="QIV1" s="42"/>
      <c r="QIW1" s="42"/>
      <c r="QIX1" s="42"/>
      <c r="QIY1" s="42"/>
      <c r="QIZ1" s="42"/>
      <c r="QJA1" s="42"/>
      <c r="QJB1" s="42"/>
      <c r="QJC1" s="42"/>
      <c r="QJD1" s="42"/>
      <c r="QJE1" s="42"/>
      <c r="QJF1" s="42"/>
      <c r="QJG1" s="42"/>
      <c r="QJH1" s="42"/>
      <c r="QJI1" s="42"/>
      <c r="QJJ1" s="42"/>
      <c r="QJK1" s="42"/>
      <c r="QJL1" s="42"/>
      <c r="QJM1" s="42"/>
      <c r="QJN1" s="42"/>
      <c r="QJO1" s="42"/>
      <c r="QJP1" s="42"/>
      <c r="QJQ1" s="42"/>
      <c r="QJR1" s="42"/>
      <c r="QJS1" s="42"/>
      <c r="QJT1" s="42"/>
      <c r="QJU1" s="42"/>
      <c r="QJV1" s="42"/>
      <c r="QJW1" s="42"/>
      <c r="QJX1" s="42"/>
      <c r="QJY1" s="42"/>
      <c r="QJZ1" s="42"/>
      <c r="QKA1" s="42"/>
      <c r="QKB1" s="42"/>
      <c r="QKC1" s="42"/>
      <c r="QKD1" s="42"/>
      <c r="QKE1" s="42"/>
      <c r="QKF1" s="42"/>
      <c r="QKG1" s="42"/>
      <c r="QKH1" s="42"/>
      <c r="QKI1" s="42"/>
      <c r="QKJ1" s="42"/>
      <c r="QKK1" s="42"/>
      <c r="QKL1" s="42"/>
      <c r="QKM1" s="42"/>
      <c r="QKN1" s="42"/>
      <c r="QKO1" s="42"/>
      <c r="QKP1" s="42"/>
      <c r="QKQ1" s="42"/>
      <c r="QKR1" s="42"/>
      <c r="QKS1" s="42"/>
      <c r="QKT1" s="42"/>
      <c r="QKU1" s="42"/>
      <c r="QKV1" s="42"/>
      <c r="QKW1" s="42"/>
      <c r="QKX1" s="42"/>
      <c r="QKY1" s="42"/>
      <c r="QKZ1" s="42"/>
      <c r="QLA1" s="42"/>
      <c r="QLB1" s="42"/>
      <c r="QLC1" s="42"/>
      <c r="QLD1" s="42"/>
      <c r="QLE1" s="42"/>
      <c r="QLF1" s="42"/>
      <c r="QLG1" s="42"/>
      <c r="QLH1" s="42"/>
      <c r="QLI1" s="42"/>
      <c r="QLJ1" s="42"/>
      <c r="QLK1" s="42"/>
      <c r="QLL1" s="42"/>
      <c r="QLM1" s="42"/>
      <c r="QLN1" s="42"/>
      <c r="QLO1" s="42"/>
      <c r="QLP1" s="42"/>
      <c r="QLQ1" s="42"/>
      <c r="QLR1" s="42"/>
      <c r="QLS1" s="42"/>
      <c r="QLT1" s="42"/>
      <c r="QLU1" s="42"/>
      <c r="QLV1" s="42"/>
      <c r="QLW1" s="42"/>
      <c r="QLX1" s="42"/>
      <c r="QLY1" s="42"/>
      <c r="QLZ1" s="42"/>
      <c r="QMA1" s="42"/>
      <c r="QMB1" s="42"/>
      <c r="QMC1" s="42"/>
      <c r="QMD1" s="42"/>
      <c r="QME1" s="42"/>
      <c r="QMF1" s="42"/>
      <c r="QMG1" s="42"/>
      <c r="QMH1" s="42"/>
      <c r="QMI1" s="42"/>
      <c r="QMJ1" s="42"/>
      <c r="QMK1" s="42"/>
      <c r="QML1" s="42"/>
      <c r="QMM1" s="42"/>
      <c r="QMN1" s="42"/>
      <c r="QMO1" s="42"/>
      <c r="QMP1" s="42"/>
      <c r="QMQ1" s="42"/>
      <c r="QMR1" s="42"/>
      <c r="QMS1" s="42"/>
      <c r="QMT1" s="42"/>
      <c r="QMU1" s="42"/>
      <c r="QMV1" s="42"/>
      <c r="QMW1" s="42"/>
      <c r="QMX1" s="42"/>
      <c r="QMY1" s="42"/>
      <c r="QMZ1" s="42"/>
      <c r="QNA1" s="42"/>
      <c r="QNB1" s="42"/>
      <c r="QNC1" s="42"/>
      <c r="QND1" s="42"/>
      <c r="QNE1" s="42"/>
      <c r="QNF1" s="42"/>
      <c r="QNG1" s="42"/>
      <c r="QNH1" s="42"/>
      <c r="QNI1" s="42"/>
      <c r="QNJ1" s="42"/>
      <c r="QNK1" s="42"/>
      <c r="QNL1" s="42"/>
      <c r="QNM1" s="42"/>
      <c r="QNN1" s="42"/>
      <c r="QNO1" s="42"/>
      <c r="QNP1" s="42"/>
      <c r="QNQ1" s="42"/>
      <c r="QNR1" s="42"/>
      <c r="QNS1" s="42"/>
      <c r="QNT1" s="42"/>
      <c r="QNU1" s="42"/>
      <c r="QNV1" s="42"/>
      <c r="QNW1" s="42"/>
      <c r="QNX1" s="42"/>
      <c r="QNY1" s="42"/>
      <c r="QNZ1" s="42"/>
      <c r="QOA1" s="42"/>
      <c r="QOB1" s="42"/>
      <c r="QOC1" s="42"/>
      <c r="QOD1" s="42"/>
      <c r="QOE1" s="42"/>
      <c r="QOF1" s="42"/>
      <c r="QOG1" s="42"/>
      <c r="QOH1" s="42"/>
      <c r="QOI1" s="42"/>
      <c r="QOJ1" s="42"/>
      <c r="QOK1" s="42"/>
      <c r="QOL1" s="42"/>
      <c r="QOM1" s="42"/>
      <c r="QON1" s="42"/>
      <c r="QOO1" s="42"/>
      <c r="QOP1" s="42"/>
      <c r="QOQ1" s="42"/>
      <c r="QOR1" s="42"/>
      <c r="QOS1" s="42"/>
      <c r="QOT1" s="42"/>
      <c r="QOU1" s="42"/>
      <c r="QOV1" s="42"/>
      <c r="QOW1" s="42"/>
      <c r="QOX1" s="42"/>
      <c r="QOY1" s="42"/>
      <c r="QOZ1" s="42"/>
      <c r="QPA1" s="42"/>
      <c r="QPB1" s="42"/>
      <c r="QPC1" s="42"/>
      <c r="QPD1" s="42"/>
      <c r="QPE1" s="42"/>
      <c r="QPF1" s="42"/>
      <c r="QPG1" s="42"/>
      <c r="QPH1" s="42"/>
      <c r="QPI1" s="42"/>
      <c r="QPJ1" s="42"/>
      <c r="QPK1" s="42"/>
      <c r="QPL1" s="42"/>
      <c r="QPM1" s="42"/>
      <c r="QPN1" s="42"/>
      <c r="QPO1" s="42"/>
      <c r="QPP1" s="42"/>
      <c r="QPQ1" s="42"/>
      <c r="QPR1" s="42"/>
      <c r="QPS1" s="42"/>
      <c r="QPT1" s="42"/>
      <c r="QPU1" s="42"/>
      <c r="QPV1" s="42"/>
      <c r="QPW1" s="42"/>
      <c r="QPX1" s="42"/>
      <c r="QPY1" s="42"/>
      <c r="QPZ1" s="42"/>
      <c r="QQA1" s="42"/>
      <c r="QQB1" s="42"/>
      <c r="QQC1" s="42"/>
      <c r="QQD1" s="42"/>
      <c r="QQE1" s="42"/>
      <c r="QQF1" s="42"/>
      <c r="QQG1" s="42"/>
      <c r="QQH1" s="42"/>
      <c r="QQI1" s="42"/>
      <c r="QQJ1" s="42"/>
      <c r="QQK1" s="42"/>
      <c r="QQL1" s="42"/>
      <c r="QQM1" s="42"/>
      <c r="QQN1" s="42"/>
      <c r="QQO1" s="42"/>
      <c r="QQP1" s="42"/>
      <c r="QQQ1" s="42"/>
      <c r="QQR1" s="42"/>
      <c r="QQS1" s="42"/>
      <c r="QQT1" s="42"/>
      <c r="QQU1" s="42"/>
      <c r="QQV1" s="42"/>
      <c r="QQW1" s="42"/>
      <c r="QQX1" s="42"/>
      <c r="QQY1" s="42"/>
      <c r="QQZ1" s="42"/>
      <c r="QRA1" s="42"/>
      <c r="QRB1" s="42"/>
      <c r="QRC1" s="42"/>
      <c r="QRD1" s="42"/>
      <c r="QRE1" s="42"/>
      <c r="QRF1" s="42"/>
      <c r="QRG1" s="42"/>
      <c r="QRH1" s="42"/>
      <c r="QRI1" s="42"/>
      <c r="QRJ1" s="42"/>
      <c r="QRK1" s="42"/>
      <c r="QRL1" s="42"/>
      <c r="QRM1" s="42"/>
      <c r="QRN1" s="42"/>
      <c r="QRO1" s="42"/>
      <c r="QRP1" s="42"/>
      <c r="QRQ1" s="42"/>
      <c r="QRR1" s="42"/>
      <c r="QRS1" s="42"/>
      <c r="QRT1" s="42"/>
      <c r="QRU1" s="42"/>
      <c r="QRV1" s="42"/>
      <c r="QRW1" s="42"/>
      <c r="QRX1" s="42"/>
      <c r="QRY1" s="42"/>
      <c r="QRZ1" s="42"/>
      <c r="QSA1" s="42"/>
      <c r="QSB1" s="42"/>
      <c r="QSC1" s="42"/>
      <c r="QSD1" s="42"/>
      <c r="QSE1" s="42"/>
      <c r="QSF1" s="42"/>
      <c r="QSG1" s="42"/>
      <c r="QSH1" s="42"/>
      <c r="QSI1" s="42"/>
      <c r="QSJ1" s="42"/>
      <c r="QSK1" s="42"/>
      <c r="QSL1" s="42"/>
      <c r="QSM1" s="42"/>
      <c r="QSN1" s="42"/>
      <c r="QSO1" s="42"/>
      <c r="QSP1" s="42"/>
      <c r="QSQ1" s="42"/>
      <c r="QSR1" s="42"/>
      <c r="QSS1" s="42"/>
      <c r="QST1" s="42"/>
      <c r="QSU1" s="42"/>
      <c r="QSV1" s="42"/>
      <c r="QSW1" s="42"/>
      <c r="QSX1" s="42"/>
      <c r="QSY1" s="42"/>
      <c r="QSZ1" s="42"/>
      <c r="QTA1" s="42"/>
      <c r="QTB1" s="42"/>
      <c r="QTC1" s="42"/>
      <c r="QTD1" s="42"/>
      <c r="QTE1" s="42"/>
      <c r="QTF1" s="42"/>
      <c r="QTG1" s="42"/>
      <c r="QTH1" s="42"/>
      <c r="QTI1" s="42"/>
      <c r="QTJ1" s="42"/>
      <c r="QTK1" s="42"/>
      <c r="QTL1" s="42"/>
      <c r="QTM1" s="42"/>
      <c r="QTN1" s="42"/>
      <c r="QTO1" s="42"/>
      <c r="QTP1" s="42"/>
      <c r="QTQ1" s="42"/>
      <c r="QTR1" s="42"/>
      <c r="QTS1" s="42"/>
      <c r="QTT1" s="42"/>
      <c r="QTU1" s="42"/>
      <c r="QTV1" s="42"/>
      <c r="QTW1" s="42"/>
      <c r="QTX1" s="42"/>
      <c r="QTY1" s="42"/>
      <c r="QTZ1" s="42"/>
      <c r="QUA1" s="42"/>
      <c r="QUB1" s="42"/>
      <c r="QUC1" s="42"/>
      <c r="QUD1" s="42"/>
      <c r="QUE1" s="42"/>
      <c r="QUF1" s="42"/>
      <c r="QUG1" s="42"/>
      <c r="QUH1" s="42"/>
      <c r="QUI1" s="42"/>
      <c r="QUJ1" s="42"/>
      <c r="QUK1" s="42"/>
      <c r="QUL1" s="42"/>
      <c r="QUM1" s="42"/>
      <c r="QUN1" s="42"/>
      <c r="QUO1" s="42"/>
      <c r="QUP1" s="42"/>
      <c r="QUQ1" s="42"/>
      <c r="QUR1" s="42"/>
      <c r="QUS1" s="42"/>
      <c r="QUT1" s="42"/>
      <c r="QUU1" s="42"/>
      <c r="QUV1" s="42"/>
      <c r="QUW1" s="42"/>
      <c r="QUX1" s="42"/>
      <c r="QUY1" s="42"/>
      <c r="QUZ1" s="42"/>
      <c r="QVA1" s="42"/>
      <c r="QVB1" s="42"/>
      <c r="QVC1" s="42"/>
      <c r="QVD1" s="42"/>
      <c r="QVE1" s="42"/>
      <c r="QVF1" s="42"/>
      <c r="QVG1" s="42"/>
      <c r="QVH1" s="42"/>
      <c r="QVI1" s="42"/>
      <c r="QVJ1" s="42"/>
      <c r="QVK1" s="42"/>
      <c r="QVL1" s="42"/>
      <c r="QVM1" s="42"/>
      <c r="QVN1" s="42"/>
      <c r="QVO1" s="42"/>
      <c r="QVP1" s="42"/>
      <c r="QVQ1" s="42"/>
      <c r="QVR1" s="42"/>
      <c r="QVS1" s="42"/>
      <c r="QVT1" s="42"/>
      <c r="QVU1" s="42"/>
      <c r="QVV1" s="42"/>
      <c r="QVW1" s="42"/>
      <c r="QVX1" s="42"/>
      <c r="QVY1" s="42"/>
      <c r="QVZ1" s="42"/>
      <c r="QWA1" s="42"/>
      <c r="QWB1" s="42"/>
      <c r="QWC1" s="42"/>
      <c r="QWD1" s="42"/>
      <c r="QWE1" s="42"/>
      <c r="QWF1" s="42"/>
      <c r="QWG1" s="42"/>
      <c r="QWH1" s="42"/>
      <c r="QWI1" s="42"/>
      <c r="QWJ1" s="42"/>
      <c r="QWK1" s="42"/>
      <c r="QWL1" s="42"/>
      <c r="QWM1" s="42"/>
      <c r="QWN1" s="42"/>
      <c r="QWO1" s="42"/>
      <c r="QWP1" s="42"/>
      <c r="QWQ1" s="42"/>
      <c r="QWR1" s="42"/>
      <c r="QWS1" s="42"/>
      <c r="QWT1" s="42"/>
      <c r="QWU1" s="42"/>
      <c r="QWV1" s="42"/>
      <c r="QWW1" s="42"/>
      <c r="QWX1" s="42"/>
      <c r="QWY1" s="42"/>
      <c r="QWZ1" s="42"/>
      <c r="QXA1" s="42"/>
      <c r="QXB1" s="42"/>
      <c r="QXC1" s="42"/>
      <c r="QXD1" s="42"/>
      <c r="QXE1" s="42"/>
      <c r="QXF1" s="42"/>
      <c r="QXG1" s="42"/>
      <c r="QXH1" s="42"/>
      <c r="QXI1" s="42"/>
      <c r="QXJ1" s="42"/>
      <c r="QXK1" s="42"/>
      <c r="QXL1" s="42"/>
      <c r="QXM1" s="42"/>
      <c r="QXN1" s="42"/>
      <c r="QXO1" s="42"/>
      <c r="QXP1" s="42"/>
      <c r="QXQ1" s="42"/>
      <c r="QXR1" s="42"/>
      <c r="QXS1" s="42"/>
      <c r="QXT1" s="42"/>
      <c r="QXU1" s="42"/>
      <c r="QXV1" s="42"/>
      <c r="QXW1" s="42"/>
      <c r="QXX1" s="42"/>
      <c r="QXY1" s="42"/>
      <c r="QXZ1" s="42"/>
      <c r="QYA1" s="42"/>
      <c r="QYB1" s="42"/>
      <c r="QYC1" s="42"/>
      <c r="QYD1" s="42"/>
      <c r="QYE1" s="42"/>
      <c r="QYF1" s="42"/>
      <c r="QYG1" s="42"/>
      <c r="QYH1" s="42"/>
      <c r="QYI1" s="42"/>
      <c r="QYJ1" s="42"/>
      <c r="QYK1" s="42"/>
      <c r="QYL1" s="42"/>
      <c r="QYM1" s="42"/>
      <c r="QYN1" s="42"/>
      <c r="QYO1" s="42"/>
      <c r="QYP1" s="42"/>
      <c r="QYQ1" s="42"/>
      <c r="QYR1" s="42"/>
      <c r="QYS1" s="42"/>
      <c r="QYT1" s="42"/>
      <c r="QYU1" s="42"/>
      <c r="QYV1" s="42"/>
      <c r="QYW1" s="42"/>
      <c r="QYX1" s="42"/>
      <c r="QYY1" s="42"/>
      <c r="QYZ1" s="42"/>
      <c r="QZA1" s="42"/>
      <c r="QZB1" s="42"/>
      <c r="QZC1" s="42"/>
      <c r="QZD1" s="42"/>
      <c r="QZE1" s="42"/>
      <c r="QZF1" s="42"/>
      <c r="QZG1" s="42"/>
      <c r="QZH1" s="42"/>
      <c r="QZI1" s="42"/>
      <c r="QZJ1" s="42"/>
      <c r="QZK1" s="42"/>
      <c r="QZL1" s="42"/>
      <c r="QZM1" s="42"/>
      <c r="QZN1" s="42"/>
      <c r="QZO1" s="42"/>
      <c r="QZP1" s="42"/>
      <c r="QZQ1" s="42"/>
      <c r="QZR1" s="42"/>
      <c r="QZS1" s="42"/>
      <c r="QZT1" s="42"/>
      <c r="QZU1" s="42"/>
      <c r="QZV1" s="42"/>
      <c r="QZW1" s="42"/>
      <c r="QZX1" s="42"/>
      <c r="QZY1" s="42"/>
      <c r="QZZ1" s="42"/>
      <c r="RAA1" s="42"/>
      <c r="RAB1" s="42"/>
      <c r="RAC1" s="42"/>
      <c r="RAD1" s="42"/>
      <c r="RAE1" s="42"/>
      <c r="RAF1" s="42"/>
      <c r="RAG1" s="42"/>
      <c r="RAH1" s="42"/>
      <c r="RAI1" s="42"/>
      <c r="RAJ1" s="42"/>
      <c r="RAK1" s="42"/>
      <c r="RAL1" s="42"/>
      <c r="RAM1" s="42"/>
      <c r="RAN1" s="42"/>
      <c r="RAO1" s="42"/>
      <c r="RAP1" s="42"/>
      <c r="RAQ1" s="42"/>
      <c r="RAR1" s="42"/>
      <c r="RAS1" s="42"/>
      <c r="RAT1" s="42"/>
      <c r="RAU1" s="42"/>
      <c r="RAV1" s="42"/>
      <c r="RAW1" s="42"/>
      <c r="RAX1" s="42"/>
      <c r="RAY1" s="42"/>
      <c r="RAZ1" s="42"/>
      <c r="RBA1" s="42"/>
      <c r="RBB1" s="42"/>
      <c r="RBC1" s="42"/>
      <c r="RBD1" s="42"/>
      <c r="RBE1" s="42"/>
      <c r="RBF1" s="42"/>
      <c r="RBG1" s="42"/>
      <c r="RBH1" s="42"/>
      <c r="RBI1" s="42"/>
      <c r="RBJ1" s="42"/>
      <c r="RBK1" s="42"/>
      <c r="RBL1" s="42"/>
      <c r="RBM1" s="42"/>
      <c r="RBN1" s="42"/>
      <c r="RBO1" s="42"/>
      <c r="RBP1" s="42"/>
      <c r="RBQ1" s="42"/>
      <c r="RBR1" s="42"/>
      <c r="RBS1" s="42"/>
      <c r="RBT1" s="42"/>
      <c r="RBU1" s="42"/>
      <c r="RBV1" s="42"/>
      <c r="RBW1" s="42"/>
      <c r="RBX1" s="42"/>
      <c r="RBY1" s="42"/>
      <c r="RBZ1" s="42"/>
      <c r="RCA1" s="42"/>
      <c r="RCB1" s="42"/>
      <c r="RCC1" s="42"/>
      <c r="RCD1" s="42"/>
      <c r="RCE1" s="42"/>
      <c r="RCF1" s="42"/>
      <c r="RCG1" s="42"/>
      <c r="RCH1" s="42"/>
      <c r="RCI1" s="42"/>
      <c r="RCJ1" s="42"/>
      <c r="RCK1" s="42"/>
      <c r="RCL1" s="42"/>
      <c r="RCM1" s="42"/>
      <c r="RCN1" s="42"/>
      <c r="RCO1" s="42"/>
      <c r="RCP1" s="42"/>
      <c r="RCQ1" s="42"/>
      <c r="RCR1" s="42"/>
      <c r="RCS1" s="42"/>
      <c r="RCT1" s="42"/>
      <c r="RCU1" s="42"/>
      <c r="RCV1" s="42"/>
      <c r="RCW1" s="42"/>
      <c r="RCX1" s="42"/>
      <c r="RCY1" s="42"/>
      <c r="RCZ1" s="42"/>
      <c r="RDA1" s="42"/>
      <c r="RDB1" s="42"/>
      <c r="RDC1" s="42"/>
      <c r="RDD1" s="42"/>
      <c r="RDE1" s="42"/>
      <c r="RDF1" s="42"/>
      <c r="RDG1" s="42"/>
      <c r="RDH1" s="42"/>
      <c r="RDI1" s="42"/>
      <c r="RDJ1" s="42"/>
      <c r="RDK1" s="42"/>
      <c r="RDL1" s="42"/>
      <c r="RDM1" s="42"/>
      <c r="RDN1" s="42"/>
      <c r="RDO1" s="42"/>
      <c r="RDP1" s="42"/>
      <c r="RDQ1" s="42"/>
      <c r="RDR1" s="42"/>
      <c r="RDS1" s="42"/>
      <c r="RDT1" s="42"/>
      <c r="RDU1" s="42"/>
      <c r="RDV1" s="42"/>
      <c r="RDW1" s="42"/>
      <c r="RDX1" s="42"/>
      <c r="RDY1" s="42"/>
      <c r="RDZ1" s="42"/>
      <c r="REA1" s="42"/>
      <c r="REB1" s="42"/>
      <c r="REC1" s="42"/>
      <c r="RED1" s="42"/>
      <c r="REE1" s="42"/>
      <c r="REF1" s="42"/>
      <c r="REG1" s="42"/>
      <c r="REH1" s="42"/>
      <c r="REI1" s="42"/>
      <c r="REJ1" s="42"/>
      <c r="REK1" s="42"/>
      <c r="REL1" s="42"/>
      <c r="REM1" s="42"/>
      <c r="REN1" s="42"/>
      <c r="REO1" s="42"/>
      <c r="REP1" s="42"/>
      <c r="REQ1" s="42"/>
      <c r="RER1" s="42"/>
      <c r="RES1" s="42"/>
      <c r="RET1" s="42"/>
      <c r="REU1" s="42"/>
      <c r="REV1" s="42"/>
      <c r="REW1" s="42"/>
      <c r="REX1" s="42"/>
      <c r="REY1" s="42"/>
      <c r="REZ1" s="42"/>
      <c r="RFA1" s="42"/>
      <c r="RFB1" s="42"/>
      <c r="RFC1" s="42"/>
      <c r="RFD1" s="42"/>
      <c r="RFE1" s="42"/>
      <c r="RFF1" s="42"/>
      <c r="RFG1" s="42"/>
      <c r="RFH1" s="42"/>
      <c r="RFI1" s="42"/>
      <c r="RFJ1" s="42"/>
      <c r="RFK1" s="42"/>
      <c r="RFL1" s="42"/>
      <c r="RFM1" s="42"/>
      <c r="RFN1" s="42"/>
      <c r="RFO1" s="42"/>
      <c r="RFP1" s="42"/>
      <c r="RFQ1" s="42"/>
      <c r="RFR1" s="42"/>
      <c r="RFS1" s="42"/>
      <c r="RFT1" s="42"/>
      <c r="RFU1" s="42"/>
      <c r="RFV1" s="42"/>
      <c r="RFW1" s="42"/>
      <c r="RFX1" s="42"/>
      <c r="RFY1" s="42"/>
      <c r="RFZ1" s="42"/>
      <c r="RGA1" s="42"/>
      <c r="RGB1" s="42"/>
      <c r="RGC1" s="42"/>
      <c r="RGD1" s="42"/>
      <c r="RGE1" s="42"/>
      <c r="RGF1" s="42"/>
      <c r="RGG1" s="42"/>
      <c r="RGH1" s="42"/>
      <c r="RGI1" s="42"/>
      <c r="RGJ1" s="42"/>
      <c r="RGK1" s="42"/>
      <c r="RGL1" s="42"/>
      <c r="RGM1" s="42"/>
      <c r="RGN1" s="42"/>
      <c r="RGO1" s="42"/>
      <c r="RGP1" s="42"/>
      <c r="RGQ1" s="42"/>
      <c r="RGR1" s="42"/>
      <c r="RGS1" s="42"/>
      <c r="RGT1" s="42"/>
      <c r="RGU1" s="42"/>
      <c r="RGV1" s="42"/>
      <c r="RGW1" s="42"/>
      <c r="RGX1" s="42"/>
      <c r="RGY1" s="42"/>
      <c r="RGZ1" s="42"/>
      <c r="RHA1" s="42"/>
      <c r="RHB1" s="42"/>
      <c r="RHC1" s="42"/>
      <c r="RHD1" s="42"/>
      <c r="RHE1" s="42"/>
      <c r="RHF1" s="42"/>
      <c r="RHG1" s="42"/>
      <c r="RHH1" s="42"/>
      <c r="RHI1" s="42"/>
      <c r="RHJ1" s="42"/>
      <c r="RHK1" s="42"/>
      <c r="RHL1" s="42"/>
      <c r="RHM1" s="42"/>
      <c r="RHN1" s="42"/>
      <c r="RHO1" s="42"/>
      <c r="RHP1" s="42"/>
      <c r="RHQ1" s="42"/>
      <c r="RHR1" s="42"/>
      <c r="RHS1" s="42"/>
      <c r="RHT1" s="42"/>
      <c r="RHU1" s="42"/>
      <c r="RHV1" s="42"/>
      <c r="RHW1" s="42"/>
      <c r="RHX1" s="42"/>
      <c r="RHY1" s="42"/>
      <c r="RHZ1" s="42"/>
      <c r="RIA1" s="42"/>
      <c r="RIB1" s="42"/>
      <c r="RIC1" s="42"/>
      <c r="RID1" s="42"/>
      <c r="RIE1" s="42"/>
      <c r="RIF1" s="42"/>
      <c r="RIG1" s="42"/>
      <c r="RIH1" s="42"/>
      <c r="RII1" s="42"/>
      <c r="RIJ1" s="42"/>
      <c r="RIK1" s="42"/>
      <c r="RIL1" s="42"/>
      <c r="RIM1" s="42"/>
      <c r="RIN1" s="42"/>
      <c r="RIO1" s="42"/>
      <c r="RIP1" s="42"/>
      <c r="RIQ1" s="42"/>
      <c r="RIR1" s="42"/>
      <c r="RIS1" s="42"/>
      <c r="RIT1" s="42"/>
      <c r="RIU1" s="42"/>
      <c r="RIV1" s="42"/>
      <c r="RIW1" s="42"/>
      <c r="RIX1" s="42"/>
      <c r="RIY1" s="42"/>
      <c r="RIZ1" s="42"/>
      <c r="RJA1" s="42"/>
      <c r="RJB1" s="42"/>
      <c r="RJC1" s="42"/>
      <c r="RJD1" s="42"/>
      <c r="RJE1" s="42"/>
      <c r="RJF1" s="42"/>
      <c r="RJG1" s="42"/>
      <c r="RJH1" s="42"/>
      <c r="RJI1" s="42"/>
      <c r="RJJ1" s="42"/>
      <c r="RJK1" s="42"/>
      <c r="RJL1" s="42"/>
      <c r="RJM1" s="42"/>
      <c r="RJN1" s="42"/>
      <c r="RJO1" s="42"/>
      <c r="RJP1" s="42"/>
      <c r="RJQ1" s="42"/>
      <c r="RJR1" s="42"/>
      <c r="RJS1" s="42"/>
      <c r="RJT1" s="42"/>
      <c r="RJU1" s="42"/>
      <c r="RJV1" s="42"/>
      <c r="RJW1" s="42"/>
      <c r="RJX1" s="42"/>
      <c r="RJY1" s="42"/>
      <c r="RJZ1" s="42"/>
      <c r="RKA1" s="42"/>
      <c r="RKB1" s="42"/>
      <c r="RKC1" s="42"/>
      <c r="RKD1" s="42"/>
      <c r="RKE1" s="42"/>
      <c r="RKF1" s="42"/>
      <c r="RKG1" s="42"/>
      <c r="RKH1" s="42"/>
      <c r="RKI1" s="42"/>
      <c r="RKJ1" s="42"/>
      <c r="RKK1" s="42"/>
      <c r="RKL1" s="42"/>
      <c r="RKM1" s="42"/>
      <c r="RKN1" s="42"/>
      <c r="RKO1" s="42"/>
      <c r="RKP1" s="42"/>
      <c r="RKQ1" s="42"/>
      <c r="RKR1" s="42"/>
      <c r="RKS1" s="42"/>
      <c r="RKT1" s="42"/>
      <c r="RKU1" s="42"/>
      <c r="RKV1" s="42"/>
      <c r="RKW1" s="42"/>
      <c r="RKX1" s="42"/>
      <c r="RKY1" s="42"/>
      <c r="RKZ1" s="42"/>
      <c r="RLA1" s="42"/>
      <c r="RLB1" s="42"/>
      <c r="RLC1" s="42"/>
      <c r="RLD1" s="42"/>
      <c r="RLE1" s="42"/>
      <c r="RLF1" s="42"/>
      <c r="RLG1" s="42"/>
      <c r="RLH1" s="42"/>
      <c r="RLI1" s="42"/>
      <c r="RLJ1" s="42"/>
      <c r="RLK1" s="42"/>
      <c r="RLL1" s="42"/>
      <c r="RLM1" s="42"/>
      <c r="RLN1" s="42"/>
      <c r="RLO1" s="42"/>
      <c r="RLP1" s="42"/>
      <c r="RLQ1" s="42"/>
      <c r="RLR1" s="42"/>
      <c r="RLS1" s="42"/>
      <c r="RLT1" s="42"/>
      <c r="RLU1" s="42"/>
      <c r="RLV1" s="42"/>
      <c r="RLW1" s="42"/>
      <c r="RLX1" s="42"/>
      <c r="RLY1" s="42"/>
      <c r="RLZ1" s="42"/>
      <c r="RMA1" s="42"/>
      <c r="RMB1" s="42"/>
      <c r="RMC1" s="42"/>
      <c r="RMD1" s="42"/>
      <c r="RME1" s="42"/>
      <c r="RMF1" s="42"/>
      <c r="RMG1" s="42"/>
      <c r="RMH1" s="42"/>
      <c r="RMI1" s="42"/>
      <c r="RMJ1" s="42"/>
      <c r="RMK1" s="42"/>
      <c r="RML1" s="42"/>
      <c r="RMM1" s="42"/>
      <c r="RMN1" s="42"/>
      <c r="RMO1" s="42"/>
      <c r="RMP1" s="42"/>
      <c r="RMQ1" s="42"/>
      <c r="RMR1" s="42"/>
      <c r="RMS1" s="42"/>
      <c r="RMT1" s="42"/>
      <c r="RMU1" s="42"/>
      <c r="RMV1" s="42"/>
      <c r="RMW1" s="42"/>
      <c r="RMX1" s="42"/>
      <c r="RMY1" s="42"/>
      <c r="RMZ1" s="42"/>
      <c r="RNA1" s="42"/>
      <c r="RNB1" s="42"/>
      <c r="RNC1" s="42"/>
      <c r="RND1" s="42"/>
      <c r="RNE1" s="42"/>
      <c r="RNF1" s="42"/>
      <c r="RNG1" s="42"/>
      <c r="RNH1" s="42"/>
      <c r="RNI1" s="42"/>
      <c r="RNJ1" s="42"/>
      <c r="RNK1" s="42"/>
      <c r="RNL1" s="42"/>
      <c r="RNM1" s="42"/>
      <c r="RNN1" s="42"/>
      <c r="RNO1" s="42"/>
      <c r="RNP1" s="42"/>
      <c r="RNQ1" s="42"/>
      <c r="RNR1" s="42"/>
      <c r="RNS1" s="42"/>
      <c r="RNT1" s="42"/>
      <c r="RNU1" s="42"/>
      <c r="RNV1" s="42"/>
      <c r="RNW1" s="42"/>
      <c r="RNX1" s="42"/>
      <c r="RNY1" s="42"/>
      <c r="RNZ1" s="42"/>
      <c r="ROA1" s="42"/>
      <c r="ROB1" s="42"/>
      <c r="ROC1" s="42"/>
      <c r="ROD1" s="42"/>
      <c r="ROE1" s="42"/>
      <c r="ROF1" s="42"/>
      <c r="ROG1" s="42"/>
      <c r="ROH1" s="42"/>
      <c r="ROI1" s="42"/>
      <c r="ROJ1" s="42"/>
      <c r="ROK1" s="42"/>
      <c r="ROL1" s="42"/>
      <c r="ROM1" s="42"/>
      <c r="RON1" s="42"/>
      <c r="ROO1" s="42"/>
      <c r="ROP1" s="42"/>
      <c r="ROQ1" s="42"/>
      <c r="ROR1" s="42"/>
      <c r="ROS1" s="42"/>
      <c r="ROT1" s="42"/>
      <c r="ROU1" s="42"/>
      <c r="ROV1" s="42"/>
      <c r="ROW1" s="42"/>
      <c r="ROX1" s="42"/>
      <c r="ROY1" s="42"/>
      <c r="ROZ1" s="42"/>
      <c r="RPA1" s="42"/>
      <c r="RPB1" s="42"/>
      <c r="RPC1" s="42"/>
      <c r="RPD1" s="42"/>
      <c r="RPE1" s="42"/>
      <c r="RPF1" s="42"/>
      <c r="RPG1" s="42"/>
      <c r="RPH1" s="42"/>
      <c r="RPI1" s="42"/>
      <c r="RPJ1" s="42"/>
      <c r="RPK1" s="42"/>
      <c r="RPL1" s="42"/>
      <c r="RPM1" s="42"/>
      <c r="RPN1" s="42"/>
      <c r="RPO1" s="42"/>
      <c r="RPP1" s="42"/>
      <c r="RPQ1" s="42"/>
      <c r="RPR1" s="42"/>
      <c r="RPS1" s="42"/>
      <c r="RPT1" s="42"/>
      <c r="RPU1" s="42"/>
      <c r="RPV1" s="42"/>
      <c r="RPW1" s="42"/>
      <c r="RPX1" s="42"/>
      <c r="RPY1" s="42"/>
      <c r="RPZ1" s="42"/>
      <c r="RQA1" s="42"/>
      <c r="RQB1" s="42"/>
      <c r="RQC1" s="42"/>
      <c r="RQD1" s="42"/>
      <c r="RQE1" s="42"/>
      <c r="RQF1" s="42"/>
      <c r="RQG1" s="42"/>
      <c r="RQH1" s="42"/>
      <c r="RQI1" s="42"/>
      <c r="RQJ1" s="42"/>
      <c r="RQK1" s="42"/>
      <c r="RQL1" s="42"/>
      <c r="RQM1" s="42"/>
      <c r="RQN1" s="42"/>
      <c r="RQO1" s="42"/>
      <c r="RQP1" s="42"/>
      <c r="RQQ1" s="42"/>
      <c r="RQR1" s="42"/>
      <c r="RQS1" s="42"/>
      <c r="RQT1" s="42"/>
      <c r="RQU1" s="42"/>
      <c r="RQV1" s="42"/>
      <c r="RQW1" s="42"/>
      <c r="RQX1" s="42"/>
      <c r="RQY1" s="42"/>
      <c r="RQZ1" s="42"/>
      <c r="RRA1" s="42"/>
      <c r="RRB1" s="42"/>
      <c r="RRC1" s="42"/>
      <c r="RRD1" s="42"/>
      <c r="RRE1" s="42"/>
      <c r="RRF1" s="42"/>
      <c r="RRG1" s="42"/>
      <c r="RRH1" s="42"/>
      <c r="RRI1" s="42"/>
      <c r="RRJ1" s="42"/>
      <c r="RRK1" s="42"/>
      <c r="RRL1" s="42"/>
      <c r="RRM1" s="42"/>
      <c r="RRN1" s="42"/>
      <c r="RRO1" s="42"/>
      <c r="RRP1" s="42"/>
      <c r="RRQ1" s="42"/>
      <c r="RRR1" s="42"/>
      <c r="RRS1" s="42"/>
      <c r="RRT1" s="42"/>
      <c r="RRU1" s="42"/>
      <c r="RRV1" s="42"/>
      <c r="RRW1" s="42"/>
      <c r="RRX1" s="42"/>
      <c r="RRY1" s="42"/>
      <c r="RRZ1" s="42"/>
      <c r="RSA1" s="42"/>
      <c r="RSB1" s="42"/>
      <c r="RSC1" s="42"/>
      <c r="RSD1" s="42"/>
      <c r="RSE1" s="42"/>
      <c r="RSF1" s="42"/>
      <c r="RSG1" s="42"/>
      <c r="RSH1" s="42"/>
      <c r="RSI1" s="42"/>
      <c r="RSJ1" s="42"/>
      <c r="RSK1" s="42"/>
      <c r="RSL1" s="42"/>
      <c r="RSM1" s="42"/>
      <c r="RSN1" s="42"/>
      <c r="RSO1" s="42"/>
      <c r="RSP1" s="42"/>
      <c r="RSQ1" s="42"/>
      <c r="RSR1" s="42"/>
      <c r="RSS1" s="42"/>
      <c r="RST1" s="42"/>
      <c r="RSU1" s="42"/>
      <c r="RSV1" s="42"/>
      <c r="RSW1" s="42"/>
      <c r="RSX1" s="42"/>
      <c r="RSY1" s="42"/>
      <c r="RSZ1" s="42"/>
      <c r="RTA1" s="42"/>
      <c r="RTB1" s="42"/>
      <c r="RTC1" s="42"/>
      <c r="RTD1" s="42"/>
      <c r="RTE1" s="42"/>
      <c r="RTF1" s="42"/>
      <c r="RTG1" s="42"/>
      <c r="RTH1" s="42"/>
      <c r="RTI1" s="42"/>
      <c r="RTJ1" s="42"/>
      <c r="RTK1" s="42"/>
      <c r="RTL1" s="42"/>
      <c r="RTM1" s="42"/>
      <c r="RTN1" s="42"/>
      <c r="RTO1" s="42"/>
      <c r="RTP1" s="42"/>
      <c r="RTQ1" s="42"/>
      <c r="RTR1" s="42"/>
      <c r="RTS1" s="42"/>
      <c r="RTT1" s="42"/>
      <c r="RTU1" s="42"/>
      <c r="RTV1" s="42"/>
      <c r="RTW1" s="42"/>
      <c r="RTX1" s="42"/>
      <c r="RTY1" s="42"/>
      <c r="RTZ1" s="42"/>
      <c r="RUA1" s="42"/>
      <c r="RUB1" s="42"/>
      <c r="RUC1" s="42"/>
      <c r="RUD1" s="42"/>
      <c r="RUE1" s="42"/>
      <c r="RUF1" s="42"/>
      <c r="RUG1" s="42"/>
      <c r="RUH1" s="42"/>
      <c r="RUI1" s="42"/>
      <c r="RUJ1" s="42"/>
      <c r="RUK1" s="42"/>
      <c r="RUL1" s="42"/>
      <c r="RUM1" s="42"/>
      <c r="RUN1" s="42"/>
      <c r="RUO1" s="42"/>
      <c r="RUP1" s="42"/>
      <c r="RUQ1" s="42"/>
      <c r="RUR1" s="42"/>
      <c r="RUS1" s="42"/>
      <c r="RUT1" s="42"/>
      <c r="RUU1" s="42"/>
      <c r="RUV1" s="42"/>
      <c r="RUW1" s="42"/>
      <c r="RUX1" s="42"/>
      <c r="RUY1" s="42"/>
      <c r="RUZ1" s="42"/>
      <c r="RVA1" s="42"/>
      <c r="RVB1" s="42"/>
      <c r="RVC1" s="42"/>
      <c r="RVD1" s="42"/>
      <c r="RVE1" s="42"/>
      <c r="RVF1" s="42"/>
      <c r="RVG1" s="42"/>
      <c r="RVH1" s="42"/>
      <c r="RVI1" s="42"/>
      <c r="RVJ1" s="42"/>
      <c r="RVK1" s="42"/>
      <c r="RVL1" s="42"/>
      <c r="RVM1" s="42"/>
      <c r="RVN1" s="42"/>
      <c r="RVO1" s="42"/>
      <c r="RVP1" s="42"/>
      <c r="RVQ1" s="42"/>
      <c r="RVR1" s="42"/>
      <c r="RVS1" s="42"/>
      <c r="RVT1" s="42"/>
      <c r="RVU1" s="42"/>
      <c r="RVV1" s="42"/>
      <c r="RVW1" s="42"/>
      <c r="RVX1" s="42"/>
      <c r="RVY1" s="42"/>
      <c r="RVZ1" s="42"/>
      <c r="RWA1" s="42"/>
      <c r="RWB1" s="42"/>
      <c r="RWC1" s="42"/>
      <c r="RWD1" s="42"/>
      <c r="RWE1" s="42"/>
      <c r="RWF1" s="42"/>
      <c r="RWG1" s="42"/>
      <c r="RWH1" s="42"/>
      <c r="RWI1" s="42"/>
      <c r="RWJ1" s="42"/>
      <c r="RWK1" s="42"/>
      <c r="RWL1" s="42"/>
      <c r="RWM1" s="42"/>
      <c r="RWN1" s="42"/>
      <c r="RWO1" s="42"/>
      <c r="RWP1" s="42"/>
      <c r="RWQ1" s="42"/>
      <c r="RWR1" s="42"/>
      <c r="RWS1" s="42"/>
      <c r="RWT1" s="42"/>
      <c r="RWU1" s="42"/>
      <c r="RWV1" s="42"/>
      <c r="RWW1" s="42"/>
      <c r="RWX1" s="42"/>
      <c r="RWY1" s="42"/>
      <c r="RWZ1" s="42"/>
      <c r="RXA1" s="42"/>
      <c r="RXB1" s="42"/>
      <c r="RXC1" s="42"/>
      <c r="RXD1" s="42"/>
      <c r="RXE1" s="42"/>
      <c r="RXF1" s="42"/>
      <c r="RXG1" s="42"/>
      <c r="RXH1" s="42"/>
      <c r="RXI1" s="42"/>
      <c r="RXJ1" s="42"/>
      <c r="RXK1" s="42"/>
      <c r="RXL1" s="42"/>
      <c r="RXM1" s="42"/>
      <c r="RXN1" s="42"/>
      <c r="RXO1" s="42"/>
      <c r="RXP1" s="42"/>
      <c r="RXQ1" s="42"/>
      <c r="RXR1" s="42"/>
      <c r="RXS1" s="42"/>
      <c r="RXT1" s="42"/>
      <c r="RXU1" s="42"/>
      <c r="RXV1" s="42"/>
      <c r="RXW1" s="42"/>
      <c r="RXX1" s="42"/>
      <c r="RXY1" s="42"/>
      <c r="RXZ1" s="42"/>
      <c r="RYA1" s="42"/>
      <c r="RYB1" s="42"/>
      <c r="RYC1" s="42"/>
      <c r="RYD1" s="42"/>
      <c r="RYE1" s="42"/>
      <c r="RYF1" s="42"/>
      <c r="RYG1" s="42"/>
      <c r="RYH1" s="42"/>
      <c r="RYI1" s="42"/>
      <c r="RYJ1" s="42"/>
      <c r="RYK1" s="42"/>
      <c r="RYL1" s="42"/>
      <c r="RYM1" s="42"/>
      <c r="RYN1" s="42"/>
      <c r="RYO1" s="42"/>
      <c r="RYP1" s="42"/>
      <c r="RYQ1" s="42"/>
      <c r="RYR1" s="42"/>
      <c r="RYS1" s="42"/>
      <c r="RYT1" s="42"/>
      <c r="RYU1" s="42"/>
      <c r="RYV1" s="42"/>
      <c r="RYW1" s="42"/>
      <c r="RYX1" s="42"/>
      <c r="RYY1" s="42"/>
      <c r="RYZ1" s="42"/>
      <c r="RZA1" s="42"/>
      <c r="RZB1" s="42"/>
      <c r="RZC1" s="42"/>
      <c r="RZD1" s="42"/>
      <c r="RZE1" s="42"/>
      <c r="RZF1" s="42"/>
      <c r="RZG1" s="42"/>
      <c r="RZH1" s="42"/>
      <c r="RZI1" s="42"/>
      <c r="RZJ1" s="42"/>
      <c r="RZK1" s="42"/>
      <c r="RZL1" s="42"/>
      <c r="RZM1" s="42"/>
      <c r="RZN1" s="42"/>
      <c r="RZO1" s="42"/>
      <c r="RZP1" s="42"/>
      <c r="RZQ1" s="42"/>
      <c r="RZR1" s="42"/>
      <c r="RZS1" s="42"/>
      <c r="RZT1" s="42"/>
      <c r="RZU1" s="42"/>
      <c r="RZV1" s="42"/>
      <c r="RZW1" s="42"/>
      <c r="RZX1" s="42"/>
      <c r="RZY1" s="42"/>
      <c r="RZZ1" s="42"/>
      <c r="SAA1" s="42"/>
      <c r="SAB1" s="42"/>
      <c r="SAC1" s="42"/>
      <c r="SAD1" s="42"/>
      <c r="SAE1" s="42"/>
      <c r="SAF1" s="42"/>
      <c r="SAG1" s="42"/>
      <c r="SAH1" s="42"/>
      <c r="SAI1" s="42"/>
      <c r="SAJ1" s="42"/>
      <c r="SAK1" s="42"/>
      <c r="SAL1" s="42"/>
      <c r="SAM1" s="42"/>
      <c r="SAN1" s="42"/>
      <c r="SAO1" s="42"/>
      <c r="SAP1" s="42"/>
      <c r="SAQ1" s="42"/>
      <c r="SAR1" s="42"/>
      <c r="SAS1" s="42"/>
      <c r="SAT1" s="42"/>
      <c r="SAU1" s="42"/>
      <c r="SAV1" s="42"/>
      <c r="SAW1" s="42"/>
      <c r="SAX1" s="42"/>
      <c r="SAY1" s="42"/>
      <c r="SAZ1" s="42"/>
      <c r="SBA1" s="42"/>
      <c r="SBB1" s="42"/>
      <c r="SBC1" s="42"/>
      <c r="SBD1" s="42"/>
      <c r="SBE1" s="42"/>
      <c r="SBF1" s="42"/>
      <c r="SBG1" s="42"/>
      <c r="SBH1" s="42"/>
      <c r="SBI1" s="42"/>
      <c r="SBJ1" s="42"/>
      <c r="SBK1" s="42"/>
      <c r="SBL1" s="42"/>
      <c r="SBM1" s="42"/>
      <c r="SBN1" s="42"/>
      <c r="SBO1" s="42"/>
      <c r="SBP1" s="42"/>
      <c r="SBQ1" s="42"/>
      <c r="SBR1" s="42"/>
      <c r="SBS1" s="42"/>
      <c r="SBT1" s="42"/>
      <c r="SBU1" s="42"/>
      <c r="SBV1" s="42"/>
      <c r="SBW1" s="42"/>
      <c r="SBX1" s="42"/>
      <c r="SBY1" s="42"/>
      <c r="SBZ1" s="42"/>
      <c r="SCA1" s="42"/>
      <c r="SCB1" s="42"/>
      <c r="SCC1" s="42"/>
      <c r="SCD1" s="42"/>
      <c r="SCE1" s="42"/>
      <c r="SCF1" s="42"/>
      <c r="SCG1" s="42"/>
      <c r="SCH1" s="42"/>
      <c r="SCI1" s="42"/>
      <c r="SCJ1" s="42"/>
      <c r="SCK1" s="42"/>
      <c r="SCL1" s="42"/>
      <c r="SCM1" s="42"/>
      <c r="SCN1" s="42"/>
      <c r="SCO1" s="42"/>
      <c r="SCP1" s="42"/>
      <c r="SCQ1" s="42"/>
      <c r="SCR1" s="42"/>
      <c r="SCS1" s="42"/>
      <c r="SCT1" s="42"/>
      <c r="SCU1" s="42"/>
      <c r="SCV1" s="42"/>
      <c r="SCW1" s="42"/>
      <c r="SCX1" s="42"/>
      <c r="SCY1" s="42"/>
      <c r="SCZ1" s="42"/>
      <c r="SDA1" s="42"/>
      <c r="SDB1" s="42"/>
      <c r="SDC1" s="42"/>
      <c r="SDD1" s="42"/>
      <c r="SDE1" s="42"/>
      <c r="SDF1" s="42"/>
      <c r="SDG1" s="42"/>
      <c r="SDH1" s="42"/>
      <c r="SDI1" s="42"/>
      <c r="SDJ1" s="42"/>
      <c r="SDK1" s="42"/>
      <c r="SDL1" s="42"/>
      <c r="SDM1" s="42"/>
      <c r="SDN1" s="42"/>
      <c r="SDO1" s="42"/>
      <c r="SDP1" s="42"/>
      <c r="SDQ1" s="42"/>
      <c r="SDR1" s="42"/>
      <c r="SDS1" s="42"/>
      <c r="SDT1" s="42"/>
      <c r="SDU1" s="42"/>
      <c r="SDV1" s="42"/>
      <c r="SDW1" s="42"/>
      <c r="SDX1" s="42"/>
      <c r="SDY1" s="42"/>
      <c r="SDZ1" s="42"/>
      <c r="SEA1" s="42"/>
      <c r="SEB1" s="42"/>
      <c r="SEC1" s="42"/>
      <c r="SED1" s="42"/>
      <c r="SEE1" s="42"/>
      <c r="SEF1" s="42"/>
      <c r="SEG1" s="42"/>
      <c r="SEH1" s="42"/>
      <c r="SEI1" s="42"/>
      <c r="SEJ1" s="42"/>
      <c r="SEK1" s="42"/>
      <c r="SEL1" s="42"/>
      <c r="SEM1" s="42"/>
      <c r="SEN1" s="42"/>
      <c r="SEO1" s="42"/>
      <c r="SEP1" s="42"/>
      <c r="SEQ1" s="42"/>
      <c r="SER1" s="42"/>
      <c r="SES1" s="42"/>
      <c r="SET1" s="42"/>
      <c r="SEU1" s="42"/>
      <c r="SEV1" s="42"/>
      <c r="SEW1" s="42"/>
      <c r="SEX1" s="42"/>
      <c r="SEY1" s="42"/>
      <c r="SEZ1" s="42"/>
      <c r="SFA1" s="42"/>
      <c r="SFB1" s="42"/>
      <c r="SFC1" s="42"/>
      <c r="SFD1" s="42"/>
      <c r="SFE1" s="42"/>
      <c r="SFF1" s="42"/>
      <c r="SFG1" s="42"/>
      <c r="SFH1" s="42"/>
      <c r="SFI1" s="42"/>
      <c r="SFJ1" s="42"/>
      <c r="SFK1" s="42"/>
      <c r="SFL1" s="42"/>
      <c r="SFM1" s="42"/>
      <c r="SFN1" s="42"/>
      <c r="SFO1" s="42"/>
      <c r="SFP1" s="42"/>
      <c r="SFQ1" s="42"/>
      <c r="SFR1" s="42"/>
      <c r="SFS1" s="42"/>
      <c r="SFT1" s="42"/>
      <c r="SFU1" s="42"/>
      <c r="SFV1" s="42"/>
      <c r="SFW1" s="42"/>
      <c r="SFX1" s="42"/>
      <c r="SFY1" s="42"/>
      <c r="SFZ1" s="42"/>
      <c r="SGA1" s="42"/>
      <c r="SGB1" s="42"/>
      <c r="SGC1" s="42"/>
      <c r="SGD1" s="42"/>
      <c r="SGE1" s="42"/>
      <c r="SGF1" s="42"/>
      <c r="SGG1" s="42"/>
      <c r="SGH1" s="42"/>
      <c r="SGI1" s="42"/>
      <c r="SGJ1" s="42"/>
      <c r="SGK1" s="42"/>
      <c r="SGL1" s="42"/>
      <c r="SGM1" s="42"/>
      <c r="SGN1" s="42"/>
      <c r="SGO1" s="42"/>
      <c r="SGP1" s="42"/>
      <c r="SGQ1" s="42"/>
      <c r="SGR1" s="42"/>
      <c r="SGS1" s="42"/>
      <c r="SGT1" s="42"/>
      <c r="SGU1" s="42"/>
      <c r="SGV1" s="42"/>
      <c r="SGW1" s="42"/>
      <c r="SGX1" s="42"/>
      <c r="SGY1" s="42"/>
      <c r="SGZ1" s="42"/>
      <c r="SHA1" s="42"/>
      <c r="SHB1" s="42"/>
      <c r="SHC1" s="42"/>
      <c r="SHD1" s="42"/>
      <c r="SHE1" s="42"/>
      <c r="SHF1" s="42"/>
      <c r="SHG1" s="42"/>
      <c r="SHH1" s="42"/>
      <c r="SHI1" s="42"/>
      <c r="SHJ1" s="42"/>
      <c r="SHK1" s="42"/>
      <c r="SHL1" s="42"/>
      <c r="SHM1" s="42"/>
      <c r="SHN1" s="42"/>
      <c r="SHO1" s="42"/>
      <c r="SHP1" s="42"/>
      <c r="SHQ1" s="42"/>
      <c r="SHR1" s="42"/>
      <c r="SHS1" s="42"/>
      <c r="SHT1" s="42"/>
      <c r="SHU1" s="42"/>
      <c r="SHV1" s="42"/>
      <c r="SHW1" s="42"/>
      <c r="SHX1" s="42"/>
      <c r="SHY1" s="42"/>
      <c r="SHZ1" s="42"/>
      <c r="SIA1" s="42"/>
      <c r="SIB1" s="42"/>
      <c r="SIC1" s="42"/>
      <c r="SID1" s="42"/>
      <c r="SIE1" s="42"/>
      <c r="SIF1" s="42"/>
      <c r="SIG1" s="42"/>
      <c r="SIH1" s="42"/>
      <c r="SII1" s="42"/>
      <c r="SIJ1" s="42"/>
      <c r="SIK1" s="42"/>
      <c r="SIL1" s="42"/>
      <c r="SIM1" s="42"/>
      <c r="SIN1" s="42"/>
      <c r="SIO1" s="42"/>
      <c r="SIP1" s="42"/>
      <c r="SIQ1" s="42"/>
      <c r="SIR1" s="42"/>
      <c r="SIS1" s="42"/>
      <c r="SIT1" s="42"/>
      <c r="SIU1" s="42"/>
      <c r="SIV1" s="42"/>
      <c r="SIW1" s="42"/>
      <c r="SIX1" s="42"/>
      <c r="SIY1" s="42"/>
      <c r="SIZ1" s="42"/>
      <c r="SJA1" s="42"/>
      <c r="SJB1" s="42"/>
      <c r="SJC1" s="42"/>
      <c r="SJD1" s="42"/>
      <c r="SJE1" s="42"/>
      <c r="SJF1" s="42"/>
      <c r="SJG1" s="42"/>
      <c r="SJH1" s="42"/>
      <c r="SJI1" s="42"/>
      <c r="SJJ1" s="42"/>
      <c r="SJK1" s="42"/>
      <c r="SJL1" s="42"/>
      <c r="SJM1" s="42"/>
      <c r="SJN1" s="42"/>
      <c r="SJO1" s="42"/>
      <c r="SJP1" s="42"/>
      <c r="SJQ1" s="42"/>
      <c r="SJR1" s="42"/>
      <c r="SJS1" s="42"/>
      <c r="SJT1" s="42"/>
      <c r="SJU1" s="42"/>
      <c r="SJV1" s="42"/>
      <c r="SJW1" s="42"/>
      <c r="SJX1" s="42"/>
      <c r="SJY1" s="42"/>
      <c r="SJZ1" s="42"/>
      <c r="SKA1" s="42"/>
      <c r="SKB1" s="42"/>
      <c r="SKC1" s="42"/>
      <c r="SKD1" s="42"/>
      <c r="SKE1" s="42"/>
      <c r="SKF1" s="42"/>
      <c r="SKG1" s="42"/>
      <c r="SKH1" s="42"/>
      <c r="SKI1" s="42"/>
      <c r="SKJ1" s="42"/>
      <c r="SKK1" s="42"/>
      <c r="SKL1" s="42"/>
      <c r="SKM1" s="42"/>
      <c r="SKN1" s="42"/>
      <c r="SKO1" s="42"/>
      <c r="SKP1" s="42"/>
      <c r="SKQ1" s="42"/>
      <c r="SKR1" s="42"/>
      <c r="SKS1" s="42"/>
      <c r="SKT1" s="42"/>
      <c r="SKU1" s="42"/>
      <c r="SKV1" s="42"/>
      <c r="SKW1" s="42"/>
      <c r="SKX1" s="42"/>
      <c r="SKY1" s="42"/>
      <c r="SKZ1" s="42"/>
      <c r="SLA1" s="42"/>
      <c r="SLB1" s="42"/>
      <c r="SLC1" s="42"/>
      <c r="SLD1" s="42"/>
      <c r="SLE1" s="42"/>
      <c r="SLF1" s="42"/>
      <c r="SLG1" s="42"/>
      <c r="SLH1" s="42"/>
      <c r="SLI1" s="42"/>
      <c r="SLJ1" s="42"/>
      <c r="SLK1" s="42"/>
      <c r="SLL1" s="42"/>
      <c r="SLM1" s="42"/>
      <c r="SLN1" s="42"/>
      <c r="SLO1" s="42"/>
      <c r="SLP1" s="42"/>
      <c r="SLQ1" s="42"/>
      <c r="SLR1" s="42"/>
      <c r="SLS1" s="42"/>
      <c r="SLT1" s="42"/>
      <c r="SLU1" s="42"/>
      <c r="SLV1" s="42"/>
      <c r="SLW1" s="42"/>
      <c r="SLX1" s="42"/>
      <c r="SLY1" s="42"/>
      <c r="SLZ1" s="42"/>
      <c r="SMA1" s="42"/>
      <c r="SMB1" s="42"/>
      <c r="SMC1" s="42"/>
      <c r="SMD1" s="42"/>
      <c r="SME1" s="42"/>
      <c r="SMF1" s="42"/>
      <c r="SMG1" s="42"/>
      <c r="SMH1" s="42"/>
      <c r="SMI1" s="42"/>
      <c r="SMJ1" s="42"/>
      <c r="SMK1" s="42"/>
      <c r="SML1" s="42"/>
      <c r="SMM1" s="42"/>
      <c r="SMN1" s="42"/>
      <c r="SMO1" s="42"/>
      <c r="SMP1" s="42"/>
      <c r="SMQ1" s="42"/>
      <c r="SMR1" s="42"/>
      <c r="SMS1" s="42"/>
      <c r="SMT1" s="42"/>
      <c r="SMU1" s="42"/>
      <c r="SMV1" s="42"/>
      <c r="SMW1" s="42"/>
      <c r="SMX1" s="42"/>
      <c r="SMY1" s="42"/>
      <c r="SMZ1" s="42"/>
      <c r="SNA1" s="42"/>
      <c r="SNB1" s="42"/>
      <c r="SNC1" s="42"/>
      <c r="SND1" s="42"/>
      <c r="SNE1" s="42"/>
      <c r="SNF1" s="42"/>
      <c r="SNG1" s="42"/>
      <c r="SNH1" s="42"/>
      <c r="SNI1" s="42"/>
      <c r="SNJ1" s="42"/>
      <c r="SNK1" s="42"/>
      <c r="SNL1" s="42"/>
      <c r="SNM1" s="42"/>
      <c r="SNN1" s="42"/>
      <c r="SNO1" s="42"/>
      <c r="SNP1" s="42"/>
      <c r="SNQ1" s="42"/>
      <c r="SNR1" s="42"/>
      <c r="SNS1" s="42"/>
      <c r="SNT1" s="42"/>
      <c r="SNU1" s="42"/>
      <c r="SNV1" s="42"/>
      <c r="SNW1" s="42"/>
      <c r="SNX1" s="42"/>
      <c r="SNY1" s="42"/>
      <c r="SNZ1" s="42"/>
      <c r="SOA1" s="42"/>
      <c r="SOB1" s="42"/>
      <c r="SOC1" s="42"/>
      <c r="SOD1" s="42"/>
      <c r="SOE1" s="42"/>
      <c r="SOF1" s="42"/>
      <c r="SOG1" s="42"/>
      <c r="SOH1" s="42"/>
      <c r="SOI1" s="42"/>
      <c r="SOJ1" s="42"/>
      <c r="SOK1" s="42"/>
      <c r="SOL1" s="42"/>
      <c r="SOM1" s="42"/>
      <c r="SON1" s="42"/>
      <c r="SOO1" s="42"/>
      <c r="SOP1" s="42"/>
      <c r="SOQ1" s="42"/>
      <c r="SOR1" s="42"/>
      <c r="SOS1" s="42"/>
      <c r="SOT1" s="42"/>
      <c r="SOU1" s="42"/>
      <c r="SOV1" s="42"/>
      <c r="SOW1" s="42"/>
      <c r="SOX1" s="42"/>
      <c r="SOY1" s="42"/>
      <c r="SOZ1" s="42"/>
      <c r="SPA1" s="42"/>
      <c r="SPB1" s="42"/>
      <c r="SPC1" s="42"/>
      <c r="SPD1" s="42"/>
      <c r="SPE1" s="42"/>
      <c r="SPF1" s="42"/>
      <c r="SPG1" s="42"/>
      <c r="SPH1" s="42"/>
      <c r="SPI1" s="42"/>
      <c r="SPJ1" s="42"/>
      <c r="SPK1" s="42"/>
      <c r="SPL1" s="42"/>
      <c r="SPM1" s="42"/>
      <c r="SPN1" s="42"/>
      <c r="SPO1" s="42"/>
      <c r="SPP1" s="42"/>
      <c r="SPQ1" s="42"/>
      <c r="SPR1" s="42"/>
      <c r="SPS1" s="42"/>
      <c r="SPT1" s="42"/>
      <c r="SPU1" s="42"/>
      <c r="SPV1" s="42"/>
      <c r="SPW1" s="42"/>
      <c r="SPX1" s="42"/>
      <c r="SPY1" s="42"/>
      <c r="SPZ1" s="42"/>
      <c r="SQA1" s="42"/>
      <c r="SQB1" s="42"/>
      <c r="SQC1" s="42"/>
      <c r="SQD1" s="42"/>
      <c r="SQE1" s="42"/>
      <c r="SQF1" s="42"/>
      <c r="SQG1" s="42"/>
      <c r="SQH1" s="42"/>
      <c r="SQI1" s="42"/>
      <c r="SQJ1" s="42"/>
      <c r="SQK1" s="42"/>
      <c r="SQL1" s="42"/>
      <c r="SQM1" s="42"/>
      <c r="SQN1" s="42"/>
      <c r="SQO1" s="42"/>
      <c r="SQP1" s="42"/>
      <c r="SQQ1" s="42"/>
      <c r="SQR1" s="42"/>
      <c r="SQS1" s="42"/>
      <c r="SQT1" s="42"/>
      <c r="SQU1" s="42"/>
      <c r="SQV1" s="42"/>
      <c r="SQW1" s="42"/>
      <c r="SQX1" s="42"/>
      <c r="SQY1" s="42"/>
      <c r="SQZ1" s="42"/>
      <c r="SRA1" s="42"/>
      <c r="SRB1" s="42"/>
      <c r="SRC1" s="42"/>
      <c r="SRD1" s="42"/>
      <c r="SRE1" s="42"/>
      <c r="SRF1" s="42"/>
      <c r="SRG1" s="42"/>
      <c r="SRH1" s="42"/>
      <c r="SRI1" s="42"/>
      <c r="SRJ1" s="42"/>
      <c r="SRK1" s="42"/>
      <c r="SRL1" s="42"/>
      <c r="SRM1" s="42"/>
      <c r="SRN1" s="42"/>
      <c r="SRO1" s="42"/>
      <c r="SRP1" s="42"/>
      <c r="SRQ1" s="42"/>
      <c r="SRR1" s="42"/>
      <c r="SRS1" s="42"/>
      <c r="SRT1" s="42"/>
      <c r="SRU1" s="42"/>
      <c r="SRV1" s="42"/>
      <c r="SRW1" s="42"/>
      <c r="SRX1" s="42"/>
      <c r="SRY1" s="42"/>
      <c r="SRZ1" s="42"/>
      <c r="SSA1" s="42"/>
      <c r="SSB1" s="42"/>
      <c r="SSC1" s="42"/>
      <c r="SSD1" s="42"/>
      <c r="SSE1" s="42"/>
      <c r="SSF1" s="42"/>
      <c r="SSG1" s="42"/>
      <c r="SSH1" s="42"/>
      <c r="SSI1" s="42"/>
      <c r="SSJ1" s="42"/>
      <c r="SSK1" s="42"/>
      <c r="SSL1" s="42"/>
      <c r="SSM1" s="42"/>
      <c r="SSN1" s="42"/>
      <c r="SSO1" s="42"/>
      <c r="SSP1" s="42"/>
      <c r="SSQ1" s="42"/>
      <c r="SSR1" s="42"/>
      <c r="SSS1" s="42"/>
      <c r="SST1" s="42"/>
      <c r="SSU1" s="42"/>
      <c r="SSV1" s="42"/>
      <c r="SSW1" s="42"/>
      <c r="SSX1" s="42"/>
      <c r="SSY1" s="42"/>
      <c r="SSZ1" s="42"/>
      <c r="STA1" s="42"/>
      <c r="STB1" s="42"/>
      <c r="STC1" s="42"/>
      <c r="STD1" s="42"/>
      <c r="STE1" s="42"/>
      <c r="STF1" s="42"/>
      <c r="STG1" s="42"/>
      <c r="STH1" s="42"/>
      <c r="STI1" s="42"/>
      <c r="STJ1" s="42"/>
      <c r="STK1" s="42"/>
      <c r="STL1" s="42"/>
      <c r="STM1" s="42"/>
      <c r="STN1" s="42"/>
      <c r="STO1" s="42"/>
      <c r="STP1" s="42"/>
      <c r="STQ1" s="42"/>
      <c r="STR1" s="42"/>
      <c r="STS1" s="42"/>
      <c r="STT1" s="42"/>
      <c r="STU1" s="42"/>
      <c r="STV1" s="42"/>
      <c r="STW1" s="42"/>
      <c r="STX1" s="42"/>
      <c r="STY1" s="42"/>
      <c r="STZ1" s="42"/>
      <c r="SUA1" s="42"/>
      <c r="SUB1" s="42"/>
      <c r="SUC1" s="42"/>
      <c r="SUD1" s="42"/>
      <c r="SUE1" s="42"/>
      <c r="SUF1" s="42"/>
      <c r="SUG1" s="42"/>
      <c r="SUH1" s="42"/>
      <c r="SUI1" s="42"/>
      <c r="SUJ1" s="42"/>
      <c r="SUK1" s="42"/>
      <c r="SUL1" s="42"/>
      <c r="SUM1" s="42"/>
      <c r="SUN1" s="42"/>
      <c r="SUO1" s="42"/>
      <c r="SUP1" s="42"/>
      <c r="SUQ1" s="42"/>
      <c r="SUR1" s="42"/>
      <c r="SUS1" s="42"/>
      <c r="SUT1" s="42"/>
      <c r="SUU1" s="42"/>
      <c r="SUV1" s="42"/>
      <c r="SUW1" s="42"/>
      <c r="SUX1" s="42"/>
      <c r="SUY1" s="42"/>
      <c r="SUZ1" s="42"/>
      <c r="SVA1" s="42"/>
      <c r="SVB1" s="42"/>
      <c r="SVC1" s="42"/>
      <c r="SVD1" s="42"/>
      <c r="SVE1" s="42"/>
      <c r="SVF1" s="42"/>
      <c r="SVG1" s="42"/>
      <c r="SVH1" s="42"/>
      <c r="SVI1" s="42"/>
      <c r="SVJ1" s="42"/>
      <c r="SVK1" s="42"/>
      <c r="SVL1" s="42"/>
      <c r="SVM1" s="42"/>
      <c r="SVN1" s="42"/>
      <c r="SVO1" s="42"/>
      <c r="SVP1" s="42"/>
      <c r="SVQ1" s="42"/>
      <c r="SVR1" s="42"/>
      <c r="SVS1" s="42"/>
      <c r="SVT1" s="42"/>
      <c r="SVU1" s="42"/>
      <c r="SVV1" s="42"/>
      <c r="SVW1" s="42"/>
      <c r="SVX1" s="42"/>
      <c r="SVY1" s="42"/>
      <c r="SVZ1" s="42"/>
      <c r="SWA1" s="42"/>
      <c r="SWB1" s="42"/>
      <c r="SWC1" s="42"/>
      <c r="SWD1" s="42"/>
      <c r="SWE1" s="42"/>
      <c r="SWF1" s="42"/>
      <c r="SWG1" s="42"/>
      <c r="SWH1" s="42"/>
      <c r="SWI1" s="42"/>
      <c r="SWJ1" s="42"/>
      <c r="SWK1" s="42"/>
      <c r="SWL1" s="42"/>
      <c r="SWM1" s="42"/>
      <c r="SWN1" s="42"/>
      <c r="SWO1" s="42"/>
      <c r="SWP1" s="42"/>
      <c r="SWQ1" s="42"/>
      <c r="SWR1" s="42"/>
      <c r="SWS1" s="42"/>
      <c r="SWT1" s="42"/>
      <c r="SWU1" s="42"/>
      <c r="SWV1" s="42"/>
      <c r="SWW1" s="42"/>
      <c r="SWX1" s="42"/>
      <c r="SWY1" s="42"/>
      <c r="SWZ1" s="42"/>
      <c r="SXA1" s="42"/>
      <c r="SXB1" s="42"/>
      <c r="SXC1" s="42"/>
      <c r="SXD1" s="42"/>
      <c r="SXE1" s="42"/>
      <c r="SXF1" s="42"/>
      <c r="SXG1" s="42"/>
      <c r="SXH1" s="42"/>
      <c r="SXI1" s="42"/>
      <c r="SXJ1" s="42"/>
      <c r="SXK1" s="42"/>
      <c r="SXL1" s="42"/>
      <c r="SXM1" s="42"/>
      <c r="SXN1" s="42"/>
      <c r="SXO1" s="42"/>
      <c r="SXP1" s="42"/>
      <c r="SXQ1" s="42"/>
      <c r="SXR1" s="42"/>
      <c r="SXS1" s="42"/>
      <c r="SXT1" s="42"/>
      <c r="SXU1" s="42"/>
      <c r="SXV1" s="42"/>
      <c r="SXW1" s="42"/>
      <c r="SXX1" s="42"/>
      <c r="SXY1" s="42"/>
      <c r="SXZ1" s="42"/>
      <c r="SYA1" s="42"/>
      <c r="SYB1" s="42"/>
      <c r="SYC1" s="42"/>
      <c r="SYD1" s="42"/>
      <c r="SYE1" s="42"/>
      <c r="SYF1" s="42"/>
      <c r="SYG1" s="42"/>
      <c r="SYH1" s="42"/>
      <c r="SYI1" s="42"/>
      <c r="SYJ1" s="42"/>
      <c r="SYK1" s="42"/>
      <c r="SYL1" s="42"/>
      <c r="SYM1" s="42"/>
      <c r="SYN1" s="42"/>
      <c r="SYO1" s="42"/>
      <c r="SYP1" s="42"/>
      <c r="SYQ1" s="42"/>
      <c r="SYR1" s="42"/>
      <c r="SYS1" s="42"/>
      <c r="SYT1" s="42"/>
      <c r="SYU1" s="42"/>
      <c r="SYV1" s="42"/>
      <c r="SYW1" s="42"/>
      <c r="SYX1" s="42"/>
      <c r="SYY1" s="42"/>
      <c r="SYZ1" s="42"/>
      <c r="SZA1" s="42"/>
      <c r="SZB1" s="42"/>
      <c r="SZC1" s="42"/>
      <c r="SZD1" s="42"/>
      <c r="SZE1" s="42"/>
      <c r="SZF1" s="42"/>
      <c r="SZG1" s="42"/>
      <c r="SZH1" s="42"/>
      <c r="SZI1" s="42"/>
      <c r="SZJ1" s="42"/>
      <c r="SZK1" s="42"/>
      <c r="SZL1" s="42"/>
      <c r="SZM1" s="42"/>
      <c r="SZN1" s="42"/>
      <c r="SZO1" s="42"/>
      <c r="SZP1" s="42"/>
      <c r="SZQ1" s="42"/>
      <c r="SZR1" s="42"/>
      <c r="SZS1" s="42"/>
      <c r="SZT1" s="42"/>
      <c r="SZU1" s="42"/>
      <c r="SZV1" s="42"/>
      <c r="SZW1" s="42"/>
      <c r="SZX1" s="42"/>
      <c r="SZY1" s="42"/>
      <c r="SZZ1" s="42"/>
      <c r="TAA1" s="42"/>
      <c r="TAB1" s="42"/>
      <c r="TAC1" s="42"/>
      <c r="TAD1" s="42"/>
      <c r="TAE1" s="42"/>
      <c r="TAF1" s="42"/>
      <c r="TAG1" s="42"/>
      <c r="TAH1" s="42"/>
      <c r="TAI1" s="42"/>
      <c r="TAJ1" s="42"/>
      <c r="TAK1" s="42"/>
      <c r="TAL1" s="42"/>
      <c r="TAM1" s="42"/>
      <c r="TAN1" s="42"/>
      <c r="TAO1" s="42"/>
      <c r="TAP1" s="42"/>
      <c r="TAQ1" s="42"/>
      <c r="TAR1" s="42"/>
      <c r="TAS1" s="42"/>
      <c r="TAT1" s="42"/>
      <c r="TAU1" s="42"/>
      <c r="TAV1" s="42"/>
      <c r="TAW1" s="42"/>
      <c r="TAX1" s="42"/>
      <c r="TAY1" s="42"/>
      <c r="TAZ1" s="42"/>
      <c r="TBA1" s="42"/>
      <c r="TBB1" s="42"/>
      <c r="TBC1" s="42"/>
      <c r="TBD1" s="42"/>
      <c r="TBE1" s="42"/>
      <c r="TBF1" s="42"/>
      <c r="TBG1" s="42"/>
      <c r="TBH1" s="42"/>
      <c r="TBI1" s="42"/>
      <c r="TBJ1" s="42"/>
      <c r="TBK1" s="42"/>
      <c r="TBL1" s="42"/>
      <c r="TBM1" s="42"/>
      <c r="TBN1" s="42"/>
      <c r="TBO1" s="42"/>
      <c r="TBP1" s="42"/>
      <c r="TBQ1" s="42"/>
      <c r="TBR1" s="42"/>
      <c r="TBS1" s="42"/>
      <c r="TBT1" s="42"/>
      <c r="TBU1" s="42"/>
      <c r="TBV1" s="42"/>
      <c r="TBW1" s="42"/>
      <c r="TBX1" s="42"/>
      <c r="TBY1" s="42"/>
      <c r="TBZ1" s="42"/>
      <c r="TCA1" s="42"/>
      <c r="TCB1" s="42"/>
      <c r="TCC1" s="42"/>
      <c r="TCD1" s="42"/>
      <c r="TCE1" s="42"/>
      <c r="TCF1" s="42"/>
      <c r="TCG1" s="42"/>
      <c r="TCH1" s="42"/>
      <c r="TCI1" s="42"/>
      <c r="TCJ1" s="42"/>
      <c r="TCK1" s="42"/>
      <c r="TCL1" s="42"/>
      <c r="TCM1" s="42"/>
      <c r="TCN1" s="42"/>
      <c r="TCO1" s="42"/>
      <c r="TCP1" s="42"/>
      <c r="TCQ1" s="42"/>
      <c r="TCR1" s="42"/>
      <c r="TCS1" s="42"/>
      <c r="TCT1" s="42"/>
      <c r="TCU1" s="42"/>
      <c r="TCV1" s="42"/>
      <c r="TCW1" s="42"/>
      <c r="TCX1" s="42"/>
      <c r="TCY1" s="42"/>
      <c r="TCZ1" s="42"/>
      <c r="TDA1" s="42"/>
      <c r="TDB1" s="42"/>
      <c r="TDC1" s="42"/>
      <c r="TDD1" s="42"/>
      <c r="TDE1" s="42"/>
      <c r="TDF1" s="42"/>
      <c r="TDG1" s="42"/>
      <c r="TDH1" s="42"/>
      <c r="TDI1" s="42"/>
      <c r="TDJ1" s="42"/>
      <c r="TDK1" s="42"/>
      <c r="TDL1" s="42"/>
      <c r="TDM1" s="42"/>
      <c r="TDN1" s="42"/>
      <c r="TDO1" s="42"/>
      <c r="TDP1" s="42"/>
      <c r="TDQ1" s="42"/>
      <c r="TDR1" s="42"/>
      <c r="TDS1" s="42"/>
      <c r="TDT1" s="42"/>
      <c r="TDU1" s="42"/>
      <c r="TDV1" s="42"/>
      <c r="TDW1" s="42"/>
      <c r="TDX1" s="42"/>
      <c r="TDY1" s="42"/>
      <c r="TDZ1" s="42"/>
      <c r="TEA1" s="42"/>
      <c r="TEB1" s="42"/>
      <c r="TEC1" s="42"/>
      <c r="TED1" s="42"/>
      <c r="TEE1" s="42"/>
      <c r="TEF1" s="42"/>
      <c r="TEG1" s="42"/>
      <c r="TEH1" s="42"/>
      <c r="TEI1" s="42"/>
      <c r="TEJ1" s="42"/>
      <c r="TEK1" s="42"/>
      <c r="TEL1" s="42"/>
      <c r="TEM1" s="42"/>
      <c r="TEN1" s="42"/>
      <c r="TEO1" s="42"/>
      <c r="TEP1" s="42"/>
      <c r="TEQ1" s="42"/>
      <c r="TER1" s="42"/>
      <c r="TES1" s="42"/>
      <c r="TET1" s="42"/>
      <c r="TEU1" s="42"/>
      <c r="TEV1" s="42"/>
      <c r="TEW1" s="42"/>
      <c r="TEX1" s="42"/>
      <c r="TEY1" s="42"/>
      <c r="TEZ1" s="42"/>
      <c r="TFA1" s="42"/>
      <c r="TFB1" s="42"/>
      <c r="TFC1" s="42"/>
      <c r="TFD1" s="42"/>
      <c r="TFE1" s="42"/>
      <c r="TFF1" s="42"/>
      <c r="TFG1" s="42"/>
      <c r="TFH1" s="42"/>
      <c r="TFI1" s="42"/>
      <c r="TFJ1" s="42"/>
      <c r="TFK1" s="42"/>
      <c r="TFL1" s="42"/>
      <c r="TFM1" s="42"/>
      <c r="TFN1" s="42"/>
      <c r="TFO1" s="42"/>
      <c r="TFP1" s="42"/>
      <c r="TFQ1" s="42"/>
      <c r="TFR1" s="42"/>
      <c r="TFS1" s="42"/>
      <c r="TFT1" s="42"/>
      <c r="TFU1" s="42"/>
      <c r="TFV1" s="42"/>
      <c r="TFW1" s="42"/>
      <c r="TFX1" s="42"/>
      <c r="TFY1" s="42"/>
      <c r="TFZ1" s="42"/>
      <c r="TGA1" s="42"/>
      <c r="TGB1" s="42"/>
      <c r="TGC1" s="42"/>
      <c r="TGD1" s="42"/>
      <c r="TGE1" s="42"/>
      <c r="TGF1" s="42"/>
      <c r="TGG1" s="42"/>
      <c r="TGH1" s="42"/>
      <c r="TGI1" s="42"/>
      <c r="TGJ1" s="42"/>
      <c r="TGK1" s="42"/>
      <c r="TGL1" s="42"/>
      <c r="TGM1" s="42"/>
      <c r="TGN1" s="42"/>
      <c r="TGO1" s="42"/>
      <c r="TGP1" s="42"/>
      <c r="TGQ1" s="42"/>
      <c r="TGR1" s="42"/>
      <c r="TGS1" s="42"/>
      <c r="TGT1" s="42"/>
      <c r="TGU1" s="42"/>
      <c r="TGV1" s="42"/>
      <c r="TGW1" s="42"/>
      <c r="TGX1" s="42"/>
      <c r="TGY1" s="42"/>
      <c r="TGZ1" s="42"/>
      <c r="THA1" s="42"/>
      <c r="THB1" s="42"/>
      <c r="THC1" s="42"/>
      <c r="THD1" s="42"/>
      <c r="THE1" s="42"/>
      <c r="THF1" s="42"/>
      <c r="THG1" s="42"/>
      <c r="THH1" s="42"/>
      <c r="THI1" s="42"/>
      <c r="THJ1" s="42"/>
      <c r="THK1" s="42"/>
      <c r="THL1" s="42"/>
      <c r="THM1" s="42"/>
      <c r="THN1" s="42"/>
      <c r="THO1" s="42"/>
      <c r="THP1" s="42"/>
      <c r="THQ1" s="42"/>
      <c r="THR1" s="42"/>
      <c r="THS1" s="42"/>
      <c r="THT1" s="42"/>
      <c r="THU1" s="42"/>
      <c r="THV1" s="42"/>
      <c r="THW1" s="42"/>
      <c r="THX1" s="42"/>
      <c r="THY1" s="42"/>
      <c r="THZ1" s="42"/>
      <c r="TIA1" s="42"/>
      <c r="TIB1" s="42"/>
      <c r="TIC1" s="42"/>
      <c r="TID1" s="42"/>
      <c r="TIE1" s="42"/>
      <c r="TIF1" s="42"/>
      <c r="TIG1" s="42"/>
      <c r="TIH1" s="42"/>
      <c r="TII1" s="42"/>
      <c r="TIJ1" s="42"/>
      <c r="TIK1" s="42"/>
      <c r="TIL1" s="42"/>
      <c r="TIM1" s="42"/>
      <c r="TIN1" s="42"/>
      <c r="TIO1" s="42"/>
      <c r="TIP1" s="42"/>
      <c r="TIQ1" s="42"/>
      <c r="TIR1" s="42"/>
      <c r="TIS1" s="42"/>
      <c r="TIT1" s="42"/>
      <c r="TIU1" s="42"/>
      <c r="TIV1" s="42"/>
      <c r="TIW1" s="42"/>
      <c r="TIX1" s="42"/>
      <c r="TIY1" s="42"/>
      <c r="TIZ1" s="42"/>
      <c r="TJA1" s="42"/>
      <c r="TJB1" s="42"/>
      <c r="TJC1" s="42"/>
      <c r="TJD1" s="42"/>
      <c r="TJE1" s="42"/>
      <c r="TJF1" s="42"/>
      <c r="TJG1" s="42"/>
      <c r="TJH1" s="42"/>
      <c r="TJI1" s="42"/>
      <c r="TJJ1" s="42"/>
      <c r="TJK1" s="42"/>
      <c r="TJL1" s="42"/>
      <c r="TJM1" s="42"/>
      <c r="TJN1" s="42"/>
      <c r="TJO1" s="42"/>
      <c r="TJP1" s="42"/>
      <c r="TJQ1" s="42"/>
      <c r="TJR1" s="42"/>
      <c r="TJS1" s="42"/>
      <c r="TJT1" s="42"/>
      <c r="TJU1" s="42"/>
      <c r="TJV1" s="42"/>
      <c r="TJW1" s="42"/>
      <c r="TJX1" s="42"/>
      <c r="TJY1" s="42"/>
      <c r="TJZ1" s="42"/>
      <c r="TKA1" s="42"/>
      <c r="TKB1" s="42"/>
      <c r="TKC1" s="42"/>
      <c r="TKD1" s="42"/>
      <c r="TKE1" s="42"/>
      <c r="TKF1" s="42"/>
      <c r="TKG1" s="42"/>
      <c r="TKH1" s="42"/>
      <c r="TKI1" s="42"/>
      <c r="TKJ1" s="42"/>
      <c r="TKK1" s="42"/>
      <c r="TKL1" s="42"/>
      <c r="TKM1" s="42"/>
      <c r="TKN1" s="42"/>
      <c r="TKO1" s="42"/>
      <c r="TKP1" s="42"/>
      <c r="TKQ1" s="42"/>
      <c r="TKR1" s="42"/>
      <c r="TKS1" s="42"/>
      <c r="TKT1" s="42"/>
      <c r="TKU1" s="42"/>
      <c r="TKV1" s="42"/>
      <c r="TKW1" s="42"/>
      <c r="TKX1" s="42"/>
      <c r="TKY1" s="42"/>
      <c r="TKZ1" s="42"/>
      <c r="TLA1" s="42"/>
      <c r="TLB1" s="42"/>
      <c r="TLC1" s="42"/>
      <c r="TLD1" s="42"/>
      <c r="TLE1" s="42"/>
      <c r="TLF1" s="42"/>
      <c r="TLG1" s="42"/>
      <c r="TLH1" s="42"/>
      <c r="TLI1" s="42"/>
      <c r="TLJ1" s="42"/>
      <c r="TLK1" s="42"/>
      <c r="TLL1" s="42"/>
      <c r="TLM1" s="42"/>
      <c r="TLN1" s="42"/>
      <c r="TLO1" s="42"/>
      <c r="TLP1" s="42"/>
      <c r="TLQ1" s="42"/>
      <c r="TLR1" s="42"/>
      <c r="TLS1" s="42"/>
      <c r="TLT1" s="42"/>
      <c r="TLU1" s="42"/>
      <c r="TLV1" s="42"/>
      <c r="TLW1" s="42"/>
      <c r="TLX1" s="42"/>
      <c r="TLY1" s="42"/>
      <c r="TLZ1" s="42"/>
      <c r="TMA1" s="42"/>
      <c r="TMB1" s="42"/>
      <c r="TMC1" s="42"/>
      <c r="TMD1" s="42"/>
      <c r="TME1" s="42"/>
      <c r="TMF1" s="42"/>
      <c r="TMG1" s="42"/>
      <c r="TMH1" s="42"/>
      <c r="TMI1" s="42"/>
      <c r="TMJ1" s="42"/>
      <c r="TMK1" s="42"/>
      <c r="TML1" s="42"/>
      <c r="TMM1" s="42"/>
      <c r="TMN1" s="42"/>
      <c r="TMO1" s="42"/>
      <c r="TMP1" s="42"/>
      <c r="TMQ1" s="42"/>
      <c r="TMR1" s="42"/>
      <c r="TMS1" s="42"/>
      <c r="TMT1" s="42"/>
      <c r="TMU1" s="42"/>
      <c r="TMV1" s="42"/>
      <c r="TMW1" s="42"/>
      <c r="TMX1" s="42"/>
      <c r="TMY1" s="42"/>
      <c r="TMZ1" s="42"/>
      <c r="TNA1" s="42"/>
      <c r="TNB1" s="42"/>
      <c r="TNC1" s="42"/>
      <c r="TND1" s="42"/>
      <c r="TNE1" s="42"/>
      <c r="TNF1" s="42"/>
      <c r="TNG1" s="42"/>
      <c r="TNH1" s="42"/>
      <c r="TNI1" s="42"/>
      <c r="TNJ1" s="42"/>
      <c r="TNK1" s="42"/>
      <c r="TNL1" s="42"/>
      <c r="TNM1" s="42"/>
      <c r="TNN1" s="42"/>
      <c r="TNO1" s="42"/>
      <c r="TNP1" s="42"/>
      <c r="TNQ1" s="42"/>
      <c r="TNR1" s="42"/>
      <c r="TNS1" s="42"/>
      <c r="TNT1" s="42"/>
      <c r="TNU1" s="42"/>
      <c r="TNV1" s="42"/>
      <c r="TNW1" s="42"/>
      <c r="TNX1" s="42"/>
      <c r="TNY1" s="42"/>
      <c r="TNZ1" s="42"/>
      <c r="TOA1" s="42"/>
      <c r="TOB1" s="42"/>
      <c r="TOC1" s="42"/>
      <c r="TOD1" s="42"/>
      <c r="TOE1" s="42"/>
      <c r="TOF1" s="42"/>
      <c r="TOG1" s="42"/>
      <c r="TOH1" s="42"/>
      <c r="TOI1" s="42"/>
      <c r="TOJ1" s="42"/>
      <c r="TOK1" s="42"/>
      <c r="TOL1" s="42"/>
      <c r="TOM1" s="42"/>
      <c r="TON1" s="42"/>
      <c r="TOO1" s="42"/>
      <c r="TOP1" s="42"/>
      <c r="TOQ1" s="42"/>
      <c r="TOR1" s="42"/>
      <c r="TOS1" s="42"/>
      <c r="TOT1" s="42"/>
      <c r="TOU1" s="42"/>
      <c r="TOV1" s="42"/>
      <c r="TOW1" s="42"/>
      <c r="TOX1" s="42"/>
      <c r="TOY1" s="42"/>
      <c r="TOZ1" s="42"/>
      <c r="TPA1" s="42"/>
      <c r="TPB1" s="42"/>
      <c r="TPC1" s="42"/>
      <c r="TPD1" s="42"/>
      <c r="TPE1" s="42"/>
      <c r="TPF1" s="42"/>
      <c r="TPG1" s="42"/>
      <c r="TPH1" s="42"/>
      <c r="TPI1" s="42"/>
      <c r="TPJ1" s="42"/>
      <c r="TPK1" s="42"/>
      <c r="TPL1" s="42"/>
      <c r="TPM1" s="42"/>
      <c r="TPN1" s="42"/>
      <c r="TPO1" s="42"/>
      <c r="TPP1" s="42"/>
      <c r="TPQ1" s="42"/>
      <c r="TPR1" s="42"/>
      <c r="TPS1" s="42"/>
      <c r="TPT1" s="42"/>
      <c r="TPU1" s="42"/>
      <c r="TPV1" s="42"/>
      <c r="TPW1" s="42"/>
      <c r="TPX1" s="42"/>
      <c r="TPY1" s="42"/>
      <c r="TPZ1" s="42"/>
      <c r="TQA1" s="42"/>
      <c r="TQB1" s="42"/>
      <c r="TQC1" s="42"/>
      <c r="TQD1" s="42"/>
      <c r="TQE1" s="42"/>
      <c r="TQF1" s="42"/>
      <c r="TQG1" s="42"/>
      <c r="TQH1" s="42"/>
      <c r="TQI1" s="42"/>
      <c r="TQJ1" s="42"/>
      <c r="TQK1" s="42"/>
      <c r="TQL1" s="42"/>
      <c r="TQM1" s="42"/>
      <c r="TQN1" s="42"/>
      <c r="TQO1" s="42"/>
      <c r="TQP1" s="42"/>
      <c r="TQQ1" s="42"/>
      <c r="TQR1" s="42"/>
      <c r="TQS1" s="42"/>
      <c r="TQT1" s="42"/>
      <c r="TQU1" s="42"/>
      <c r="TQV1" s="42"/>
      <c r="TQW1" s="42"/>
      <c r="TQX1" s="42"/>
      <c r="TQY1" s="42"/>
      <c r="TQZ1" s="42"/>
      <c r="TRA1" s="42"/>
      <c r="TRB1" s="42"/>
      <c r="TRC1" s="42"/>
      <c r="TRD1" s="42"/>
      <c r="TRE1" s="42"/>
      <c r="TRF1" s="42"/>
      <c r="TRG1" s="42"/>
      <c r="TRH1" s="42"/>
      <c r="TRI1" s="42"/>
      <c r="TRJ1" s="42"/>
      <c r="TRK1" s="42"/>
      <c r="TRL1" s="42"/>
      <c r="TRM1" s="42"/>
      <c r="TRN1" s="42"/>
      <c r="TRO1" s="42"/>
      <c r="TRP1" s="42"/>
      <c r="TRQ1" s="42"/>
      <c r="TRR1" s="42"/>
      <c r="TRS1" s="42"/>
      <c r="TRT1" s="42"/>
      <c r="TRU1" s="42"/>
      <c r="TRV1" s="42"/>
      <c r="TRW1" s="42"/>
      <c r="TRX1" s="42"/>
      <c r="TRY1" s="42"/>
      <c r="TRZ1" s="42"/>
      <c r="TSA1" s="42"/>
      <c r="TSB1" s="42"/>
      <c r="TSC1" s="42"/>
      <c r="TSD1" s="42"/>
      <c r="TSE1" s="42"/>
      <c r="TSF1" s="42"/>
      <c r="TSG1" s="42"/>
      <c r="TSH1" s="42"/>
      <c r="TSI1" s="42"/>
      <c r="TSJ1" s="42"/>
      <c r="TSK1" s="42"/>
      <c r="TSL1" s="42"/>
      <c r="TSM1" s="42"/>
      <c r="TSN1" s="42"/>
      <c r="TSO1" s="42"/>
      <c r="TSP1" s="42"/>
      <c r="TSQ1" s="42"/>
      <c r="TSR1" s="42"/>
      <c r="TSS1" s="42"/>
      <c r="TST1" s="42"/>
      <c r="TSU1" s="42"/>
      <c r="TSV1" s="42"/>
      <c r="TSW1" s="42"/>
      <c r="TSX1" s="42"/>
      <c r="TSY1" s="42"/>
      <c r="TSZ1" s="42"/>
      <c r="TTA1" s="42"/>
      <c r="TTB1" s="42"/>
      <c r="TTC1" s="42"/>
      <c r="TTD1" s="42"/>
      <c r="TTE1" s="42"/>
      <c r="TTF1" s="42"/>
      <c r="TTG1" s="42"/>
      <c r="TTH1" s="42"/>
      <c r="TTI1" s="42"/>
      <c r="TTJ1" s="42"/>
      <c r="TTK1" s="42"/>
      <c r="TTL1" s="42"/>
      <c r="TTM1" s="42"/>
      <c r="TTN1" s="42"/>
      <c r="TTO1" s="42"/>
      <c r="TTP1" s="42"/>
      <c r="TTQ1" s="42"/>
      <c r="TTR1" s="42"/>
      <c r="TTS1" s="42"/>
      <c r="TTT1" s="42"/>
      <c r="TTU1" s="42"/>
      <c r="TTV1" s="42"/>
      <c r="TTW1" s="42"/>
      <c r="TTX1" s="42"/>
      <c r="TTY1" s="42"/>
      <c r="TTZ1" s="42"/>
      <c r="TUA1" s="42"/>
      <c r="TUB1" s="42"/>
      <c r="TUC1" s="42"/>
      <c r="TUD1" s="42"/>
      <c r="TUE1" s="42"/>
      <c r="TUF1" s="42"/>
      <c r="TUG1" s="42"/>
      <c r="TUH1" s="42"/>
      <c r="TUI1" s="42"/>
      <c r="TUJ1" s="42"/>
      <c r="TUK1" s="42"/>
      <c r="TUL1" s="42"/>
      <c r="TUM1" s="42"/>
      <c r="TUN1" s="42"/>
      <c r="TUO1" s="42"/>
      <c r="TUP1" s="42"/>
      <c r="TUQ1" s="42"/>
      <c r="TUR1" s="42"/>
      <c r="TUS1" s="42"/>
      <c r="TUT1" s="42"/>
      <c r="TUU1" s="42"/>
      <c r="TUV1" s="42"/>
      <c r="TUW1" s="42"/>
      <c r="TUX1" s="42"/>
      <c r="TUY1" s="42"/>
      <c r="TUZ1" s="42"/>
      <c r="TVA1" s="42"/>
      <c r="TVB1" s="42"/>
      <c r="TVC1" s="42"/>
      <c r="TVD1" s="42"/>
      <c r="TVE1" s="42"/>
      <c r="TVF1" s="42"/>
      <c r="TVG1" s="42"/>
      <c r="TVH1" s="42"/>
      <c r="TVI1" s="42"/>
      <c r="TVJ1" s="42"/>
      <c r="TVK1" s="42"/>
      <c r="TVL1" s="42"/>
      <c r="TVM1" s="42"/>
      <c r="TVN1" s="42"/>
      <c r="TVO1" s="42"/>
      <c r="TVP1" s="42"/>
      <c r="TVQ1" s="42"/>
      <c r="TVR1" s="42"/>
      <c r="TVS1" s="42"/>
      <c r="TVT1" s="42"/>
      <c r="TVU1" s="42"/>
      <c r="TVV1" s="42"/>
      <c r="TVW1" s="42"/>
      <c r="TVX1" s="42"/>
      <c r="TVY1" s="42"/>
      <c r="TVZ1" s="42"/>
      <c r="TWA1" s="42"/>
      <c r="TWB1" s="42"/>
      <c r="TWC1" s="42"/>
      <c r="TWD1" s="42"/>
      <c r="TWE1" s="42"/>
      <c r="TWF1" s="42"/>
      <c r="TWG1" s="42"/>
      <c r="TWH1" s="42"/>
      <c r="TWI1" s="42"/>
      <c r="TWJ1" s="42"/>
      <c r="TWK1" s="42"/>
      <c r="TWL1" s="42"/>
      <c r="TWM1" s="42"/>
      <c r="TWN1" s="42"/>
      <c r="TWO1" s="42"/>
      <c r="TWP1" s="42"/>
      <c r="TWQ1" s="42"/>
      <c r="TWR1" s="42"/>
      <c r="TWS1" s="42"/>
      <c r="TWT1" s="42"/>
      <c r="TWU1" s="42"/>
      <c r="TWV1" s="42"/>
      <c r="TWW1" s="42"/>
      <c r="TWX1" s="42"/>
      <c r="TWY1" s="42"/>
      <c r="TWZ1" s="42"/>
      <c r="TXA1" s="42"/>
      <c r="TXB1" s="42"/>
      <c r="TXC1" s="42"/>
      <c r="TXD1" s="42"/>
      <c r="TXE1" s="42"/>
      <c r="TXF1" s="42"/>
      <c r="TXG1" s="42"/>
      <c r="TXH1" s="42"/>
      <c r="TXI1" s="42"/>
      <c r="TXJ1" s="42"/>
      <c r="TXK1" s="42"/>
      <c r="TXL1" s="42"/>
      <c r="TXM1" s="42"/>
      <c r="TXN1" s="42"/>
      <c r="TXO1" s="42"/>
      <c r="TXP1" s="42"/>
      <c r="TXQ1" s="42"/>
      <c r="TXR1" s="42"/>
      <c r="TXS1" s="42"/>
      <c r="TXT1" s="42"/>
      <c r="TXU1" s="42"/>
      <c r="TXV1" s="42"/>
      <c r="TXW1" s="42"/>
      <c r="TXX1" s="42"/>
      <c r="TXY1" s="42"/>
      <c r="TXZ1" s="42"/>
      <c r="TYA1" s="42"/>
      <c r="TYB1" s="42"/>
      <c r="TYC1" s="42"/>
      <c r="TYD1" s="42"/>
      <c r="TYE1" s="42"/>
      <c r="TYF1" s="42"/>
      <c r="TYG1" s="42"/>
      <c r="TYH1" s="42"/>
      <c r="TYI1" s="42"/>
      <c r="TYJ1" s="42"/>
      <c r="TYK1" s="42"/>
      <c r="TYL1" s="42"/>
      <c r="TYM1" s="42"/>
      <c r="TYN1" s="42"/>
      <c r="TYO1" s="42"/>
      <c r="TYP1" s="42"/>
      <c r="TYQ1" s="42"/>
      <c r="TYR1" s="42"/>
      <c r="TYS1" s="42"/>
      <c r="TYT1" s="42"/>
      <c r="TYU1" s="42"/>
      <c r="TYV1" s="42"/>
      <c r="TYW1" s="42"/>
      <c r="TYX1" s="42"/>
      <c r="TYY1" s="42"/>
      <c r="TYZ1" s="42"/>
      <c r="TZA1" s="42"/>
      <c r="TZB1" s="42"/>
      <c r="TZC1" s="42"/>
      <c r="TZD1" s="42"/>
      <c r="TZE1" s="42"/>
      <c r="TZF1" s="42"/>
      <c r="TZG1" s="42"/>
      <c r="TZH1" s="42"/>
      <c r="TZI1" s="42"/>
      <c r="TZJ1" s="42"/>
      <c r="TZK1" s="42"/>
      <c r="TZL1" s="42"/>
      <c r="TZM1" s="42"/>
      <c r="TZN1" s="42"/>
      <c r="TZO1" s="42"/>
      <c r="TZP1" s="42"/>
      <c r="TZQ1" s="42"/>
      <c r="TZR1" s="42"/>
      <c r="TZS1" s="42"/>
      <c r="TZT1" s="42"/>
      <c r="TZU1" s="42"/>
      <c r="TZV1" s="42"/>
      <c r="TZW1" s="42"/>
      <c r="TZX1" s="42"/>
      <c r="TZY1" s="42"/>
      <c r="TZZ1" s="42"/>
      <c r="UAA1" s="42"/>
      <c r="UAB1" s="42"/>
      <c r="UAC1" s="42"/>
      <c r="UAD1" s="42"/>
      <c r="UAE1" s="42"/>
      <c r="UAF1" s="42"/>
      <c r="UAG1" s="42"/>
      <c r="UAH1" s="42"/>
      <c r="UAI1" s="42"/>
      <c r="UAJ1" s="42"/>
      <c r="UAK1" s="42"/>
      <c r="UAL1" s="42"/>
      <c r="UAM1" s="42"/>
      <c r="UAN1" s="42"/>
      <c r="UAO1" s="42"/>
      <c r="UAP1" s="42"/>
      <c r="UAQ1" s="42"/>
      <c r="UAR1" s="42"/>
      <c r="UAS1" s="42"/>
      <c r="UAT1" s="42"/>
      <c r="UAU1" s="42"/>
      <c r="UAV1" s="42"/>
      <c r="UAW1" s="42"/>
      <c r="UAX1" s="42"/>
      <c r="UAY1" s="42"/>
      <c r="UAZ1" s="42"/>
      <c r="UBA1" s="42"/>
      <c r="UBB1" s="42"/>
      <c r="UBC1" s="42"/>
      <c r="UBD1" s="42"/>
      <c r="UBE1" s="42"/>
      <c r="UBF1" s="42"/>
      <c r="UBG1" s="42"/>
      <c r="UBH1" s="42"/>
      <c r="UBI1" s="42"/>
      <c r="UBJ1" s="42"/>
      <c r="UBK1" s="42"/>
      <c r="UBL1" s="42"/>
      <c r="UBM1" s="42"/>
      <c r="UBN1" s="42"/>
      <c r="UBO1" s="42"/>
      <c r="UBP1" s="42"/>
      <c r="UBQ1" s="42"/>
      <c r="UBR1" s="42"/>
      <c r="UBS1" s="42"/>
      <c r="UBT1" s="42"/>
      <c r="UBU1" s="42"/>
      <c r="UBV1" s="42"/>
      <c r="UBW1" s="42"/>
      <c r="UBX1" s="42"/>
      <c r="UBY1" s="42"/>
      <c r="UBZ1" s="42"/>
      <c r="UCA1" s="42"/>
      <c r="UCB1" s="42"/>
      <c r="UCC1" s="42"/>
      <c r="UCD1" s="42"/>
      <c r="UCE1" s="42"/>
      <c r="UCF1" s="42"/>
      <c r="UCG1" s="42"/>
      <c r="UCH1" s="42"/>
      <c r="UCI1" s="42"/>
      <c r="UCJ1" s="42"/>
      <c r="UCK1" s="42"/>
      <c r="UCL1" s="42"/>
      <c r="UCM1" s="42"/>
      <c r="UCN1" s="42"/>
      <c r="UCO1" s="42"/>
      <c r="UCP1" s="42"/>
      <c r="UCQ1" s="42"/>
      <c r="UCR1" s="42"/>
      <c r="UCS1" s="42"/>
      <c r="UCT1" s="42"/>
      <c r="UCU1" s="42"/>
      <c r="UCV1" s="42"/>
      <c r="UCW1" s="42"/>
      <c r="UCX1" s="42"/>
      <c r="UCY1" s="42"/>
      <c r="UCZ1" s="42"/>
      <c r="UDA1" s="42"/>
      <c r="UDB1" s="42"/>
      <c r="UDC1" s="42"/>
      <c r="UDD1" s="42"/>
      <c r="UDE1" s="42"/>
      <c r="UDF1" s="42"/>
      <c r="UDG1" s="42"/>
      <c r="UDH1" s="42"/>
      <c r="UDI1" s="42"/>
      <c r="UDJ1" s="42"/>
      <c r="UDK1" s="42"/>
      <c r="UDL1" s="42"/>
      <c r="UDM1" s="42"/>
      <c r="UDN1" s="42"/>
      <c r="UDO1" s="42"/>
      <c r="UDP1" s="42"/>
      <c r="UDQ1" s="42"/>
      <c r="UDR1" s="42"/>
      <c r="UDS1" s="42"/>
      <c r="UDT1" s="42"/>
      <c r="UDU1" s="42"/>
      <c r="UDV1" s="42"/>
      <c r="UDW1" s="42"/>
      <c r="UDX1" s="42"/>
      <c r="UDY1" s="42"/>
      <c r="UDZ1" s="42"/>
      <c r="UEA1" s="42"/>
      <c r="UEB1" s="42"/>
      <c r="UEC1" s="42"/>
      <c r="UED1" s="42"/>
      <c r="UEE1" s="42"/>
      <c r="UEF1" s="42"/>
      <c r="UEG1" s="42"/>
      <c r="UEH1" s="42"/>
      <c r="UEI1" s="42"/>
      <c r="UEJ1" s="42"/>
      <c r="UEK1" s="42"/>
      <c r="UEL1" s="42"/>
      <c r="UEM1" s="42"/>
      <c r="UEN1" s="42"/>
      <c r="UEO1" s="42"/>
      <c r="UEP1" s="42"/>
      <c r="UEQ1" s="42"/>
      <c r="UER1" s="42"/>
      <c r="UES1" s="42"/>
      <c r="UET1" s="42"/>
      <c r="UEU1" s="42"/>
      <c r="UEV1" s="42"/>
      <c r="UEW1" s="42"/>
      <c r="UEX1" s="42"/>
      <c r="UEY1" s="42"/>
      <c r="UEZ1" s="42"/>
      <c r="UFA1" s="42"/>
      <c r="UFB1" s="42"/>
      <c r="UFC1" s="42"/>
      <c r="UFD1" s="42"/>
      <c r="UFE1" s="42"/>
      <c r="UFF1" s="42"/>
      <c r="UFG1" s="42"/>
      <c r="UFH1" s="42"/>
      <c r="UFI1" s="42"/>
      <c r="UFJ1" s="42"/>
      <c r="UFK1" s="42"/>
      <c r="UFL1" s="42"/>
      <c r="UFM1" s="42"/>
      <c r="UFN1" s="42"/>
      <c r="UFO1" s="42"/>
      <c r="UFP1" s="42"/>
      <c r="UFQ1" s="42"/>
      <c r="UFR1" s="42"/>
      <c r="UFS1" s="42"/>
      <c r="UFT1" s="42"/>
      <c r="UFU1" s="42"/>
      <c r="UFV1" s="42"/>
      <c r="UFW1" s="42"/>
      <c r="UFX1" s="42"/>
      <c r="UFY1" s="42"/>
      <c r="UFZ1" s="42"/>
      <c r="UGA1" s="42"/>
      <c r="UGB1" s="42"/>
      <c r="UGC1" s="42"/>
      <c r="UGD1" s="42"/>
      <c r="UGE1" s="42"/>
      <c r="UGF1" s="42"/>
      <c r="UGG1" s="42"/>
      <c r="UGH1" s="42"/>
      <c r="UGI1" s="42"/>
      <c r="UGJ1" s="42"/>
      <c r="UGK1" s="42"/>
      <c r="UGL1" s="42"/>
      <c r="UGM1" s="42"/>
      <c r="UGN1" s="42"/>
      <c r="UGO1" s="42"/>
      <c r="UGP1" s="42"/>
      <c r="UGQ1" s="42"/>
      <c r="UGR1" s="42"/>
      <c r="UGS1" s="42"/>
      <c r="UGT1" s="42"/>
      <c r="UGU1" s="42"/>
      <c r="UGV1" s="42"/>
      <c r="UGW1" s="42"/>
      <c r="UGX1" s="42"/>
      <c r="UGY1" s="42"/>
      <c r="UGZ1" s="42"/>
      <c r="UHA1" s="42"/>
      <c r="UHB1" s="42"/>
      <c r="UHC1" s="42"/>
      <c r="UHD1" s="42"/>
      <c r="UHE1" s="42"/>
      <c r="UHF1" s="42"/>
      <c r="UHG1" s="42"/>
      <c r="UHH1" s="42"/>
      <c r="UHI1" s="42"/>
      <c r="UHJ1" s="42"/>
      <c r="UHK1" s="42"/>
      <c r="UHL1" s="42"/>
      <c r="UHM1" s="42"/>
      <c r="UHN1" s="42"/>
      <c r="UHO1" s="42"/>
      <c r="UHP1" s="42"/>
      <c r="UHQ1" s="42"/>
      <c r="UHR1" s="42"/>
      <c r="UHS1" s="42"/>
      <c r="UHT1" s="42"/>
      <c r="UHU1" s="42"/>
      <c r="UHV1" s="42"/>
      <c r="UHW1" s="42"/>
      <c r="UHX1" s="42"/>
      <c r="UHY1" s="42"/>
      <c r="UHZ1" s="42"/>
      <c r="UIA1" s="42"/>
      <c r="UIB1" s="42"/>
      <c r="UIC1" s="42"/>
      <c r="UID1" s="42"/>
      <c r="UIE1" s="42"/>
      <c r="UIF1" s="42"/>
      <c r="UIG1" s="42"/>
      <c r="UIH1" s="42"/>
      <c r="UII1" s="42"/>
      <c r="UIJ1" s="42"/>
      <c r="UIK1" s="42"/>
      <c r="UIL1" s="42"/>
      <c r="UIM1" s="42"/>
      <c r="UIN1" s="42"/>
      <c r="UIO1" s="42"/>
      <c r="UIP1" s="42"/>
      <c r="UIQ1" s="42"/>
      <c r="UIR1" s="42"/>
      <c r="UIS1" s="42"/>
      <c r="UIT1" s="42"/>
      <c r="UIU1" s="42"/>
      <c r="UIV1" s="42"/>
      <c r="UIW1" s="42"/>
      <c r="UIX1" s="42"/>
      <c r="UIY1" s="42"/>
      <c r="UIZ1" s="42"/>
      <c r="UJA1" s="42"/>
      <c r="UJB1" s="42"/>
      <c r="UJC1" s="42"/>
      <c r="UJD1" s="42"/>
      <c r="UJE1" s="42"/>
      <c r="UJF1" s="42"/>
      <c r="UJG1" s="42"/>
      <c r="UJH1" s="42"/>
      <c r="UJI1" s="42"/>
      <c r="UJJ1" s="42"/>
      <c r="UJK1" s="42"/>
      <c r="UJL1" s="42"/>
      <c r="UJM1" s="42"/>
      <c r="UJN1" s="42"/>
      <c r="UJO1" s="42"/>
      <c r="UJP1" s="42"/>
      <c r="UJQ1" s="42"/>
      <c r="UJR1" s="42"/>
      <c r="UJS1" s="42"/>
      <c r="UJT1" s="42"/>
      <c r="UJU1" s="42"/>
      <c r="UJV1" s="42"/>
      <c r="UJW1" s="42"/>
      <c r="UJX1" s="42"/>
      <c r="UJY1" s="42"/>
      <c r="UJZ1" s="42"/>
      <c r="UKA1" s="42"/>
      <c r="UKB1" s="42"/>
      <c r="UKC1" s="42"/>
      <c r="UKD1" s="42"/>
      <c r="UKE1" s="42"/>
      <c r="UKF1" s="42"/>
      <c r="UKG1" s="42"/>
      <c r="UKH1" s="42"/>
      <c r="UKI1" s="42"/>
      <c r="UKJ1" s="42"/>
      <c r="UKK1" s="42"/>
      <c r="UKL1" s="42"/>
      <c r="UKM1" s="42"/>
      <c r="UKN1" s="42"/>
      <c r="UKO1" s="42"/>
      <c r="UKP1" s="42"/>
      <c r="UKQ1" s="42"/>
      <c r="UKR1" s="42"/>
      <c r="UKS1" s="42"/>
      <c r="UKT1" s="42"/>
      <c r="UKU1" s="42"/>
      <c r="UKV1" s="42"/>
      <c r="UKW1" s="42"/>
      <c r="UKX1" s="42"/>
      <c r="UKY1" s="42"/>
      <c r="UKZ1" s="42"/>
      <c r="ULA1" s="42"/>
      <c r="ULB1" s="42"/>
      <c r="ULC1" s="42"/>
      <c r="ULD1" s="42"/>
      <c r="ULE1" s="42"/>
      <c r="ULF1" s="42"/>
      <c r="ULG1" s="42"/>
      <c r="ULH1" s="42"/>
      <c r="ULI1" s="42"/>
      <c r="ULJ1" s="42"/>
      <c r="ULK1" s="42"/>
      <c r="ULL1" s="42"/>
      <c r="ULM1" s="42"/>
      <c r="ULN1" s="42"/>
      <c r="ULO1" s="42"/>
      <c r="ULP1" s="42"/>
      <c r="ULQ1" s="42"/>
      <c r="ULR1" s="42"/>
      <c r="ULS1" s="42"/>
      <c r="ULT1" s="42"/>
      <c r="ULU1" s="42"/>
      <c r="ULV1" s="42"/>
      <c r="ULW1" s="42"/>
      <c r="ULX1" s="42"/>
      <c r="ULY1" s="42"/>
      <c r="ULZ1" s="42"/>
      <c r="UMA1" s="42"/>
      <c r="UMB1" s="42"/>
      <c r="UMC1" s="42"/>
      <c r="UMD1" s="42"/>
      <c r="UME1" s="42"/>
      <c r="UMF1" s="42"/>
      <c r="UMG1" s="42"/>
      <c r="UMH1" s="42"/>
      <c r="UMI1" s="42"/>
      <c r="UMJ1" s="42"/>
      <c r="UMK1" s="42"/>
      <c r="UML1" s="42"/>
      <c r="UMM1" s="42"/>
      <c r="UMN1" s="42"/>
      <c r="UMO1" s="42"/>
      <c r="UMP1" s="42"/>
      <c r="UMQ1" s="42"/>
      <c r="UMR1" s="42"/>
      <c r="UMS1" s="42"/>
      <c r="UMT1" s="42"/>
      <c r="UMU1" s="42"/>
      <c r="UMV1" s="42"/>
      <c r="UMW1" s="42"/>
      <c r="UMX1" s="42"/>
      <c r="UMY1" s="42"/>
      <c r="UMZ1" s="42"/>
      <c r="UNA1" s="42"/>
      <c r="UNB1" s="42"/>
      <c r="UNC1" s="42"/>
      <c r="UND1" s="42"/>
      <c r="UNE1" s="42"/>
      <c r="UNF1" s="42"/>
      <c r="UNG1" s="42"/>
      <c r="UNH1" s="42"/>
      <c r="UNI1" s="42"/>
      <c r="UNJ1" s="42"/>
      <c r="UNK1" s="42"/>
      <c r="UNL1" s="42"/>
      <c r="UNM1" s="42"/>
      <c r="UNN1" s="42"/>
      <c r="UNO1" s="42"/>
      <c r="UNP1" s="42"/>
      <c r="UNQ1" s="42"/>
      <c r="UNR1" s="42"/>
      <c r="UNS1" s="42"/>
      <c r="UNT1" s="42"/>
      <c r="UNU1" s="42"/>
      <c r="UNV1" s="42"/>
      <c r="UNW1" s="42"/>
      <c r="UNX1" s="42"/>
      <c r="UNY1" s="42"/>
      <c r="UNZ1" s="42"/>
      <c r="UOA1" s="42"/>
      <c r="UOB1" s="42"/>
      <c r="UOC1" s="42"/>
      <c r="UOD1" s="42"/>
      <c r="UOE1" s="42"/>
      <c r="UOF1" s="42"/>
      <c r="UOG1" s="42"/>
      <c r="UOH1" s="42"/>
      <c r="UOI1" s="42"/>
      <c r="UOJ1" s="42"/>
      <c r="UOK1" s="42"/>
      <c r="UOL1" s="42"/>
      <c r="UOM1" s="42"/>
      <c r="UON1" s="42"/>
      <c r="UOO1" s="42"/>
      <c r="UOP1" s="42"/>
      <c r="UOQ1" s="42"/>
      <c r="UOR1" s="42"/>
      <c r="UOS1" s="42"/>
      <c r="UOT1" s="42"/>
      <c r="UOU1" s="42"/>
      <c r="UOV1" s="42"/>
      <c r="UOW1" s="42"/>
      <c r="UOX1" s="42"/>
      <c r="UOY1" s="42"/>
      <c r="UOZ1" s="42"/>
      <c r="UPA1" s="42"/>
      <c r="UPB1" s="42"/>
      <c r="UPC1" s="42"/>
      <c r="UPD1" s="42"/>
      <c r="UPE1" s="42"/>
      <c r="UPF1" s="42"/>
      <c r="UPG1" s="42"/>
      <c r="UPH1" s="42"/>
      <c r="UPI1" s="42"/>
      <c r="UPJ1" s="42"/>
      <c r="UPK1" s="42"/>
      <c r="UPL1" s="42"/>
      <c r="UPM1" s="42"/>
      <c r="UPN1" s="42"/>
      <c r="UPO1" s="42"/>
      <c r="UPP1" s="42"/>
      <c r="UPQ1" s="42"/>
      <c r="UPR1" s="42"/>
      <c r="UPS1" s="42"/>
      <c r="UPT1" s="42"/>
      <c r="UPU1" s="42"/>
      <c r="UPV1" s="42"/>
      <c r="UPW1" s="42"/>
      <c r="UPX1" s="42"/>
      <c r="UPY1" s="42"/>
      <c r="UPZ1" s="42"/>
      <c r="UQA1" s="42"/>
      <c r="UQB1" s="42"/>
      <c r="UQC1" s="42"/>
      <c r="UQD1" s="42"/>
      <c r="UQE1" s="42"/>
      <c r="UQF1" s="42"/>
      <c r="UQG1" s="42"/>
      <c r="UQH1" s="42"/>
      <c r="UQI1" s="42"/>
      <c r="UQJ1" s="42"/>
      <c r="UQK1" s="42"/>
      <c r="UQL1" s="42"/>
      <c r="UQM1" s="42"/>
      <c r="UQN1" s="42"/>
      <c r="UQO1" s="42"/>
      <c r="UQP1" s="42"/>
      <c r="UQQ1" s="42"/>
      <c r="UQR1" s="42"/>
      <c r="UQS1" s="42"/>
      <c r="UQT1" s="42"/>
      <c r="UQU1" s="42"/>
      <c r="UQV1" s="42"/>
      <c r="UQW1" s="42"/>
      <c r="UQX1" s="42"/>
      <c r="UQY1" s="42"/>
      <c r="UQZ1" s="42"/>
      <c r="URA1" s="42"/>
      <c r="URB1" s="42"/>
      <c r="URC1" s="42"/>
      <c r="URD1" s="42"/>
      <c r="URE1" s="42"/>
      <c r="URF1" s="42"/>
      <c r="URG1" s="42"/>
      <c r="URH1" s="42"/>
      <c r="URI1" s="42"/>
      <c r="URJ1" s="42"/>
      <c r="URK1" s="42"/>
      <c r="URL1" s="42"/>
      <c r="URM1" s="42"/>
      <c r="URN1" s="42"/>
      <c r="URO1" s="42"/>
      <c r="URP1" s="42"/>
      <c r="URQ1" s="42"/>
      <c r="URR1" s="42"/>
      <c r="URS1" s="42"/>
      <c r="URT1" s="42"/>
      <c r="URU1" s="42"/>
      <c r="URV1" s="42"/>
      <c r="URW1" s="42"/>
      <c r="URX1" s="42"/>
      <c r="URY1" s="42"/>
      <c r="URZ1" s="42"/>
      <c r="USA1" s="42"/>
      <c r="USB1" s="42"/>
      <c r="USC1" s="42"/>
      <c r="USD1" s="42"/>
      <c r="USE1" s="42"/>
      <c r="USF1" s="42"/>
      <c r="USG1" s="42"/>
      <c r="USH1" s="42"/>
      <c r="USI1" s="42"/>
      <c r="USJ1" s="42"/>
      <c r="USK1" s="42"/>
      <c r="USL1" s="42"/>
      <c r="USM1" s="42"/>
      <c r="USN1" s="42"/>
      <c r="USO1" s="42"/>
      <c r="USP1" s="42"/>
      <c r="USQ1" s="42"/>
      <c r="USR1" s="42"/>
      <c r="USS1" s="42"/>
      <c r="UST1" s="42"/>
      <c r="USU1" s="42"/>
      <c r="USV1" s="42"/>
      <c r="USW1" s="42"/>
      <c r="USX1" s="42"/>
      <c r="USY1" s="42"/>
      <c r="USZ1" s="42"/>
      <c r="UTA1" s="42"/>
      <c r="UTB1" s="42"/>
      <c r="UTC1" s="42"/>
      <c r="UTD1" s="42"/>
      <c r="UTE1" s="42"/>
      <c r="UTF1" s="42"/>
      <c r="UTG1" s="42"/>
      <c r="UTH1" s="42"/>
      <c r="UTI1" s="42"/>
      <c r="UTJ1" s="42"/>
      <c r="UTK1" s="42"/>
      <c r="UTL1" s="42"/>
      <c r="UTM1" s="42"/>
      <c r="UTN1" s="42"/>
      <c r="UTO1" s="42"/>
      <c r="UTP1" s="42"/>
      <c r="UTQ1" s="42"/>
      <c r="UTR1" s="42"/>
      <c r="UTS1" s="42"/>
      <c r="UTT1" s="42"/>
      <c r="UTU1" s="42"/>
      <c r="UTV1" s="42"/>
      <c r="UTW1" s="42"/>
      <c r="UTX1" s="42"/>
      <c r="UTY1" s="42"/>
      <c r="UTZ1" s="42"/>
      <c r="UUA1" s="42"/>
      <c r="UUB1" s="42"/>
      <c r="UUC1" s="42"/>
      <c r="UUD1" s="42"/>
      <c r="UUE1" s="42"/>
      <c r="UUF1" s="42"/>
      <c r="UUG1" s="42"/>
      <c r="UUH1" s="42"/>
      <c r="UUI1" s="42"/>
      <c r="UUJ1" s="42"/>
      <c r="UUK1" s="42"/>
      <c r="UUL1" s="42"/>
      <c r="UUM1" s="42"/>
      <c r="UUN1" s="42"/>
      <c r="UUO1" s="42"/>
      <c r="UUP1" s="42"/>
      <c r="UUQ1" s="42"/>
      <c r="UUR1" s="42"/>
      <c r="UUS1" s="42"/>
      <c r="UUT1" s="42"/>
      <c r="UUU1" s="42"/>
      <c r="UUV1" s="42"/>
      <c r="UUW1" s="42"/>
      <c r="UUX1" s="42"/>
      <c r="UUY1" s="42"/>
      <c r="UUZ1" s="42"/>
      <c r="UVA1" s="42"/>
      <c r="UVB1" s="42"/>
      <c r="UVC1" s="42"/>
      <c r="UVD1" s="42"/>
      <c r="UVE1" s="42"/>
      <c r="UVF1" s="42"/>
      <c r="UVG1" s="42"/>
      <c r="UVH1" s="42"/>
      <c r="UVI1" s="42"/>
      <c r="UVJ1" s="42"/>
      <c r="UVK1" s="42"/>
      <c r="UVL1" s="42"/>
      <c r="UVM1" s="42"/>
      <c r="UVN1" s="42"/>
      <c r="UVO1" s="42"/>
      <c r="UVP1" s="42"/>
      <c r="UVQ1" s="42"/>
      <c r="UVR1" s="42"/>
      <c r="UVS1" s="42"/>
      <c r="UVT1" s="42"/>
      <c r="UVU1" s="42"/>
      <c r="UVV1" s="42"/>
      <c r="UVW1" s="42"/>
      <c r="UVX1" s="42"/>
      <c r="UVY1" s="42"/>
      <c r="UVZ1" s="42"/>
      <c r="UWA1" s="42"/>
      <c r="UWB1" s="42"/>
      <c r="UWC1" s="42"/>
      <c r="UWD1" s="42"/>
      <c r="UWE1" s="42"/>
      <c r="UWF1" s="42"/>
      <c r="UWG1" s="42"/>
      <c r="UWH1" s="42"/>
      <c r="UWI1" s="42"/>
      <c r="UWJ1" s="42"/>
      <c r="UWK1" s="42"/>
      <c r="UWL1" s="42"/>
      <c r="UWM1" s="42"/>
      <c r="UWN1" s="42"/>
      <c r="UWO1" s="42"/>
      <c r="UWP1" s="42"/>
      <c r="UWQ1" s="42"/>
      <c r="UWR1" s="42"/>
      <c r="UWS1" s="42"/>
      <c r="UWT1" s="42"/>
      <c r="UWU1" s="42"/>
      <c r="UWV1" s="42"/>
      <c r="UWW1" s="42"/>
      <c r="UWX1" s="42"/>
      <c r="UWY1" s="42"/>
      <c r="UWZ1" s="42"/>
      <c r="UXA1" s="42"/>
      <c r="UXB1" s="42"/>
      <c r="UXC1" s="42"/>
      <c r="UXD1" s="42"/>
      <c r="UXE1" s="42"/>
      <c r="UXF1" s="42"/>
      <c r="UXG1" s="42"/>
      <c r="UXH1" s="42"/>
      <c r="UXI1" s="42"/>
      <c r="UXJ1" s="42"/>
      <c r="UXK1" s="42"/>
      <c r="UXL1" s="42"/>
      <c r="UXM1" s="42"/>
      <c r="UXN1" s="42"/>
      <c r="UXO1" s="42"/>
      <c r="UXP1" s="42"/>
      <c r="UXQ1" s="42"/>
      <c r="UXR1" s="42"/>
      <c r="UXS1" s="42"/>
      <c r="UXT1" s="42"/>
      <c r="UXU1" s="42"/>
      <c r="UXV1" s="42"/>
      <c r="UXW1" s="42"/>
      <c r="UXX1" s="42"/>
      <c r="UXY1" s="42"/>
      <c r="UXZ1" s="42"/>
      <c r="UYA1" s="42"/>
      <c r="UYB1" s="42"/>
      <c r="UYC1" s="42"/>
      <c r="UYD1" s="42"/>
      <c r="UYE1" s="42"/>
      <c r="UYF1" s="42"/>
      <c r="UYG1" s="42"/>
      <c r="UYH1" s="42"/>
      <c r="UYI1" s="42"/>
      <c r="UYJ1" s="42"/>
      <c r="UYK1" s="42"/>
      <c r="UYL1" s="42"/>
      <c r="UYM1" s="42"/>
      <c r="UYN1" s="42"/>
      <c r="UYO1" s="42"/>
      <c r="UYP1" s="42"/>
      <c r="UYQ1" s="42"/>
      <c r="UYR1" s="42"/>
      <c r="UYS1" s="42"/>
      <c r="UYT1" s="42"/>
      <c r="UYU1" s="42"/>
      <c r="UYV1" s="42"/>
      <c r="UYW1" s="42"/>
      <c r="UYX1" s="42"/>
      <c r="UYY1" s="42"/>
      <c r="UYZ1" s="42"/>
      <c r="UZA1" s="42"/>
      <c r="UZB1" s="42"/>
      <c r="UZC1" s="42"/>
      <c r="UZD1" s="42"/>
      <c r="UZE1" s="42"/>
      <c r="UZF1" s="42"/>
      <c r="UZG1" s="42"/>
      <c r="UZH1" s="42"/>
      <c r="UZI1" s="42"/>
      <c r="UZJ1" s="42"/>
      <c r="UZK1" s="42"/>
      <c r="UZL1" s="42"/>
      <c r="UZM1" s="42"/>
      <c r="UZN1" s="42"/>
      <c r="UZO1" s="42"/>
      <c r="UZP1" s="42"/>
      <c r="UZQ1" s="42"/>
      <c r="UZR1" s="42"/>
      <c r="UZS1" s="42"/>
      <c r="UZT1" s="42"/>
      <c r="UZU1" s="42"/>
      <c r="UZV1" s="42"/>
      <c r="UZW1" s="42"/>
      <c r="UZX1" s="42"/>
      <c r="UZY1" s="42"/>
      <c r="UZZ1" s="42"/>
      <c r="VAA1" s="42"/>
      <c r="VAB1" s="42"/>
      <c r="VAC1" s="42"/>
      <c r="VAD1" s="42"/>
      <c r="VAE1" s="42"/>
      <c r="VAF1" s="42"/>
      <c r="VAG1" s="42"/>
      <c r="VAH1" s="42"/>
      <c r="VAI1" s="42"/>
      <c r="VAJ1" s="42"/>
      <c r="VAK1" s="42"/>
      <c r="VAL1" s="42"/>
      <c r="VAM1" s="42"/>
      <c r="VAN1" s="42"/>
      <c r="VAO1" s="42"/>
      <c r="VAP1" s="42"/>
      <c r="VAQ1" s="42"/>
      <c r="VAR1" s="42"/>
      <c r="VAS1" s="42"/>
      <c r="VAT1" s="42"/>
      <c r="VAU1" s="42"/>
      <c r="VAV1" s="42"/>
      <c r="VAW1" s="42"/>
      <c r="VAX1" s="42"/>
      <c r="VAY1" s="42"/>
      <c r="VAZ1" s="42"/>
      <c r="VBA1" s="42"/>
      <c r="VBB1" s="42"/>
      <c r="VBC1" s="42"/>
      <c r="VBD1" s="42"/>
      <c r="VBE1" s="42"/>
      <c r="VBF1" s="42"/>
      <c r="VBG1" s="42"/>
      <c r="VBH1" s="42"/>
      <c r="VBI1" s="42"/>
      <c r="VBJ1" s="42"/>
      <c r="VBK1" s="42"/>
      <c r="VBL1" s="42"/>
      <c r="VBM1" s="42"/>
      <c r="VBN1" s="42"/>
      <c r="VBO1" s="42"/>
      <c r="VBP1" s="42"/>
      <c r="VBQ1" s="42"/>
      <c r="VBR1" s="42"/>
      <c r="VBS1" s="42"/>
      <c r="VBT1" s="42"/>
      <c r="VBU1" s="42"/>
      <c r="VBV1" s="42"/>
      <c r="VBW1" s="42"/>
      <c r="VBX1" s="42"/>
      <c r="VBY1" s="42"/>
      <c r="VBZ1" s="42"/>
      <c r="VCA1" s="42"/>
      <c r="VCB1" s="42"/>
      <c r="VCC1" s="42"/>
      <c r="VCD1" s="42"/>
      <c r="VCE1" s="42"/>
      <c r="VCF1" s="42"/>
      <c r="VCG1" s="42"/>
      <c r="VCH1" s="42"/>
      <c r="VCI1" s="42"/>
      <c r="VCJ1" s="42"/>
      <c r="VCK1" s="42"/>
      <c r="VCL1" s="42"/>
      <c r="VCM1" s="42"/>
      <c r="VCN1" s="42"/>
      <c r="VCO1" s="42"/>
      <c r="VCP1" s="42"/>
      <c r="VCQ1" s="42"/>
      <c r="VCR1" s="42"/>
      <c r="VCS1" s="42"/>
      <c r="VCT1" s="42"/>
      <c r="VCU1" s="42"/>
      <c r="VCV1" s="42"/>
      <c r="VCW1" s="42"/>
      <c r="VCX1" s="42"/>
      <c r="VCY1" s="42"/>
      <c r="VCZ1" s="42"/>
      <c r="VDA1" s="42"/>
      <c r="VDB1" s="42"/>
      <c r="VDC1" s="42"/>
      <c r="VDD1" s="42"/>
      <c r="VDE1" s="42"/>
      <c r="VDF1" s="42"/>
      <c r="VDG1" s="42"/>
      <c r="VDH1" s="42"/>
      <c r="VDI1" s="42"/>
      <c r="VDJ1" s="42"/>
      <c r="VDK1" s="42"/>
      <c r="VDL1" s="42"/>
      <c r="VDM1" s="42"/>
      <c r="VDN1" s="42"/>
      <c r="VDO1" s="42"/>
      <c r="VDP1" s="42"/>
      <c r="VDQ1" s="42"/>
      <c r="VDR1" s="42"/>
      <c r="VDS1" s="42"/>
      <c r="VDT1" s="42"/>
      <c r="VDU1" s="42"/>
      <c r="VDV1" s="42"/>
      <c r="VDW1" s="42"/>
      <c r="VDX1" s="42"/>
      <c r="VDY1" s="42"/>
      <c r="VDZ1" s="42"/>
      <c r="VEA1" s="42"/>
      <c r="VEB1" s="42"/>
      <c r="VEC1" s="42"/>
      <c r="VED1" s="42"/>
      <c r="VEE1" s="42"/>
      <c r="VEF1" s="42"/>
      <c r="VEG1" s="42"/>
      <c r="VEH1" s="42"/>
      <c r="VEI1" s="42"/>
      <c r="VEJ1" s="42"/>
      <c r="VEK1" s="42"/>
      <c r="VEL1" s="42"/>
      <c r="VEM1" s="42"/>
      <c r="VEN1" s="42"/>
      <c r="VEO1" s="42"/>
      <c r="VEP1" s="42"/>
      <c r="VEQ1" s="42"/>
      <c r="VER1" s="42"/>
      <c r="VES1" s="42"/>
      <c r="VET1" s="42"/>
      <c r="VEU1" s="42"/>
      <c r="VEV1" s="42"/>
      <c r="VEW1" s="42"/>
      <c r="VEX1" s="42"/>
      <c r="VEY1" s="42"/>
      <c r="VEZ1" s="42"/>
      <c r="VFA1" s="42"/>
      <c r="VFB1" s="42"/>
      <c r="VFC1" s="42"/>
      <c r="VFD1" s="42"/>
      <c r="VFE1" s="42"/>
      <c r="VFF1" s="42"/>
      <c r="VFG1" s="42"/>
      <c r="VFH1" s="42"/>
      <c r="VFI1" s="42"/>
      <c r="VFJ1" s="42"/>
      <c r="VFK1" s="42"/>
      <c r="VFL1" s="42"/>
      <c r="VFM1" s="42"/>
      <c r="VFN1" s="42"/>
      <c r="VFO1" s="42"/>
      <c r="VFP1" s="42"/>
      <c r="VFQ1" s="42"/>
      <c r="VFR1" s="42"/>
      <c r="VFS1" s="42"/>
      <c r="VFT1" s="42"/>
      <c r="VFU1" s="42"/>
      <c r="VFV1" s="42"/>
      <c r="VFW1" s="42"/>
      <c r="VFX1" s="42"/>
      <c r="VFY1" s="42"/>
      <c r="VFZ1" s="42"/>
      <c r="VGA1" s="42"/>
      <c r="VGB1" s="42"/>
      <c r="VGC1" s="42"/>
      <c r="VGD1" s="42"/>
      <c r="VGE1" s="42"/>
      <c r="VGF1" s="42"/>
      <c r="VGG1" s="42"/>
      <c r="VGH1" s="42"/>
      <c r="VGI1" s="42"/>
      <c r="VGJ1" s="42"/>
      <c r="VGK1" s="42"/>
      <c r="VGL1" s="42"/>
      <c r="VGM1" s="42"/>
      <c r="VGN1" s="42"/>
      <c r="VGO1" s="42"/>
      <c r="VGP1" s="42"/>
      <c r="VGQ1" s="42"/>
      <c r="VGR1" s="42"/>
      <c r="VGS1" s="42"/>
      <c r="VGT1" s="42"/>
      <c r="VGU1" s="42"/>
      <c r="VGV1" s="42"/>
      <c r="VGW1" s="42"/>
      <c r="VGX1" s="42"/>
      <c r="VGY1" s="42"/>
      <c r="VGZ1" s="42"/>
      <c r="VHA1" s="42"/>
      <c r="VHB1" s="42"/>
      <c r="VHC1" s="42"/>
      <c r="VHD1" s="42"/>
      <c r="VHE1" s="42"/>
      <c r="VHF1" s="42"/>
      <c r="VHG1" s="42"/>
      <c r="VHH1" s="42"/>
      <c r="VHI1" s="42"/>
      <c r="VHJ1" s="42"/>
      <c r="VHK1" s="42"/>
      <c r="VHL1" s="42"/>
      <c r="VHM1" s="42"/>
      <c r="VHN1" s="42"/>
      <c r="VHO1" s="42"/>
      <c r="VHP1" s="42"/>
      <c r="VHQ1" s="42"/>
      <c r="VHR1" s="42"/>
      <c r="VHS1" s="42"/>
      <c r="VHT1" s="42"/>
      <c r="VHU1" s="42"/>
      <c r="VHV1" s="42"/>
      <c r="VHW1" s="42"/>
      <c r="VHX1" s="42"/>
      <c r="VHY1" s="42"/>
      <c r="VHZ1" s="42"/>
      <c r="VIA1" s="42"/>
      <c r="VIB1" s="42"/>
      <c r="VIC1" s="42"/>
      <c r="VID1" s="42"/>
      <c r="VIE1" s="42"/>
      <c r="VIF1" s="42"/>
      <c r="VIG1" s="42"/>
      <c r="VIH1" s="42"/>
      <c r="VII1" s="42"/>
      <c r="VIJ1" s="42"/>
      <c r="VIK1" s="42"/>
      <c r="VIL1" s="42"/>
      <c r="VIM1" s="42"/>
      <c r="VIN1" s="42"/>
      <c r="VIO1" s="42"/>
      <c r="VIP1" s="42"/>
      <c r="VIQ1" s="42"/>
      <c r="VIR1" s="42"/>
      <c r="VIS1" s="42"/>
      <c r="VIT1" s="42"/>
      <c r="VIU1" s="42"/>
      <c r="VIV1" s="42"/>
      <c r="VIW1" s="42"/>
      <c r="VIX1" s="42"/>
      <c r="VIY1" s="42"/>
      <c r="VIZ1" s="42"/>
      <c r="VJA1" s="42"/>
      <c r="VJB1" s="42"/>
      <c r="VJC1" s="42"/>
      <c r="VJD1" s="42"/>
      <c r="VJE1" s="42"/>
      <c r="VJF1" s="42"/>
      <c r="VJG1" s="42"/>
      <c r="VJH1" s="42"/>
      <c r="VJI1" s="42"/>
      <c r="VJJ1" s="42"/>
      <c r="VJK1" s="42"/>
      <c r="VJL1" s="42"/>
      <c r="VJM1" s="42"/>
      <c r="VJN1" s="42"/>
      <c r="VJO1" s="42"/>
      <c r="VJP1" s="42"/>
      <c r="VJQ1" s="42"/>
      <c r="VJR1" s="42"/>
      <c r="VJS1" s="42"/>
      <c r="VJT1" s="42"/>
      <c r="VJU1" s="42"/>
      <c r="VJV1" s="42"/>
      <c r="VJW1" s="42"/>
      <c r="VJX1" s="42"/>
      <c r="VJY1" s="42"/>
      <c r="VJZ1" s="42"/>
      <c r="VKA1" s="42"/>
      <c r="VKB1" s="42"/>
      <c r="VKC1" s="42"/>
      <c r="VKD1" s="42"/>
      <c r="VKE1" s="42"/>
      <c r="VKF1" s="42"/>
      <c r="VKG1" s="42"/>
      <c r="VKH1" s="42"/>
      <c r="VKI1" s="42"/>
      <c r="VKJ1" s="42"/>
      <c r="VKK1" s="42"/>
      <c r="VKL1" s="42"/>
      <c r="VKM1" s="42"/>
      <c r="VKN1" s="42"/>
      <c r="VKO1" s="42"/>
      <c r="VKP1" s="42"/>
      <c r="VKQ1" s="42"/>
      <c r="VKR1" s="42"/>
      <c r="VKS1" s="42"/>
      <c r="VKT1" s="42"/>
      <c r="VKU1" s="42"/>
      <c r="VKV1" s="42"/>
      <c r="VKW1" s="42"/>
      <c r="VKX1" s="42"/>
      <c r="VKY1" s="42"/>
      <c r="VKZ1" s="42"/>
      <c r="VLA1" s="42"/>
      <c r="VLB1" s="42"/>
      <c r="VLC1" s="42"/>
      <c r="VLD1" s="42"/>
      <c r="VLE1" s="42"/>
      <c r="VLF1" s="42"/>
      <c r="VLG1" s="42"/>
      <c r="VLH1" s="42"/>
      <c r="VLI1" s="42"/>
      <c r="VLJ1" s="42"/>
      <c r="VLK1" s="42"/>
      <c r="VLL1" s="42"/>
      <c r="VLM1" s="42"/>
      <c r="VLN1" s="42"/>
      <c r="VLO1" s="42"/>
      <c r="VLP1" s="42"/>
      <c r="VLQ1" s="42"/>
      <c r="VLR1" s="42"/>
      <c r="VLS1" s="42"/>
      <c r="VLT1" s="42"/>
      <c r="VLU1" s="42"/>
      <c r="VLV1" s="42"/>
      <c r="VLW1" s="42"/>
      <c r="VLX1" s="42"/>
      <c r="VLY1" s="42"/>
      <c r="VLZ1" s="42"/>
      <c r="VMA1" s="42"/>
      <c r="VMB1" s="42"/>
      <c r="VMC1" s="42"/>
      <c r="VMD1" s="42"/>
      <c r="VME1" s="42"/>
      <c r="VMF1" s="42"/>
      <c r="VMG1" s="42"/>
      <c r="VMH1" s="42"/>
      <c r="VMI1" s="42"/>
      <c r="VMJ1" s="42"/>
      <c r="VMK1" s="42"/>
      <c r="VML1" s="42"/>
      <c r="VMM1" s="42"/>
      <c r="VMN1" s="42"/>
      <c r="VMO1" s="42"/>
      <c r="VMP1" s="42"/>
      <c r="VMQ1" s="42"/>
      <c r="VMR1" s="42"/>
      <c r="VMS1" s="42"/>
      <c r="VMT1" s="42"/>
      <c r="VMU1" s="42"/>
      <c r="VMV1" s="42"/>
      <c r="VMW1" s="42"/>
      <c r="VMX1" s="42"/>
      <c r="VMY1" s="42"/>
      <c r="VMZ1" s="42"/>
      <c r="VNA1" s="42"/>
      <c r="VNB1" s="42"/>
      <c r="VNC1" s="42"/>
      <c r="VND1" s="42"/>
      <c r="VNE1" s="42"/>
      <c r="VNF1" s="42"/>
      <c r="VNG1" s="42"/>
      <c r="VNH1" s="42"/>
      <c r="VNI1" s="42"/>
      <c r="VNJ1" s="42"/>
      <c r="VNK1" s="42"/>
      <c r="VNL1" s="42"/>
      <c r="VNM1" s="42"/>
      <c r="VNN1" s="42"/>
      <c r="VNO1" s="42"/>
      <c r="VNP1" s="42"/>
      <c r="VNQ1" s="42"/>
      <c r="VNR1" s="42"/>
      <c r="VNS1" s="42"/>
      <c r="VNT1" s="42"/>
      <c r="VNU1" s="42"/>
      <c r="VNV1" s="42"/>
      <c r="VNW1" s="42"/>
      <c r="VNX1" s="42"/>
      <c r="VNY1" s="42"/>
      <c r="VNZ1" s="42"/>
      <c r="VOA1" s="42"/>
      <c r="VOB1" s="42"/>
      <c r="VOC1" s="42"/>
      <c r="VOD1" s="42"/>
      <c r="VOE1" s="42"/>
      <c r="VOF1" s="42"/>
      <c r="VOG1" s="42"/>
      <c r="VOH1" s="42"/>
      <c r="VOI1" s="42"/>
      <c r="VOJ1" s="42"/>
      <c r="VOK1" s="42"/>
      <c r="VOL1" s="42"/>
      <c r="VOM1" s="42"/>
      <c r="VON1" s="42"/>
      <c r="VOO1" s="42"/>
      <c r="VOP1" s="42"/>
      <c r="VOQ1" s="42"/>
      <c r="VOR1" s="42"/>
      <c r="VOS1" s="42"/>
      <c r="VOT1" s="42"/>
      <c r="VOU1" s="42"/>
      <c r="VOV1" s="42"/>
      <c r="VOW1" s="42"/>
      <c r="VOX1" s="42"/>
      <c r="VOY1" s="42"/>
      <c r="VOZ1" s="42"/>
      <c r="VPA1" s="42"/>
      <c r="VPB1" s="42"/>
      <c r="VPC1" s="42"/>
      <c r="VPD1" s="42"/>
      <c r="VPE1" s="42"/>
      <c r="VPF1" s="42"/>
      <c r="VPG1" s="42"/>
      <c r="VPH1" s="42"/>
      <c r="VPI1" s="42"/>
      <c r="VPJ1" s="42"/>
      <c r="VPK1" s="42"/>
      <c r="VPL1" s="42"/>
      <c r="VPM1" s="42"/>
      <c r="VPN1" s="42"/>
      <c r="VPO1" s="42"/>
      <c r="VPP1" s="42"/>
      <c r="VPQ1" s="42"/>
      <c r="VPR1" s="42"/>
      <c r="VPS1" s="42"/>
      <c r="VPT1" s="42"/>
      <c r="VPU1" s="42"/>
      <c r="VPV1" s="42"/>
      <c r="VPW1" s="42"/>
      <c r="VPX1" s="42"/>
      <c r="VPY1" s="42"/>
      <c r="VPZ1" s="42"/>
      <c r="VQA1" s="42"/>
      <c r="VQB1" s="42"/>
      <c r="VQC1" s="42"/>
      <c r="VQD1" s="42"/>
      <c r="VQE1" s="42"/>
      <c r="VQF1" s="42"/>
      <c r="VQG1" s="42"/>
      <c r="VQH1" s="42"/>
      <c r="VQI1" s="42"/>
      <c r="VQJ1" s="42"/>
      <c r="VQK1" s="42"/>
      <c r="VQL1" s="42"/>
      <c r="VQM1" s="42"/>
      <c r="VQN1" s="42"/>
      <c r="VQO1" s="42"/>
      <c r="VQP1" s="42"/>
      <c r="VQQ1" s="42"/>
      <c r="VQR1" s="42"/>
      <c r="VQS1" s="42"/>
      <c r="VQT1" s="42"/>
      <c r="VQU1" s="42"/>
      <c r="VQV1" s="42"/>
      <c r="VQW1" s="42"/>
      <c r="VQX1" s="42"/>
      <c r="VQY1" s="42"/>
      <c r="VQZ1" s="42"/>
      <c r="VRA1" s="42"/>
      <c r="VRB1" s="42"/>
      <c r="VRC1" s="42"/>
      <c r="VRD1" s="42"/>
      <c r="VRE1" s="42"/>
      <c r="VRF1" s="42"/>
      <c r="VRG1" s="42"/>
      <c r="VRH1" s="42"/>
      <c r="VRI1" s="42"/>
      <c r="VRJ1" s="42"/>
      <c r="VRK1" s="42"/>
      <c r="VRL1" s="42"/>
      <c r="VRM1" s="42"/>
      <c r="VRN1" s="42"/>
      <c r="VRO1" s="42"/>
      <c r="VRP1" s="42"/>
      <c r="VRQ1" s="42"/>
      <c r="VRR1" s="42"/>
      <c r="VRS1" s="42"/>
      <c r="VRT1" s="42"/>
      <c r="VRU1" s="42"/>
      <c r="VRV1" s="42"/>
      <c r="VRW1" s="42"/>
      <c r="VRX1" s="42"/>
      <c r="VRY1" s="42"/>
      <c r="VRZ1" s="42"/>
      <c r="VSA1" s="42"/>
      <c r="VSB1" s="42"/>
      <c r="VSC1" s="42"/>
      <c r="VSD1" s="42"/>
      <c r="VSE1" s="42"/>
      <c r="VSF1" s="42"/>
      <c r="VSG1" s="42"/>
      <c r="VSH1" s="42"/>
      <c r="VSI1" s="42"/>
      <c r="VSJ1" s="42"/>
      <c r="VSK1" s="42"/>
      <c r="VSL1" s="42"/>
      <c r="VSM1" s="42"/>
      <c r="VSN1" s="42"/>
      <c r="VSO1" s="42"/>
      <c r="VSP1" s="42"/>
      <c r="VSQ1" s="42"/>
      <c r="VSR1" s="42"/>
      <c r="VSS1" s="42"/>
      <c r="VST1" s="42"/>
      <c r="VSU1" s="42"/>
      <c r="VSV1" s="42"/>
      <c r="VSW1" s="42"/>
      <c r="VSX1" s="42"/>
      <c r="VSY1" s="42"/>
      <c r="VSZ1" s="42"/>
      <c r="VTA1" s="42"/>
      <c r="VTB1" s="42"/>
      <c r="VTC1" s="42"/>
      <c r="VTD1" s="42"/>
      <c r="VTE1" s="42"/>
      <c r="VTF1" s="42"/>
      <c r="VTG1" s="42"/>
      <c r="VTH1" s="42"/>
      <c r="VTI1" s="42"/>
      <c r="VTJ1" s="42"/>
      <c r="VTK1" s="42"/>
      <c r="VTL1" s="42"/>
      <c r="VTM1" s="42"/>
      <c r="VTN1" s="42"/>
      <c r="VTO1" s="42"/>
      <c r="VTP1" s="42"/>
      <c r="VTQ1" s="42"/>
      <c r="VTR1" s="42"/>
      <c r="VTS1" s="42"/>
      <c r="VTT1" s="42"/>
      <c r="VTU1" s="42"/>
      <c r="VTV1" s="42"/>
      <c r="VTW1" s="42"/>
      <c r="VTX1" s="42"/>
      <c r="VTY1" s="42"/>
      <c r="VTZ1" s="42"/>
      <c r="VUA1" s="42"/>
      <c r="VUB1" s="42"/>
      <c r="VUC1" s="42"/>
      <c r="VUD1" s="42"/>
      <c r="VUE1" s="42"/>
      <c r="VUF1" s="42"/>
      <c r="VUG1" s="42"/>
      <c r="VUH1" s="42"/>
      <c r="VUI1" s="42"/>
      <c r="VUJ1" s="42"/>
      <c r="VUK1" s="42"/>
      <c r="VUL1" s="42"/>
      <c r="VUM1" s="42"/>
      <c r="VUN1" s="42"/>
      <c r="VUO1" s="42"/>
      <c r="VUP1" s="42"/>
      <c r="VUQ1" s="42"/>
      <c r="VUR1" s="42"/>
      <c r="VUS1" s="42"/>
      <c r="VUT1" s="42"/>
      <c r="VUU1" s="42"/>
      <c r="VUV1" s="42"/>
      <c r="VUW1" s="42"/>
      <c r="VUX1" s="42"/>
      <c r="VUY1" s="42"/>
      <c r="VUZ1" s="42"/>
      <c r="VVA1" s="42"/>
      <c r="VVB1" s="42"/>
      <c r="VVC1" s="42"/>
      <c r="VVD1" s="42"/>
      <c r="VVE1" s="42"/>
      <c r="VVF1" s="42"/>
      <c r="VVG1" s="42"/>
      <c r="VVH1" s="42"/>
      <c r="VVI1" s="42"/>
      <c r="VVJ1" s="42"/>
      <c r="VVK1" s="42"/>
      <c r="VVL1" s="42"/>
      <c r="VVM1" s="42"/>
      <c r="VVN1" s="42"/>
      <c r="VVO1" s="42"/>
      <c r="VVP1" s="42"/>
      <c r="VVQ1" s="42"/>
      <c r="VVR1" s="42"/>
      <c r="VVS1" s="42"/>
      <c r="VVT1" s="42"/>
      <c r="VVU1" s="42"/>
      <c r="VVV1" s="42"/>
      <c r="VVW1" s="42"/>
      <c r="VVX1" s="42"/>
      <c r="VVY1" s="42"/>
      <c r="VVZ1" s="42"/>
      <c r="VWA1" s="42"/>
      <c r="VWB1" s="42"/>
      <c r="VWC1" s="42"/>
      <c r="VWD1" s="42"/>
      <c r="VWE1" s="42"/>
      <c r="VWF1" s="42"/>
      <c r="VWG1" s="42"/>
      <c r="VWH1" s="42"/>
      <c r="VWI1" s="42"/>
      <c r="VWJ1" s="42"/>
      <c r="VWK1" s="42"/>
      <c r="VWL1" s="42"/>
      <c r="VWM1" s="42"/>
      <c r="VWN1" s="42"/>
      <c r="VWO1" s="42"/>
      <c r="VWP1" s="42"/>
      <c r="VWQ1" s="42"/>
      <c r="VWR1" s="42"/>
      <c r="VWS1" s="42"/>
      <c r="VWT1" s="42"/>
      <c r="VWU1" s="42"/>
      <c r="VWV1" s="42"/>
      <c r="VWW1" s="42"/>
      <c r="VWX1" s="42"/>
      <c r="VWY1" s="42"/>
      <c r="VWZ1" s="42"/>
      <c r="VXA1" s="42"/>
      <c r="VXB1" s="42"/>
      <c r="VXC1" s="42"/>
      <c r="VXD1" s="42"/>
      <c r="VXE1" s="42"/>
      <c r="VXF1" s="42"/>
      <c r="VXG1" s="42"/>
      <c r="VXH1" s="42"/>
      <c r="VXI1" s="42"/>
      <c r="VXJ1" s="42"/>
      <c r="VXK1" s="42"/>
      <c r="VXL1" s="42"/>
      <c r="VXM1" s="42"/>
      <c r="VXN1" s="42"/>
      <c r="VXO1" s="42"/>
      <c r="VXP1" s="42"/>
      <c r="VXQ1" s="42"/>
      <c r="VXR1" s="42"/>
      <c r="VXS1" s="42"/>
      <c r="VXT1" s="42"/>
      <c r="VXU1" s="42"/>
      <c r="VXV1" s="42"/>
      <c r="VXW1" s="42"/>
      <c r="VXX1" s="42"/>
      <c r="VXY1" s="42"/>
      <c r="VXZ1" s="42"/>
      <c r="VYA1" s="42"/>
      <c r="VYB1" s="42"/>
      <c r="VYC1" s="42"/>
      <c r="VYD1" s="42"/>
      <c r="VYE1" s="42"/>
      <c r="VYF1" s="42"/>
      <c r="VYG1" s="42"/>
      <c r="VYH1" s="42"/>
      <c r="VYI1" s="42"/>
      <c r="VYJ1" s="42"/>
      <c r="VYK1" s="42"/>
      <c r="VYL1" s="42"/>
      <c r="VYM1" s="42"/>
      <c r="VYN1" s="42"/>
      <c r="VYO1" s="42"/>
      <c r="VYP1" s="42"/>
      <c r="VYQ1" s="42"/>
      <c r="VYR1" s="42"/>
      <c r="VYS1" s="42"/>
      <c r="VYT1" s="42"/>
      <c r="VYU1" s="42"/>
      <c r="VYV1" s="42"/>
      <c r="VYW1" s="42"/>
      <c r="VYX1" s="42"/>
      <c r="VYY1" s="42"/>
      <c r="VYZ1" s="42"/>
      <c r="VZA1" s="42"/>
      <c r="VZB1" s="42"/>
      <c r="VZC1" s="42"/>
      <c r="VZD1" s="42"/>
      <c r="VZE1" s="42"/>
      <c r="VZF1" s="42"/>
      <c r="VZG1" s="42"/>
      <c r="VZH1" s="42"/>
      <c r="VZI1" s="42"/>
      <c r="VZJ1" s="42"/>
      <c r="VZK1" s="42"/>
      <c r="VZL1" s="42"/>
      <c r="VZM1" s="42"/>
      <c r="VZN1" s="42"/>
      <c r="VZO1" s="42"/>
      <c r="VZP1" s="42"/>
      <c r="VZQ1" s="42"/>
      <c r="VZR1" s="42"/>
      <c r="VZS1" s="42"/>
      <c r="VZT1" s="42"/>
      <c r="VZU1" s="42"/>
      <c r="VZV1" s="42"/>
      <c r="VZW1" s="42"/>
      <c r="VZX1" s="42"/>
      <c r="VZY1" s="42"/>
      <c r="VZZ1" s="42"/>
      <c r="WAA1" s="42"/>
      <c r="WAB1" s="42"/>
      <c r="WAC1" s="42"/>
      <c r="WAD1" s="42"/>
      <c r="WAE1" s="42"/>
      <c r="WAF1" s="42"/>
      <c r="WAG1" s="42"/>
      <c r="WAH1" s="42"/>
      <c r="WAI1" s="42"/>
      <c r="WAJ1" s="42"/>
      <c r="WAK1" s="42"/>
      <c r="WAL1" s="42"/>
      <c r="WAM1" s="42"/>
      <c r="WAN1" s="42"/>
      <c r="WAO1" s="42"/>
      <c r="WAP1" s="42"/>
      <c r="WAQ1" s="42"/>
      <c r="WAR1" s="42"/>
      <c r="WAS1" s="42"/>
      <c r="WAT1" s="42"/>
      <c r="WAU1" s="42"/>
      <c r="WAV1" s="42"/>
      <c r="WAW1" s="42"/>
      <c r="WAX1" s="42"/>
      <c r="WAY1" s="42"/>
      <c r="WAZ1" s="42"/>
      <c r="WBA1" s="42"/>
      <c r="WBB1" s="42"/>
      <c r="WBC1" s="42"/>
      <c r="WBD1" s="42"/>
      <c r="WBE1" s="42"/>
      <c r="WBF1" s="42"/>
      <c r="WBG1" s="42"/>
      <c r="WBH1" s="42"/>
      <c r="WBI1" s="42"/>
      <c r="WBJ1" s="42"/>
      <c r="WBK1" s="42"/>
      <c r="WBL1" s="42"/>
      <c r="WBM1" s="42"/>
      <c r="WBN1" s="42"/>
      <c r="WBO1" s="42"/>
      <c r="WBP1" s="42"/>
      <c r="WBQ1" s="42"/>
      <c r="WBR1" s="42"/>
      <c r="WBS1" s="42"/>
      <c r="WBT1" s="42"/>
      <c r="WBU1" s="42"/>
      <c r="WBV1" s="42"/>
      <c r="WBW1" s="42"/>
      <c r="WBX1" s="42"/>
      <c r="WBY1" s="42"/>
      <c r="WBZ1" s="42"/>
      <c r="WCA1" s="42"/>
      <c r="WCB1" s="42"/>
      <c r="WCC1" s="42"/>
      <c r="WCD1" s="42"/>
      <c r="WCE1" s="42"/>
      <c r="WCF1" s="42"/>
      <c r="WCG1" s="42"/>
      <c r="WCH1" s="42"/>
      <c r="WCI1" s="42"/>
      <c r="WCJ1" s="42"/>
      <c r="WCK1" s="42"/>
      <c r="WCL1" s="42"/>
      <c r="WCM1" s="42"/>
      <c r="WCN1" s="42"/>
      <c r="WCO1" s="42"/>
      <c r="WCP1" s="42"/>
      <c r="WCQ1" s="42"/>
      <c r="WCR1" s="42"/>
      <c r="WCS1" s="42"/>
      <c r="WCT1" s="42"/>
      <c r="WCU1" s="42"/>
      <c r="WCV1" s="42"/>
      <c r="WCW1" s="42"/>
      <c r="WCX1" s="42"/>
      <c r="WCY1" s="42"/>
      <c r="WCZ1" s="42"/>
      <c r="WDA1" s="42"/>
      <c r="WDB1" s="42"/>
      <c r="WDC1" s="42"/>
      <c r="WDD1" s="42"/>
      <c r="WDE1" s="42"/>
      <c r="WDF1" s="42"/>
      <c r="WDG1" s="42"/>
      <c r="WDH1" s="42"/>
      <c r="WDI1" s="42"/>
      <c r="WDJ1" s="42"/>
      <c r="WDK1" s="42"/>
      <c r="WDL1" s="42"/>
      <c r="WDM1" s="42"/>
      <c r="WDN1" s="42"/>
      <c r="WDO1" s="42"/>
      <c r="WDP1" s="42"/>
      <c r="WDQ1" s="42"/>
      <c r="WDR1" s="42"/>
      <c r="WDS1" s="42"/>
      <c r="WDT1" s="42"/>
      <c r="WDU1" s="42"/>
      <c r="WDV1" s="42"/>
      <c r="WDW1" s="42"/>
      <c r="WDX1" s="42"/>
      <c r="WDY1" s="42"/>
      <c r="WDZ1" s="42"/>
      <c r="WEA1" s="42"/>
      <c r="WEB1" s="42"/>
      <c r="WEC1" s="42"/>
      <c r="WED1" s="42"/>
      <c r="WEE1" s="42"/>
      <c r="WEF1" s="42"/>
      <c r="WEG1" s="42"/>
      <c r="WEH1" s="42"/>
      <c r="WEI1" s="42"/>
      <c r="WEJ1" s="42"/>
      <c r="WEK1" s="42"/>
      <c r="WEL1" s="42"/>
      <c r="WEM1" s="42"/>
      <c r="WEN1" s="42"/>
      <c r="WEO1" s="42"/>
      <c r="WEP1" s="42"/>
      <c r="WEQ1" s="42"/>
      <c r="WER1" s="42"/>
      <c r="WES1" s="42"/>
      <c r="WET1" s="42"/>
      <c r="WEU1" s="42"/>
      <c r="WEV1" s="42"/>
      <c r="WEW1" s="42"/>
      <c r="WEX1" s="42"/>
      <c r="WEY1" s="42"/>
      <c r="WEZ1" s="42"/>
      <c r="WFA1" s="42"/>
      <c r="WFB1" s="42"/>
      <c r="WFC1" s="42"/>
      <c r="WFD1" s="42"/>
      <c r="WFE1" s="42"/>
      <c r="WFF1" s="42"/>
      <c r="WFG1" s="42"/>
      <c r="WFH1" s="42"/>
      <c r="WFI1" s="42"/>
      <c r="WFJ1" s="42"/>
      <c r="WFK1" s="42"/>
      <c r="WFL1" s="42"/>
      <c r="WFM1" s="42"/>
      <c r="WFN1" s="42"/>
      <c r="WFO1" s="42"/>
      <c r="WFP1" s="42"/>
      <c r="WFQ1" s="42"/>
      <c r="WFR1" s="42"/>
      <c r="WFS1" s="42"/>
      <c r="WFT1" s="42"/>
      <c r="WFU1" s="42"/>
      <c r="WFV1" s="42"/>
      <c r="WFW1" s="42"/>
      <c r="WFX1" s="42"/>
      <c r="WFY1" s="42"/>
      <c r="WFZ1" s="42"/>
      <c r="WGA1" s="42"/>
      <c r="WGB1" s="42"/>
      <c r="WGC1" s="42"/>
      <c r="WGD1" s="42"/>
      <c r="WGE1" s="42"/>
      <c r="WGF1" s="42"/>
      <c r="WGG1" s="42"/>
      <c r="WGH1" s="42"/>
      <c r="WGI1" s="42"/>
      <c r="WGJ1" s="42"/>
      <c r="WGK1" s="42"/>
      <c r="WGL1" s="42"/>
      <c r="WGM1" s="42"/>
      <c r="WGN1" s="42"/>
      <c r="WGO1" s="42"/>
      <c r="WGP1" s="42"/>
      <c r="WGQ1" s="42"/>
      <c r="WGR1" s="42"/>
      <c r="WGS1" s="42"/>
      <c r="WGT1" s="42"/>
      <c r="WGU1" s="42"/>
      <c r="WGV1" s="42"/>
      <c r="WGW1" s="42"/>
      <c r="WGX1" s="42"/>
      <c r="WGY1" s="42"/>
      <c r="WGZ1" s="42"/>
      <c r="WHA1" s="42"/>
      <c r="WHB1" s="42"/>
      <c r="WHC1" s="42"/>
      <c r="WHD1" s="42"/>
      <c r="WHE1" s="42"/>
      <c r="WHF1" s="42"/>
      <c r="WHG1" s="42"/>
      <c r="WHH1" s="42"/>
      <c r="WHI1" s="42"/>
      <c r="WHJ1" s="42"/>
      <c r="WHK1" s="42"/>
      <c r="WHL1" s="42"/>
      <c r="WHM1" s="42"/>
      <c r="WHN1" s="42"/>
      <c r="WHO1" s="42"/>
      <c r="WHP1" s="42"/>
      <c r="WHQ1" s="42"/>
      <c r="WHR1" s="42"/>
      <c r="WHS1" s="42"/>
      <c r="WHT1" s="42"/>
      <c r="WHU1" s="42"/>
      <c r="WHV1" s="42"/>
      <c r="WHW1" s="42"/>
      <c r="WHX1" s="42"/>
      <c r="WHY1" s="42"/>
      <c r="WHZ1" s="42"/>
      <c r="WIA1" s="42"/>
      <c r="WIB1" s="42"/>
      <c r="WIC1" s="42"/>
      <c r="WID1" s="42"/>
      <c r="WIE1" s="42"/>
      <c r="WIF1" s="42"/>
      <c r="WIG1" s="42"/>
      <c r="WIH1" s="42"/>
      <c r="WII1" s="42"/>
      <c r="WIJ1" s="42"/>
      <c r="WIK1" s="42"/>
      <c r="WIL1" s="42"/>
      <c r="WIM1" s="42"/>
      <c r="WIN1" s="42"/>
      <c r="WIO1" s="42"/>
      <c r="WIP1" s="42"/>
      <c r="WIQ1" s="42"/>
      <c r="WIR1" s="42"/>
      <c r="WIS1" s="42"/>
      <c r="WIT1" s="42"/>
      <c r="WIU1" s="42"/>
      <c r="WIV1" s="42"/>
      <c r="WIW1" s="42"/>
      <c r="WIX1" s="42"/>
      <c r="WIY1" s="42"/>
      <c r="WIZ1" s="42"/>
      <c r="WJA1" s="42"/>
      <c r="WJB1" s="42"/>
      <c r="WJC1" s="42"/>
      <c r="WJD1" s="42"/>
      <c r="WJE1" s="42"/>
      <c r="WJF1" s="42"/>
      <c r="WJG1" s="42"/>
      <c r="WJH1" s="42"/>
      <c r="WJI1" s="42"/>
      <c r="WJJ1" s="42"/>
      <c r="WJK1" s="42"/>
      <c r="WJL1" s="42"/>
      <c r="WJM1" s="42"/>
      <c r="WJN1" s="42"/>
      <c r="WJO1" s="42"/>
      <c r="WJP1" s="42"/>
      <c r="WJQ1" s="42"/>
      <c r="WJR1" s="42"/>
      <c r="WJS1" s="42"/>
      <c r="WJT1" s="42"/>
      <c r="WJU1" s="42"/>
      <c r="WJV1" s="42"/>
      <c r="WJW1" s="42"/>
      <c r="WJX1" s="42"/>
      <c r="WJY1" s="42"/>
      <c r="WJZ1" s="42"/>
      <c r="WKA1" s="42"/>
      <c r="WKB1" s="42"/>
      <c r="WKC1" s="42"/>
      <c r="WKD1" s="42"/>
      <c r="WKE1" s="42"/>
      <c r="WKF1" s="42"/>
      <c r="WKG1" s="42"/>
      <c r="WKH1" s="42"/>
      <c r="WKI1" s="42"/>
      <c r="WKJ1" s="42"/>
      <c r="WKK1" s="42"/>
      <c r="WKL1" s="42"/>
      <c r="WKM1" s="42"/>
      <c r="WKN1" s="42"/>
      <c r="WKO1" s="42"/>
      <c r="WKP1" s="42"/>
      <c r="WKQ1" s="42"/>
      <c r="WKR1" s="42"/>
      <c r="WKS1" s="42"/>
      <c r="WKT1" s="42"/>
      <c r="WKU1" s="42"/>
      <c r="WKV1" s="42"/>
      <c r="WKW1" s="42"/>
      <c r="WKX1" s="42"/>
      <c r="WKY1" s="42"/>
      <c r="WKZ1" s="42"/>
      <c r="WLA1" s="42"/>
      <c r="WLB1" s="42"/>
      <c r="WLC1" s="42"/>
      <c r="WLD1" s="42"/>
      <c r="WLE1" s="42"/>
      <c r="WLF1" s="42"/>
      <c r="WLG1" s="42"/>
      <c r="WLH1" s="42"/>
      <c r="WLI1" s="42"/>
      <c r="WLJ1" s="42"/>
      <c r="WLK1" s="42"/>
      <c r="WLL1" s="42"/>
      <c r="WLM1" s="42"/>
      <c r="WLN1" s="42"/>
      <c r="WLO1" s="42"/>
      <c r="WLP1" s="42"/>
      <c r="WLQ1" s="42"/>
      <c r="WLR1" s="42"/>
      <c r="WLS1" s="42"/>
      <c r="WLT1" s="42"/>
      <c r="WLU1" s="42"/>
      <c r="WLV1" s="42"/>
      <c r="WLW1" s="42"/>
      <c r="WLX1" s="42"/>
      <c r="WLY1" s="42"/>
      <c r="WLZ1" s="42"/>
      <c r="WMA1" s="42"/>
      <c r="WMB1" s="42"/>
      <c r="WMC1" s="42"/>
      <c r="WMD1" s="42"/>
      <c r="WME1" s="42"/>
      <c r="WMF1" s="42"/>
      <c r="WMG1" s="42"/>
      <c r="WMH1" s="42"/>
      <c r="WMI1" s="42"/>
      <c r="WMJ1" s="42"/>
      <c r="WMK1" s="42"/>
      <c r="WML1" s="42"/>
      <c r="WMM1" s="42"/>
      <c r="WMN1" s="42"/>
      <c r="WMO1" s="42"/>
      <c r="WMP1" s="42"/>
      <c r="WMQ1" s="42"/>
      <c r="WMR1" s="42"/>
      <c r="WMS1" s="42"/>
      <c r="WMT1" s="42"/>
      <c r="WMU1" s="42"/>
      <c r="WMV1" s="42"/>
      <c r="WMW1" s="42"/>
      <c r="WMX1" s="42"/>
      <c r="WMY1" s="42"/>
      <c r="WMZ1" s="42"/>
      <c r="WNA1" s="42"/>
      <c r="WNB1" s="42"/>
      <c r="WNC1" s="42"/>
      <c r="WND1" s="42"/>
      <c r="WNE1" s="42"/>
      <c r="WNF1" s="42"/>
      <c r="WNG1" s="42"/>
      <c r="WNH1" s="42"/>
      <c r="WNI1" s="42"/>
      <c r="WNJ1" s="42"/>
      <c r="WNK1" s="42"/>
      <c r="WNL1" s="42"/>
      <c r="WNM1" s="42"/>
      <c r="WNN1" s="42"/>
      <c r="WNO1" s="42"/>
      <c r="WNP1" s="42"/>
      <c r="WNQ1" s="42"/>
      <c r="WNR1" s="42"/>
      <c r="WNS1" s="42"/>
      <c r="WNT1" s="42"/>
      <c r="WNU1" s="42"/>
      <c r="WNV1" s="42"/>
      <c r="WNW1" s="42"/>
      <c r="WNX1" s="42"/>
      <c r="WNY1" s="42"/>
      <c r="WNZ1" s="42"/>
      <c r="WOA1" s="42"/>
      <c r="WOB1" s="42"/>
      <c r="WOC1" s="42"/>
      <c r="WOD1" s="42"/>
      <c r="WOE1" s="42"/>
      <c r="WOF1" s="42"/>
      <c r="WOG1" s="42"/>
      <c r="WOH1" s="42"/>
      <c r="WOI1" s="42"/>
      <c r="WOJ1" s="42"/>
      <c r="WOK1" s="42"/>
      <c r="WOL1" s="42"/>
      <c r="WOM1" s="42"/>
      <c r="WON1" s="42"/>
      <c r="WOO1" s="42"/>
      <c r="WOP1" s="42"/>
      <c r="WOQ1" s="42"/>
      <c r="WOR1" s="42"/>
      <c r="WOS1" s="42"/>
      <c r="WOT1" s="42"/>
      <c r="WOU1" s="42"/>
      <c r="WOV1" s="42"/>
      <c r="WOW1" s="42"/>
      <c r="WOX1" s="42"/>
      <c r="WOY1" s="42"/>
      <c r="WOZ1" s="42"/>
      <c r="WPA1" s="42"/>
      <c r="WPB1" s="42"/>
      <c r="WPC1" s="42"/>
      <c r="WPD1" s="42"/>
      <c r="WPE1" s="42"/>
      <c r="WPF1" s="42"/>
      <c r="WPG1" s="42"/>
      <c r="WPH1" s="42"/>
      <c r="WPI1" s="42"/>
      <c r="WPJ1" s="42"/>
      <c r="WPK1" s="42"/>
      <c r="WPL1" s="42"/>
      <c r="WPM1" s="42"/>
      <c r="WPN1" s="42"/>
      <c r="WPO1" s="42"/>
      <c r="WPP1" s="42"/>
      <c r="WPQ1" s="42"/>
      <c r="WPR1" s="42"/>
      <c r="WPS1" s="42"/>
      <c r="WPT1" s="42"/>
      <c r="WPU1" s="42"/>
      <c r="WPV1" s="42"/>
      <c r="WPW1" s="42"/>
      <c r="WPX1" s="42"/>
      <c r="WPY1" s="42"/>
      <c r="WPZ1" s="42"/>
      <c r="WQA1" s="42"/>
      <c r="WQB1" s="42"/>
      <c r="WQC1" s="42"/>
      <c r="WQD1" s="42"/>
      <c r="WQE1" s="42"/>
      <c r="WQF1" s="42"/>
      <c r="WQG1" s="42"/>
      <c r="WQH1" s="42"/>
      <c r="WQI1" s="42"/>
      <c r="WQJ1" s="42"/>
      <c r="WQK1" s="42"/>
      <c r="WQL1" s="42"/>
      <c r="WQM1" s="42"/>
      <c r="WQN1" s="42"/>
      <c r="WQO1" s="42"/>
      <c r="WQP1" s="42"/>
      <c r="WQQ1" s="42"/>
      <c r="WQR1" s="42"/>
      <c r="WQS1" s="42"/>
      <c r="WQT1" s="42"/>
      <c r="WQU1" s="42"/>
      <c r="WQV1" s="42"/>
      <c r="WQW1" s="42"/>
      <c r="WQX1" s="42"/>
      <c r="WQY1" s="42"/>
      <c r="WQZ1" s="42"/>
      <c r="WRA1" s="42"/>
      <c r="WRB1" s="42"/>
      <c r="WRC1" s="42"/>
      <c r="WRD1" s="42"/>
      <c r="WRE1" s="42"/>
      <c r="WRF1" s="42"/>
      <c r="WRG1" s="42"/>
      <c r="WRH1" s="42"/>
      <c r="WRI1" s="42"/>
      <c r="WRJ1" s="42"/>
      <c r="WRK1" s="42"/>
      <c r="WRL1" s="42"/>
      <c r="WRM1" s="42"/>
      <c r="WRN1" s="42"/>
      <c r="WRO1" s="42"/>
      <c r="WRP1" s="42"/>
      <c r="WRQ1" s="42"/>
      <c r="WRR1" s="42"/>
      <c r="WRS1" s="42"/>
      <c r="WRT1" s="42"/>
      <c r="WRU1" s="42"/>
      <c r="WRV1" s="42"/>
      <c r="WRW1" s="42"/>
      <c r="WRX1" s="42"/>
      <c r="WRY1" s="42"/>
      <c r="WRZ1" s="42"/>
      <c r="WSA1" s="42"/>
      <c r="WSB1" s="42"/>
      <c r="WSC1" s="42"/>
      <c r="WSD1" s="42"/>
      <c r="WSE1" s="42"/>
      <c r="WSF1" s="42"/>
      <c r="WSG1" s="42"/>
      <c r="WSH1" s="42"/>
      <c r="WSI1" s="42"/>
      <c r="WSJ1" s="42"/>
      <c r="WSK1" s="42"/>
      <c r="WSL1" s="42"/>
      <c r="WSM1" s="42"/>
      <c r="WSN1" s="42"/>
      <c r="WSO1" s="42"/>
      <c r="WSP1" s="42"/>
      <c r="WSQ1" s="42"/>
      <c r="WSR1" s="42"/>
      <c r="WSS1" s="42"/>
      <c r="WST1" s="42"/>
      <c r="WSU1" s="42"/>
      <c r="WSV1" s="42"/>
      <c r="WSW1" s="42"/>
      <c r="WSX1" s="42"/>
      <c r="WSY1" s="42"/>
      <c r="WSZ1" s="42"/>
      <c r="WTA1" s="42"/>
      <c r="WTB1" s="42"/>
      <c r="WTC1" s="42"/>
      <c r="WTD1" s="42"/>
      <c r="WTE1" s="42"/>
      <c r="WTF1" s="42"/>
      <c r="WTG1" s="42"/>
      <c r="WTH1" s="42"/>
      <c r="WTI1" s="42"/>
      <c r="WTJ1" s="42"/>
      <c r="WTK1" s="42"/>
      <c r="WTL1" s="42"/>
      <c r="WTM1" s="42"/>
      <c r="WTN1" s="42"/>
      <c r="WTO1" s="42"/>
      <c r="WTP1" s="42"/>
      <c r="WTQ1" s="42"/>
      <c r="WTR1" s="42"/>
      <c r="WTS1" s="42"/>
      <c r="WTT1" s="42"/>
      <c r="WTU1" s="42"/>
      <c r="WTV1" s="42"/>
      <c r="WTW1" s="42"/>
      <c r="WTX1" s="42"/>
      <c r="WTY1" s="42"/>
      <c r="WTZ1" s="42"/>
      <c r="WUA1" s="42"/>
      <c r="WUB1" s="42"/>
      <c r="WUC1" s="42"/>
      <c r="WUD1" s="42"/>
      <c r="WUE1" s="42"/>
      <c r="WUF1" s="42"/>
      <c r="WUG1" s="42"/>
      <c r="WUH1" s="42"/>
      <c r="WUI1" s="42"/>
      <c r="WUJ1" s="42"/>
      <c r="WUK1" s="42"/>
      <c r="WUL1" s="42"/>
      <c r="WUM1" s="42"/>
      <c r="WUN1" s="42"/>
      <c r="WUO1" s="42"/>
      <c r="WUP1" s="42"/>
      <c r="WUQ1" s="42"/>
      <c r="WUR1" s="42"/>
      <c r="WUS1" s="42"/>
      <c r="WUT1" s="42"/>
      <c r="WUU1" s="42"/>
      <c r="WUV1" s="42"/>
      <c r="WUW1" s="42"/>
      <c r="WUX1" s="42"/>
      <c r="WUY1" s="42"/>
      <c r="WUZ1" s="42"/>
      <c r="WVA1" s="42"/>
      <c r="WVB1" s="42"/>
      <c r="WVC1" s="42"/>
      <c r="WVD1" s="42"/>
      <c r="WVE1" s="42"/>
      <c r="WVF1" s="42"/>
      <c r="WVG1" s="42"/>
      <c r="WVH1" s="42"/>
      <c r="WVI1" s="42"/>
      <c r="WVJ1" s="42"/>
      <c r="WVK1" s="42"/>
      <c r="WVL1" s="42"/>
      <c r="WVM1" s="42"/>
      <c r="WVN1" s="42"/>
      <c r="WVO1" s="42"/>
      <c r="WVP1" s="42"/>
      <c r="WVQ1" s="42"/>
      <c r="WVR1" s="42"/>
      <c r="WVS1" s="42"/>
      <c r="WVT1" s="42"/>
      <c r="WVU1" s="42"/>
      <c r="WVV1" s="42"/>
      <c r="WVW1" s="42"/>
      <c r="WVX1" s="42"/>
      <c r="WVY1" s="42"/>
      <c r="WVZ1" s="42"/>
      <c r="WWA1" s="42"/>
      <c r="WWB1" s="42"/>
      <c r="WWC1" s="42"/>
      <c r="WWD1" s="42"/>
      <c r="WWE1" s="42"/>
      <c r="WWF1" s="42"/>
      <c r="WWG1" s="42"/>
      <c r="WWH1" s="42"/>
      <c r="WWI1" s="42"/>
      <c r="WWJ1" s="42"/>
      <c r="WWK1" s="42"/>
      <c r="WWL1" s="42"/>
      <c r="WWM1" s="42"/>
      <c r="WWN1" s="42"/>
      <c r="WWO1" s="42"/>
      <c r="WWP1" s="42"/>
      <c r="WWQ1" s="42"/>
      <c r="WWR1" s="42"/>
      <c r="WWS1" s="42"/>
      <c r="WWT1" s="42"/>
      <c r="WWU1" s="42"/>
      <c r="WWV1" s="42"/>
      <c r="WWW1" s="42"/>
      <c r="WWX1" s="42"/>
      <c r="WWY1" s="42"/>
      <c r="WWZ1" s="42"/>
      <c r="WXA1" s="42"/>
      <c r="WXB1" s="42"/>
      <c r="WXC1" s="42"/>
      <c r="WXD1" s="42"/>
      <c r="WXE1" s="42"/>
      <c r="WXF1" s="42"/>
      <c r="WXG1" s="42"/>
      <c r="WXH1" s="42"/>
      <c r="WXI1" s="42"/>
      <c r="WXJ1" s="42"/>
      <c r="WXK1" s="42"/>
      <c r="WXL1" s="42"/>
      <c r="WXM1" s="42"/>
      <c r="WXN1" s="42"/>
      <c r="WXO1" s="42"/>
      <c r="WXP1" s="42"/>
      <c r="WXQ1" s="42"/>
      <c r="WXR1" s="42"/>
      <c r="WXS1" s="42"/>
      <c r="WXT1" s="42"/>
      <c r="WXU1" s="42"/>
      <c r="WXV1" s="42"/>
      <c r="WXW1" s="42"/>
      <c r="WXX1" s="42"/>
      <c r="WXY1" s="42"/>
      <c r="WXZ1" s="42"/>
      <c r="WYA1" s="42"/>
      <c r="WYB1" s="42"/>
      <c r="WYC1" s="42"/>
      <c r="WYD1" s="42"/>
      <c r="WYE1" s="42"/>
      <c r="WYF1" s="42"/>
      <c r="WYG1" s="42"/>
      <c r="WYH1" s="42"/>
      <c r="WYI1" s="42"/>
      <c r="WYJ1" s="42"/>
      <c r="WYK1" s="42"/>
      <c r="WYL1" s="42"/>
      <c r="WYM1" s="42"/>
      <c r="WYN1" s="42"/>
      <c r="WYO1" s="42"/>
      <c r="WYP1" s="42"/>
      <c r="WYQ1" s="42"/>
      <c r="WYR1" s="42"/>
      <c r="WYS1" s="42"/>
      <c r="WYT1" s="42"/>
      <c r="WYU1" s="42"/>
      <c r="WYV1" s="42"/>
      <c r="WYW1" s="42"/>
      <c r="WYX1" s="42"/>
      <c r="WYY1" s="42"/>
      <c r="WYZ1" s="42"/>
      <c r="WZA1" s="42"/>
      <c r="WZB1" s="42"/>
      <c r="WZC1" s="42"/>
      <c r="WZD1" s="42"/>
      <c r="WZE1" s="42"/>
      <c r="WZF1" s="42"/>
      <c r="WZG1" s="42"/>
      <c r="WZH1" s="42"/>
      <c r="WZI1" s="42"/>
      <c r="WZJ1" s="42"/>
      <c r="WZK1" s="42"/>
      <c r="WZL1" s="42"/>
      <c r="WZM1" s="42"/>
      <c r="WZN1" s="42"/>
      <c r="WZO1" s="42"/>
      <c r="WZP1" s="42"/>
      <c r="WZQ1" s="42"/>
      <c r="WZR1" s="42"/>
      <c r="WZS1" s="42"/>
      <c r="WZT1" s="42"/>
      <c r="WZU1" s="42"/>
      <c r="WZV1" s="42"/>
      <c r="WZW1" s="42"/>
      <c r="WZX1" s="42"/>
      <c r="WZY1" s="42"/>
      <c r="WZZ1" s="42"/>
      <c r="XAA1" s="42"/>
      <c r="XAB1" s="42"/>
      <c r="XAC1" s="42"/>
      <c r="XAD1" s="42"/>
      <c r="XAE1" s="42"/>
      <c r="XAF1" s="42"/>
      <c r="XAG1" s="42"/>
      <c r="XAH1" s="42"/>
      <c r="XAI1" s="42"/>
      <c r="XAJ1" s="42"/>
      <c r="XAK1" s="42"/>
      <c r="XAL1" s="42"/>
      <c r="XAM1" s="42"/>
      <c r="XAN1" s="42"/>
      <c r="XAO1" s="42"/>
      <c r="XAP1" s="42"/>
      <c r="XAQ1" s="42"/>
      <c r="XAR1" s="42"/>
      <c r="XAS1" s="42"/>
      <c r="XAT1" s="42"/>
      <c r="XAU1" s="42"/>
      <c r="XAV1" s="42"/>
      <c r="XAW1" s="42"/>
      <c r="XAX1" s="42"/>
      <c r="XAY1" s="42"/>
      <c r="XAZ1" s="42"/>
      <c r="XBA1" s="42"/>
      <c r="XBB1" s="42"/>
      <c r="XBC1" s="42"/>
      <c r="XBD1" s="42"/>
      <c r="XBE1" s="42"/>
      <c r="XBF1" s="42"/>
      <c r="XBG1" s="42"/>
      <c r="XBH1" s="42"/>
      <c r="XBI1" s="42"/>
      <c r="XBJ1" s="42"/>
      <c r="XBK1" s="42"/>
      <c r="XBL1" s="42"/>
      <c r="XBM1" s="42"/>
      <c r="XBN1" s="42"/>
      <c r="XBO1" s="42"/>
      <c r="XBP1" s="42"/>
      <c r="XBQ1" s="42"/>
      <c r="XBR1" s="42"/>
      <c r="XBS1" s="42"/>
      <c r="XBT1" s="42"/>
      <c r="XBU1" s="42"/>
      <c r="XBV1" s="42"/>
      <c r="XBW1" s="42"/>
      <c r="XBX1" s="42"/>
      <c r="XBY1" s="42"/>
      <c r="XBZ1" s="42"/>
      <c r="XCA1" s="42"/>
      <c r="XCB1" s="42"/>
      <c r="XCC1" s="42"/>
      <c r="XCD1" s="42"/>
      <c r="XCE1" s="42"/>
      <c r="XCF1" s="42"/>
      <c r="XCG1" s="42"/>
      <c r="XCH1" s="42"/>
      <c r="XCI1" s="42"/>
      <c r="XCJ1" s="42"/>
      <c r="XCK1" s="42"/>
      <c r="XCL1" s="42"/>
      <c r="XCM1" s="42"/>
      <c r="XCN1" s="42"/>
      <c r="XCO1" s="42"/>
      <c r="XCP1" s="42"/>
      <c r="XCQ1" s="42"/>
      <c r="XCR1" s="42"/>
      <c r="XCS1" s="42"/>
      <c r="XCT1" s="42"/>
      <c r="XCU1" s="42"/>
      <c r="XCV1" s="42"/>
      <c r="XCW1" s="42"/>
      <c r="XCX1" s="42"/>
      <c r="XCY1" s="42"/>
      <c r="XCZ1" s="42"/>
      <c r="XDA1" s="42"/>
      <c r="XDB1" s="42"/>
      <c r="XDC1" s="42"/>
      <c r="XDD1" s="42"/>
      <c r="XDE1" s="42"/>
      <c r="XDF1" s="42"/>
      <c r="XDG1" s="42"/>
      <c r="XDH1" s="42"/>
    </row>
    <row r="2" spans="1:16336" x14ac:dyDescent="0.35">
      <c r="A2" s="45"/>
      <c r="B2" s="46"/>
      <c r="C2" s="47"/>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CW2" s="42"/>
      <c r="CX2" s="42"/>
      <c r="CY2" s="42"/>
      <c r="CZ2" s="42"/>
      <c r="DA2" s="42"/>
      <c r="DB2" s="42"/>
      <c r="DC2" s="42"/>
      <c r="DD2" s="42"/>
      <c r="DE2" s="42"/>
      <c r="DF2" s="42"/>
      <c r="DG2" s="42"/>
      <c r="DH2" s="42"/>
      <c r="DI2" s="42"/>
      <c r="DJ2" s="42"/>
      <c r="DK2" s="42"/>
      <c r="DL2" s="42"/>
      <c r="DM2" s="42"/>
      <c r="DN2" s="42"/>
      <c r="DO2" s="42"/>
      <c r="DP2" s="42"/>
      <c r="DQ2" s="42"/>
      <c r="DR2" s="42"/>
      <c r="DS2" s="42"/>
      <c r="DT2" s="42"/>
      <c r="DU2" s="42"/>
      <c r="DV2" s="42"/>
      <c r="DW2" s="42"/>
      <c r="DX2" s="42"/>
      <c r="DY2" s="42"/>
      <c r="DZ2" s="42"/>
      <c r="EA2" s="42"/>
      <c r="EB2" s="42"/>
      <c r="EC2" s="42"/>
      <c r="ED2" s="42"/>
      <c r="EE2" s="42"/>
      <c r="EF2" s="42"/>
      <c r="EG2" s="42"/>
      <c r="EH2" s="42"/>
      <c r="EI2" s="42"/>
      <c r="EJ2" s="42"/>
      <c r="EK2" s="42"/>
      <c r="EL2" s="42"/>
      <c r="EM2" s="42"/>
      <c r="EN2" s="42"/>
      <c r="EO2" s="42"/>
      <c r="EP2" s="42"/>
      <c r="EQ2" s="42"/>
      <c r="ER2" s="42"/>
      <c r="ES2" s="42"/>
      <c r="ET2" s="42"/>
      <c r="EU2" s="42"/>
      <c r="EV2" s="42"/>
      <c r="EW2" s="42"/>
      <c r="EX2" s="42"/>
      <c r="EY2" s="42"/>
      <c r="EZ2" s="42"/>
      <c r="FA2" s="42"/>
      <c r="FB2" s="42"/>
      <c r="FC2" s="42"/>
      <c r="FD2" s="42"/>
      <c r="FE2" s="42"/>
      <c r="FF2" s="42"/>
      <c r="FG2" s="42"/>
      <c r="FH2" s="42"/>
      <c r="FI2" s="42"/>
      <c r="FJ2" s="42"/>
      <c r="FK2" s="42"/>
      <c r="FL2" s="42"/>
      <c r="FM2" s="42"/>
      <c r="FN2" s="42"/>
      <c r="FO2" s="42"/>
      <c r="FP2" s="42"/>
      <c r="FQ2" s="42"/>
      <c r="FR2" s="42"/>
      <c r="FS2" s="42"/>
      <c r="FT2" s="42"/>
      <c r="FU2" s="42"/>
      <c r="FV2" s="42"/>
      <c r="FW2" s="42"/>
      <c r="FX2" s="42"/>
      <c r="FY2" s="42"/>
      <c r="FZ2" s="42"/>
      <c r="GA2" s="42"/>
      <c r="GB2" s="42"/>
      <c r="GC2" s="42"/>
      <c r="GD2" s="42"/>
      <c r="GE2" s="42"/>
      <c r="GF2" s="42"/>
      <c r="GG2" s="42"/>
      <c r="GH2" s="42"/>
      <c r="GI2" s="42"/>
      <c r="GJ2" s="42"/>
      <c r="GK2" s="42"/>
      <c r="GL2" s="42"/>
      <c r="GM2" s="42"/>
      <c r="GN2" s="42"/>
      <c r="GO2" s="42"/>
      <c r="GP2" s="42"/>
      <c r="GQ2" s="42"/>
      <c r="GR2" s="42"/>
      <c r="GS2" s="42"/>
      <c r="GT2" s="42"/>
      <c r="GU2" s="42"/>
      <c r="GV2" s="42"/>
      <c r="GW2" s="42"/>
      <c r="GX2" s="42"/>
      <c r="GY2" s="42"/>
      <c r="GZ2" s="42"/>
      <c r="HA2" s="42"/>
      <c r="HB2" s="42"/>
      <c r="HC2" s="42"/>
      <c r="HD2" s="42"/>
      <c r="HE2" s="42"/>
      <c r="HF2" s="42"/>
      <c r="HG2" s="42"/>
      <c r="HH2" s="42"/>
      <c r="HI2" s="42"/>
      <c r="HJ2" s="42"/>
      <c r="HK2" s="42"/>
      <c r="HL2" s="42"/>
      <c r="HM2" s="42"/>
      <c r="HN2" s="42"/>
      <c r="HO2" s="42"/>
      <c r="HP2" s="42"/>
      <c r="HQ2" s="42"/>
      <c r="HR2" s="42"/>
      <c r="HS2" s="42"/>
      <c r="HT2" s="42"/>
      <c r="HU2" s="42"/>
      <c r="HV2" s="42"/>
      <c r="HW2" s="42"/>
      <c r="HX2" s="42"/>
      <c r="HY2" s="42"/>
      <c r="HZ2" s="42"/>
      <c r="IA2" s="42"/>
      <c r="IB2" s="42"/>
      <c r="IC2" s="42"/>
      <c r="ID2" s="42"/>
      <c r="IE2" s="42"/>
      <c r="IF2" s="42"/>
      <c r="IG2" s="42"/>
      <c r="IH2" s="42"/>
      <c r="II2" s="42"/>
      <c r="IJ2" s="42"/>
      <c r="IK2" s="42"/>
      <c r="IL2" s="42"/>
      <c r="IM2" s="42"/>
      <c r="IN2" s="42"/>
      <c r="IO2" s="42"/>
      <c r="IP2" s="42"/>
      <c r="IQ2" s="42"/>
      <c r="IR2" s="42"/>
      <c r="IS2" s="42"/>
      <c r="IT2" s="42"/>
      <c r="IU2" s="42"/>
      <c r="IV2" s="42"/>
      <c r="IW2" s="42"/>
      <c r="IX2" s="42"/>
      <c r="IY2" s="42"/>
      <c r="IZ2" s="42"/>
      <c r="JA2" s="42"/>
      <c r="JB2" s="42"/>
      <c r="JC2" s="42"/>
      <c r="JD2" s="42"/>
      <c r="JE2" s="42"/>
      <c r="JF2" s="42"/>
      <c r="JG2" s="42"/>
      <c r="JH2" s="42"/>
      <c r="JI2" s="42"/>
      <c r="JJ2" s="42"/>
      <c r="JK2" s="42"/>
      <c r="JL2" s="42"/>
      <c r="JM2" s="42"/>
      <c r="JN2" s="42"/>
      <c r="JO2" s="42"/>
      <c r="JP2" s="42"/>
      <c r="JQ2" s="42"/>
      <c r="JR2" s="42"/>
      <c r="JS2" s="42"/>
      <c r="JT2" s="42"/>
      <c r="JU2" s="42"/>
      <c r="JV2" s="42"/>
      <c r="JW2" s="42"/>
      <c r="JX2" s="42"/>
      <c r="JY2" s="42"/>
      <c r="JZ2" s="42"/>
      <c r="KA2" s="42"/>
      <c r="KB2" s="42"/>
      <c r="KC2" s="42"/>
      <c r="KD2" s="42"/>
      <c r="KE2" s="42"/>
      <c r="KF2" s="42"/>
      <c r="KG2" s="42"/>
      <c r="KH2" s="42"/>
      <c r="KI2" s="42"/>
      <c r="KJ2" s="42"/>
      <c r="KK2" s="42"/>
      <c r="KL2" s="42"/>
      <c r="KM2" s="42"/>
      <c r="KN2" s="42"/>
      <c r="KO2" s="42"/>
      <c r="KP2" s="42"/>
      <c r="KQ2" s="42"/>
      <c r="KR2" s="42"/>
      <c r="KS2" s="42"/>
      <c r="KT2" s="42"/>
      <c r="KU2" s="42"/>
      <c r="KV2" s="42"/>
      <c r="KW2" s="42"/>
      <c r="KX2" s="42"/>
      <c r="KY2" s="42"/>
      <c r="KZ2" s="42"/>
      <c r="LA2" s="42"/>
      <c r="LB2" s="42"/>
      <c r="LC2" s="42"/>
      <c r="LD2" s="42"/>
      <c r="LE2" s="42"/>
      <c r="LF2" s="42"/>
      <c r="LG2" s="42"/>
      <c r="LH2" s="42"/>
      <c r="LI2" s="42"/>
      <c r="LJ2" s="42"/>
      <c r="LK2" s="42"/>
      <c r="LL2" s="42"/>
      <c r="LM2" s="42"/>
      <c r="LN2" s="42"/>
      <c r="LO2" s="42"/>
      <c r="LP2" s="42"/>
      <c r="LQ2" s="42"/>
      <c r="LR2" s="42"/>
      <c r="LS2" s="42"/>
      <c r="LT2" s="42"/>
      <c r="LU2" s="42"/>
      <c r="LV2" s="42"/>
      <c r="LW2" s="42"/>
      <c r="LX2" s="42"/>
      <c r="LY2" s="42"/>
      <c r="LZ2" s="42"/>
      <c r="MA2" s="42"/>
      <c r="MB2" s="42"/>
      <c r="MC2" s="42"/>
      <c r="MD2" s="42"/>
      <c r="ME2" s="42"/>
      <c r="MF2" s="42"/>
      <c r="MG2" s="42"/>
      <c r="MH2" s="42"/>
      <c r="MI2" s="42"/>
      <c r="MJ2" s="42"/>
      <c r="MK2" s="42"/>
      <c r="ML2" s="42"/>
      <c r="MM2" s="42"/>
      <c r="MN2" s="42"/>
      <c r="MO2" s="42"/>
      <c r="MP2" s="42"/>
      <c r="MQ2" s="42"/>
      <c r="MR2" s="42"/>
      <c r="MS2" s="42"/>
      <c r="MT2" s="42"/>
      <c r="MU2" s="42"/>
      <c r="MV2" s="42"/>
      <c r="MW2" s="42"/>
      <c r="MX2" s="42"/>
      <c r="MY2" s="42"/>
      <c r="MZ2" s="42"/>
      <c r="NA2" s="42"/>
      <c r="NB2" s="42"/>
      <c r="NC2" s="42"/>
      <c r="ND2" s="42"/>
      <c r="NE2" s="42"/>
      <c r="NF2" s="42"/>
      <c r="NG2" s="42"/>
      <c r="NH2" s="42"/>
      <c r="NI2" s="42"/>
      <c r="NJ2" s="42"/>
      <c r="NK2" s="42"/>
      <c r="NL2" s="42"/>
      <c r="NM2" s="42"/>
      <c r="NN2" s="42"/>
      <c r="NO2" s="42"/>
      <c r="NP2" s="42"/>
      <c r="NQ2" s="42"/>
      <c r="NR2" s="42"/>
      <c r="NS2" s="42"/>
      <c r="NT2" s="42"/>
      <c r="NU2" s="42"/>
      <c r="NV2" s="42"/>
      <c r="NW2" s="42"/>
      <c r="NX2" s="42"/>
      <c r="NY2" s="42"/>
      <c r="NZ2" s="42"/>
      <c r="OA2" s="42"/>
      <c r="OB2" s="42"/>
      <c r="OC2" s="42"/>
      <c r="OD2" s="42"/>
      <c r="OE2" s="42"/>
      <c r="OF2" s="42"/>
      <c r="OG2" s="42"/>
      <c r="OH2" s="42"/>
      <c r="OI2" s="42"/>
      <c r="OJ2" s="42"/>
      <c r="OK2" s="42"/>
      <c r="OL2" s="42"/>
      <c r="OM2" s="42"/>
      <c r="ON2" s="42"/>
      <c r="OO2" s="42"/>
      <c r="OP2" s="42"/>
      <c r="OQ2" s="42"/>
      <c r="OR2" s="42"/>
      <c r="OS2" s="42"/>
      <c r="OT2" s="42"/>
      <c r="OU2" s="42"/>
      <c r="OV2" s="42"/>
      <c r="OW2" s="42"/>
      <c r="OX2" s="42"/>
      <c r="OY2" s="42"/>
      <c r="OZ2" s="42"/>
      <c r="PA2" s="42"/>
      <c r="PB2" s="42"/>
      <c r="PC2" s="42"/>
      <c r="PD2" s="42"/>
      <c r="PE2" s="42"/>
      <c r="PF2" s="42"/>
      <c r="PG2" s="42"/>
      <c r="PH2" s="42"/>
      <c r="PI2" s="42"/>
      <c r="PJ2" s="42"/>
      <c r="PK2" s="42"/>
      <c r="PL2" s="42"/>
      <c r="PM2" s="42"/>
      <c r="PN2" s="42"/>
      <c r="PO2" s="42"/>
      <c r="PP2" s="42"/>
      <c r="PQ2" s="42"/>
      <c r="PR2" s="42"/>
      <c r="PS2" s="42"/>
      <c r="PT2" s="42"/>
      <c r="PU2" s="42"/>
      <c r="PV2" s="42"/>
      <c r="PW2" s="42"/>
      <c r="PX2" s="42"/>
      <c r="PY2" s="42"/>
      <c r="PZ2" s="42"/>
      <c r="QA2" s="42"/>
      <c r="QB2" s="42"/>
      <c r="QC2" s="42"/>
      <c r="QD2" s="42"/>
      <c r="QE2" s="42"/>
      <c r="QF2" s="42"/>
      <c r="QG2" s="42"/>
      <c r="QH2" s="42"/>
      <c r="QI2" s="42"/>
      <c r="QJ2" s="42"/>
      <c r="QK2" s="42"/>
      <c r="QL2" s="42"/>
      <c r="QM2" s="42"/>
      <c r="QN2" s="42"/>
      <c r="QO2" s="42"/>
      <c r="QP2" s="42"/>
      <c r="QQ2" s="42"/>
      <c r="QR2" s="42"/>
      <c r="QS2" s="42"/>
      <c r="QT2" s="42"/>
      <c r="QU2" s="42"/>
      <c r="QV2" s="42"/>
      <c r="QW2" s="42"/>
      <c r="QX2" s="42"/>
      <c r="QY2" s="42"/>
      <c r="QZ2" s="42"/>
      <c r="RA2" s="42"/>
      <c r="RB2" s="42"/>
      <c r="RC2" s="42"/>
      <c r="RD2" s="42"/>
      <c r="RE2" s="42"/>
      <c r="RF2" s="42"/>
      <c r="RG2" s="42"/>
      <c r="RH2" s="42"/>
      <c r="RI2" s="42"/>
      <c r="RJ2" s="42"/>
      <c r="RK2" s="42"/>
      <c r="RL2" s="42"/>
      <c r="RM2" s="42"/>
      <c r="RN2" s="42"/>
      <c r="RO2" s="42"/>
      <c r="RP2" s="42"/>
      <c r="RQ2" s="42"/>
      <c r="RR2" s="42"/>
      <c r="RS2" s="42"/>
      <c r="RT2" s="42"/>
      <c r="RU2" s="42"/>
      <c r="RV2" s="42"/>
      <c r="RW2" s="42"/>
      <c r="RX2" s="42"/>
      <c r="RY2" s="42"/>
      <c r="RZ2" s="42"/>
      <c r="SA2" s="42"/>
      <c r="SB2" s="42"/>
      <c r="SC2" s="42"/>
      <c r="SD2" s="42"/>
      <c r="SE2" s="42"/>
      <c r="SF2" s="42"/>
      <c r="SG2" s="42"/>
      <c r="SH2" s="42"/>
      <c r="SI2" s="42"/>
      <c r="SJ2" s="42"/>
      <c r="SK2" s="42"/>
      <c r="SL2" s="42"/>
      <c r="SM2" s="42"/>
      <c r="SN2" s="42"/>
      <c r="SO2" s="42"/>
      <c r="SP2" s="42"/>
      <c r="SQ2" s="42"/>
      <c r="SR2" s="42"/>
      <c r="SS2" s="42"/>
      <c r="ST2" s="42"/>
      <c r="SU2" s="42"/>
      <c r="SV2" s="42"/>
      <c r="SW2" s="42"/>
      <c r="SX2" s="42"/>
      <c r="SY2" s="42"/>
      <c r="SZ2" s="42"/>
      <c r="TA2" s="42"/>
      <c r="TB2" s="42"/>
      <c r="TC2" s="42"/>
      <c r="TD2" s="42"/>
      <c r="TE2" s="42"/>
      <c r="TF2" s="42"/>
      <c r="TG2" s="42"/>
      <c r="TH2" s="42"/>
      <c r="TI2" s="42"/>
      <c r="TJ2" s="42"/>
      <c r="TK2" s="42"/>
      <c r="TL2" s="42"/>
      <c r="TM2" s="42"/>
      <c r="TN2" s="42"/>
      <c r="TO2" s="42"/>
      <c r="TP2" s="42"/>
      <c r="TQ2" s="42"/>
      <c r="TR2" s="42"/>
      <c r="TS2" s="42"/>
      <c r="TT2" s="42"/>
      <c r="TU2" s="42"/>
      <c r="TV2" s="42"/>
      <c r="TW2" s="42"/>
      <c r="TX2" s="42"/>
      <c r="TY2" s="42"/>
      <c r="TZ2" s="42"/>
      <c r="UA2" s="42"/>
      <c r="UB2" s="42"/>
      <c r="UC2" s="42"/>
      <c r="UD2" s="42"/>
      <c r="UE2" s="42"/>
      <c r="UF2" s="42"/>
      <c r="UG2" s="42"/>
      <c r="UH2" s="42"/>
      <c r="UI2" s="42"/>
      <c r="UJ2" s="42"/>
      <c r="UK2" s="42"/>
      <c r="UL2" s="42"/>
      <c r="UM2" s="42"/>
      <c r="UN2" s="42"/>
      <c r="UO2" s="42"/>
      <c r="UP2" s="42"/>
      <c r="UQ2" s="42"/>
      <c r="UR2" s="42"/>
      <c r="US2" s="42"/>
      <c r="UT2" s="42"/>
      <c r="UU2" s="42"/>
      <c r="UV2" s="42"/>
      <c r="UW2" s="42"/>
      <c r="UX2" s="42"/>
      <c r="UY2" s="42"/>
      <c r="UZ2" s="42"/>
      <c r="VA2" s="42"/>
      <c r="VB2" s="42"/>
      <c r="VC2" s="42"/>
      <c r="VD2" s="42"/>
      <c r="VE2" s="42"/>
      <c r="VF2" s="42"/>
      <c r="VG2" s="42"/>
      <c r="VH2" s="42"/>
      <c r="VI2" s="42"/>
      <c r="VJ2" s="42"/>
      <c r="VK2" s="42"/>
      <c r="VL2" s="42"/>
      <c r="VM2" s="42"/>
      <c r="VN2" s="42"/>
      <c r="VO2" s="42"/>
      <c r="VP2" s="42"/>
      <c r="VQ2" s="42"/>
      <c r="VR2" s="42"/>
      <c r="VS2" s="42"/>
      <c r="VT2" s="42"/>
      <c r="VU2" s="42"/>
      <c r="VV2" s="42"/>
      <c r="VW2" s="42"/>
      <c r="VX2" s="42"/>
      <c r="VY2" s="42"/>
      <c r="VZ2" s="42"/>
      <c r="WA2" s="42"/>
      <c r="WB2" s="42"/>
      <c r="WC2" s="42"/>
      <c r="WD2" s="42"/>
      <c r="WE2" s="42"/>
      <c r="WF2" s="42"/>
      <c r="WG2" s="42"/>
      <c r="WH2" s="42"/>
      <c r="WI2" s="42"/>
      <c r="WJ2" s="42"/>
      <c r="WK2" s="42"/>
      <c r="WL2" s="42"/>
      <c r="WM2" s="42"/>
      <c r="WN2" s="42"/>
      <c r="WO2" s="42"/>
      <c r="WP2" s="42"/>
      <c r="WQ2" s="42"/>
      <c r="WR2" s="42"/>
      <c r="WS2" s="42"/>
      <c r="WT2" s="42"/>
      <c r="WU2" s="42"/>
      <c r="WV2" s="42"/>
      <c r="WW2" s="42"/>
      <c r="WX2" s="42"/>
      <c r="WY2" s="42"/>
      <c r="WZ2" s="42"/>
      <c r="XA2" s="42"/>
      <c r="XB2" s="42"/>
      <c r="XC2" s="42"/>
      <c r="XD2" s="42"/>
      <c r="XE2" s="42"/>
      <c r="XF2" s="42"/>
      <c r="XG2" s="42"/>
      <c r="XH2" s="42"/>
      <c r="XI2" s="42"/>
      <c r="XJ2" s="42"/>
      <c r="XK2" s="42"/>
      <c r="XL2" s="42"/>
      <c r="XM2" s="42"/>
      <c r="XN2" s="42"/>
      <c r="XO2" s="42"/>
      <c r="XP2" s="42"/>
      <c r="XQ2" s="42"/>
      <c r="XR2" s="42"/>
      <c r="XS2" s="42"/>
      <c r="XT2" s="42"/>
      <c r="XU2" s="42"/>
      <c r="XV2" s="42"/>
      <c r="XW2" s="42"/>
      <c r="XX2" s="42"/>
      <c r="XY2" s="42"/>
      <c r="XZ2" s="42"/>
      <c r="YA2" s="42"/>
      <c r="YB2" s="42"/>
      <c r="YC2" s="42"/>
      <c r="YD2" s="42"/>
      <c r="YE2" s="42"/>
      <c r="YF2" s="42"/>
      <c r="YG2" s="42"/>
      <c r="YH2" s="42"/>
      <c r="YI2" s="42"/>
      <c r="YJ2" s="42"/>
      <c r="YK2" s="42"/>
      <c r="YL2" s="42"/>
      <c r="YM2" s="42"/>
      <c r="YN2" s="42"/>
      <c r="YO2" s="42"/>
      <c r="YP2" s="42"/>
      <c r="YQ2" s="42"/>
      <c r="YR2" s="42"/>
      <c r="YS2" s="42"/>
      <c r="YT2" s="42"/>
      <c r="YU2" s="42"/>
      <c r="YV2" s="42"/>
      <c r="YW2" s="42"/>
      <c r="YX2" s="42"/>
      <c r="YY2" s="42"/>
      <c r="YZ2" s="42"/>
      <c r="ZA2" s="42"/>
      <c r="ZB2" s="42"/>
      <c r="ZC2" s="42"/>
      <c r="ZD2" s="42"/>
      <c r="ZE2" s="42"/>
      <c r="ZF2" s="42"/>
      <c r="ZG2" s="42"/>
      <c r="ZH2" s="42"/>
      <c r="ZI2" s="42"/>
      <c r="ZJ2" s="42"/>
      <c r="ZK2" s="42"/>
      <c r="ZL2" s="42"/>
      <c r="ZM2" s="42"/>
      <c r="ZN2" s="42"/>
      <c r="ZO2" s="42"/>
      <c r="ZP2" s="42"/>
      <c r="ZQ2" s="42"/>
      <c r="ZR2" s="42"/>
      <c r="ZS2" s="42"/>
      <c r="ZT2" s="42"/>
      <c r="ZU2" s="42"/>
      <c r="ZV2" s="42"/>
      <c r="ZW2" s="42"/>
      <c r="ZX2" s="42"/>
      <c r="ZY2" s="42"/>
      <c r="ZZ2" s="42"/>
      <c r="AAA2" s="42"/>
      <c r="AAB2" s="42"/>
      <c r="AAC2" s="42"/>
      <c r="AAD2" s="42"/>
      <c r="AAE2" s="42"/>
      <c r="AAF2" s="42"/>
      <c r="AAG2" s="42"/>
      <c r="AAH2" s="42"/>
      <c r="AAI2" s="42"/>
      <c r="AAJ2" s="42"/>
      <c r="AAK2" s="42"/>
      <c r="AAL2" s="42"/>
      <c r="AAM2" s="42"/>
      <c r="AAN2" s="42"/>
      <c r="AAO2" s="42"/>
      <c r="AAP2" s="42"/>
      <c r="AAQ2" s="42"/>
      <c r="AAR2" s="42"/>
      <c r="AAS2" s="42"/>
      <c r="AAT2" s="42"/>
      <c r="AAU2" s="42"/>
      <c r="AAV2" s="42"/>
      <c r="AAW2" s="42"/>
      <c r="AAX2" s="42"/>
      <c r="AAY2" s="42"/>
      <c r="AAZ2" s="42"/>
      <c r="ABA2" s="42"/>
      <c r="ABB2" s="42"/>
      <c r="ABC2" s="42"/>
      <c r="ABD2" s="42"/>
      <c r="ABE2" s="42"/>
      <c r="ABF2" s="42"/>
      <c r="ABG2" s="42"/>
      <c r="ABH2" s="42"/>
      <c r="ABI2" s="42"/>
      <c r="ABJ2" s="42"/>
      <c r="ABK2" s="42"/>
      <c r="ABL2" s="42"/>
      <c r="ABM2" s="42"/>
      <c r="ABN2" s="42"/>
      <c r="ABO2" s="42"/>
      <c r="ABP2" s="42"/>
      <c r="ABQ2" s="42"/>
      <c r="ABR2" s="42"/>
      <c r="ABS2" s="42"/>
      <c r="ABT2" s="42"/>
      <c r="ABU2" s="42"/>
      <c r="ABV2" s="42"/>
      <c r="ABW2" s="42"/>
      <c r="ABX2" s="42"/>
      <c r="ABY2" s="42"/>
      <c r="ABZ2" s="42"/>
      <c r="ACA2" s="42"/>
      <c r="ACB2" s="42"/>
      <c r="ACC2" s="42"/>
      <c r="ACD2" s="42"/>
      <c r="ACE2" s="42"/>
      <c r="ACF2" s="42"/>
      <c r="ACG2" s="42"/>
      <c r="ACH2" s="42"/>
      <c r="ACI2" s="42"/>
      <c r="ACJ2" s="42"/>
      <c r="ACK2" s="42"/>
      <c r="ACL2" s="42"/>
      <c r="ACM2" s="42"/>
      <c r="ACN2" s="42"/>
      <c r="ACO2" s="42"/>
      <c r="ACP2" s="42"/>
      <c r="ACQ2" s="42"/>
      <c r="ACR2" s="42"/>
      <c r="ACS2" s="42"/>
      <c r="ACT2" s="42"/>
      <c r="ACU2" s="42"/>
      <c r="ACV2" s="42"/>
      <c r="ACW2" s="42"/>
      <c r="ACX2" s="42"/>
      <c r="ACY2" s="42"/>
      <c r="ACZ2" s="42"/>
      <c r="ADA2" s="42"/>
      <c r="ADB2" s="42"/>
      <c r="ADC2" s="42"/>
      <c r="ADD2" s="42"/>
      <c r="ADE2" s="42"/>
      <c r="ADF2" s="42"/>
      <c r="ADG2" s="42"/>
      <c r="ADH2" s="42"/>
      <c r="ADI2" s="42"/>
      <c r="ADJ2" s="42"/>
      <c r="ADK2" s="42"/>
      <c r="ADL2" s="42"/>
      <c r="ADM2" s="42"/>
      <c r="ADN2" s="42"/>
      <c r="ADO2" s="42"/>
      <c r="ADP2" s="42"/>
      <c r="ADQ2" s="42"/>
      <c r="ADR2" s="42"/>
      <c r="ADS2" s="42"/>
      <c r="ADT2" s="42"/>
      <c r="ADU2" s="42"/>
      <c r="ADV2" s="42"/>
      <c r="ADW2" s="42"/>
      <c r="ADX2" s="42"/>
      <c r="ADY2" s="42"/>
      <c r="ADZ2" s="42"/>
      <c r="AEA2" s="42"/>
      <c r="AEB2" s="42"/>
      <c r="AEC2" s="42"/>
      <c r="AED2" s="42"/>
      <c r="AEE2" s="42"/>
      <c r="AEF2" s="42"/>
      <c r="AEG2" s="42"/>
      <c r="AEH2" s="42"/>
      <c r="AEI2" s="42"/>
      <c r="AEJ2" s="42"/>
      <c r="AEK2" s="42"/>
      <c r="AEL2" s="42"/>
      <c r="AEM2" s="42"/>
      <c r="AEN2" s="42"/>
      <c r="AEO2" s="42"/>
      <c r="AEP2" s="42"/>
      <c r="AEQ2" s="42"/>
      <c r="AER2" s="42"/>
      <c r="AES2" s="42"/>
      <c r="AET2" s="42"/>
      <c r="AEU2" s="42"/>
      <c r="AEV2" s="42"/>
      <c r="AEW2" s="42"/>
      <c r="AEX2" s="42"/>
      <c r="AEY2" s="42"/>
      <c r="AEZ2" s="42"/>
      <c r="AFA2" s="42"/>
      <c r="AFB2" s="42"/>
      <c r="AFC2" s="42"/>
      <c r="AFD2" s="42"/>
      <c r="AFE2" s="42"/>
      <c r="AFF2" s="42"/>
      <c r="AFG2" s="42"/>
      <c r="AFH2" s="42"/>
      <c r="AFI2" s="42"/>
      <c r="AFJ2" s="42"/>
      <c r="AFK2" s="42"/>
      <c r="AFL2" s="42"/>
      <c r="AFM2" s="42"/>
      <c r="AFN2" s="42"/>
      <c r="AFO2" s="42"/>
      <c r="AFP2" s="42"/>
      <c r="AFQ2" s="42"/>
      <c r="AFR2" s="42"/>
      <c r="AFS2" s="42"/>
      <c r="AFT2" s="42"/>
      <c r="AFU2" s="42"/>
      <c r="AFV2" s="42"/>
      <c r="AFW2" s="42"/>
      <c r="AFX2" s="42"/>
      <c r="AFY2" s="42"/>
      <c r="AFZ2" s="42"/>
      <c r="AGA2" s="42"/>
      <c r="AGB2" s="42"/>
      <c r="AGC2" s="42"/>
      <c r="AGD2" s="42"/>
      <c r="AGE2" s="42"/>
      <c r="AGF2" s="42"/>
      <c r="AGG2" s="42"/>
      <c r="AGH2" s="42"/>
      <c r="AGI2" s="42"/>
      <c r="AGJ2" s="42"/>
      <c r="AGK2" s="42"/>
      <c r="AGL2" s="42"/>
      <c r="AGM2" s="42"/>
      <c r="AGN2" s="42"/>
      <c r="AGO2" s="42"/>
      <c r="AGP2" s="42"/>
      <c r="AGQ2" s="42"/>
      <c r="AGR2" s="42"/>
      <c r="AGS2" s="42"/>
      <c r="AGT2" s="42"/>
      <c r="AGU2" s="42"/>
      <c r="AGV2" s="42"/>
      <c r="AGW2" s="42"/>
      <c r="AGX2" s="42"/>
      <c r="AGY2" s="42"/>
      <c r="AGZ2" s="42"/>
      <c r="AHA2" s="42"/>
      <c r="AHB2" s="42"/>
      <c r="AHC2" s="42"/>
      <c r="AHD2" s="42"/>
      <c r="AHE2" s="42"/>
      <c r="AHF2" s="42"/>
      <c r="AHG2" s="42"/>
      <c r="AHH2" s="42"/>
      <c r="AHI2" s="42"/>
      <c r="AHJ2" s="42"/>
      <c r="AHK2" s="42"/>
      <c r="AHL2" s="42"/>
      <c r="AHM2" s="42"/>
      <c r="AHN2" s="42"/>
      <c r="AHO2" s="42"/>
      <c r="AHP2" s="42"/>
      <c r="AHQ2" s="42"/>
      <c r="AHR2" s="42"/>
      <c r="AHS2" s="42"/>
      <c r="AHT2" s="42"/>
      <c r="AHU2" s="42"/>
      <c r="AHV2" s="42"/>
      <c r="AHW2" s="42"/>
      <c r="AHX2" s="42"/>
      <c r="AHY2" s="42"/>
      <c r="AHZ2" s="42"/>
      <c r="AIA2" s="42"/>
      <c r="AIB2" s="42"/>
      <c r="AIC2" s="42"/>
      <c r="AID2" s="42"/>
      <c r="AIE2" s="42"/>
      <c r="AIF2" s="42"/>
      <c r="AIG2" s="42"/>
      <c r="AIH2" s="42"/>
      <c r="AII2" s="42"/>
      <c r="AIJ2" s="42"/>
      <c r="AIK2" s="42"/>
      <c r="AIL2" s="42"/>
      <c r="AIM2" s="42"/>
      <c r="AIN2" s="42"/>
      <c r="AIO2" s="42"/>
      <c r="AIP2" s="42"/>
      <c r="AIQ2" s="42"/>
      <c r="AIR2" s="42"/>
      <c r="AIS2" s="42"/>
      <c r="AIT2" s="42"/>
      <c r="AIU2" s="42"/>
      <c r="AIV2" s="42"/>
      <c r="AIW2" s="42"/>
      <c r="AIX2" s="42"/>
      <c r="AIY2" s="42"/>
      <c r="AIZ2" s="42"/>
      <c r="AJA2" s="42"/>
      <c r="AJB2" s="42"/>
      <c r="AJC2" s="42"/>
      <c r="AJD2" s="42"/>
      <c r="AJE2" s="42"/>
      <c r="AJF2" s="42"/>
      <c r="AJG2" s="42"/>
      <c r="AJH2" s="42"/>
      <c r="AJI2" s="42"/>
      <c r="AJJ2" s="42"/>
      <c r="AJK2" s="42"/>
      <c r="AJL2" s="42"/>
      <c r="AJM2" s="42"/>
      <c r="AJN2" s="42"/>
      <c r="AJO2" s="42"/>
      <c r="AJP2" s="42"/>
      <c r="AJQ2" s="42"/>
      <c r="AJR2" s="42"/>
      <c r="AJS2" s="42"/>
      <c r="AJT2" s="42"/>
      <c r="AJU2" s="42"/>
      <c r="AJV2" s="42"/>
      <c r="AJW2" s="42"/>
      <c r="AJX2" s="42"/>
      <c r="AJY2" s="42"/>
      <c r="AJZ2" s="42"/>
      <c r="AKA2" s="42"/>
      <c r="AKB2" s="42"/>
      <c r="AKC2" s="42"/>
      <c r="AKD2" s="42"/>
      <c r="AKE2" s="42"/>
      <c r="AKF2" s="42"/>
      <c r="AKG2" s="42"/>
      <c r="AKH2" s="42"/>
      <c r="AKI2" s="42"/>
      <c r="AKJ2" s="42"/>
      <c r="AKK2" s="42"/>
      <c r="AKL2" s="42"/>
      <c r="AKM2" s="42"/>
      <c r="AKN2" s="42"/>
      <c r="AKO2" s="42"/>
      <c r="AKP2" s="42"/>
      <c r="AKQ2" s="42"/>
      <c r="AKR2" s="42"/>
      <c r="AKS2" s="42"/>
      <c r="AKT2" s="42"/>
      <c r="AKU2" s="42"/>
      <c r="AKV2" s="42"/>
      <c r="AKW2" s="42"/>
      <c r="AKX2" s="42"/>
      <c r="AKY2" s="42"/>
      <c r="AKZ2" s="42"/>
      <c r="ALA2" s="42"/>
      <c r="ALB2" s="42"/>
      <c r="ALC2" s="42"/>
      <c r="ALD2" s="42"/>
      <c r="ALE2" s="42"/>
      <c r="ALF2" s="42"/>
      <c r="ALG2" s="42"/>
      <c r="ALH2" s="42"/>
      <c r="ALI2" s="42"/>
      <c r="ALJ2" s="42"/>
      <c r="ALK2" s="42"/>
      <c r="ALL2" s="42"/>
      <c r="ALM2" s="42"/>
      <c r="ALN2" s="42"/>
      <c r="ALO2" s="42"/>
      <c r="ALP2" s="42"/>
      <c r="ALQ2" s="42"/>
      <c r="ALR2" s="42"/>
      <c r="ALS2" s="42"/>
      <c r="ALT2" s="42"/>
      <c r="ALU2" s="42"/>
      <c r="ALV2" s="42"/>
      <c r="ALW2" s="42"/>
      <c r="ALX2" s="42"/>
      <c r="ALY2" s="42"/>
      <c r="ALZ2" s="42"/>
      <c r="AMA2" s="42"/>
      <c r="AMB2" s="42"/>
      <c r="AMC2" s="42"/>
      <c r="AMD2" s="42"/>
      <c r="AME2" s="42"/>
      <c r="AMF2" s="42"/>
      <c r="AMG2" s="42"/>
      <c r="AMH2" s="42"/>
      <c r="AMI2" s="42"/>
      <c r="AMJ2" s="42"/>
      <c r="AMK2" s="42"/>
      <c r="AML2" s="42"/>
      <c r="AMM2" s="42"/>
      <c r="AMN2" s="42"/>
      <c r="AMO2" s="42"/>
      <c r="AMP2" s="42"/>
      <c r="AMQ2" s="42"/>
      <c r="AMR2" s="42"/>
      <c r="AMS2" s="42"/>
      <c r="AMT2" s="42"/>
      <c r="AMU2" s="42"/>
      <c r="AMV2" s="42"/>
      <c r="AMW2" s="42"/>
      <c r="AMX2" s="42"/>
      <c r="AMY2" s="42"/>
      <c r="AMZ2" s="42"/>
      <c r="ANA2" s="42"/>
      <c r="ANB2" s="42"/>
      <c r="ANC2" s="42"/>
      <c r="AND2" s="42"/>
      <c r="ANE2" s="42"/>
      <c r="ANF2" s="42"/>
      <c r="ANG2" s="42"/>
      <c r="ANH2" s="42"/>
      <c r="ANI2" s="42"/>
      <c r="ANJ2" s="42"/>
      <c r="ANK2" s="42"/>
      <c r="ANL2" s="42"/>
      <c r="ANM2" s="42"/>
      <c r="ANN2" s="42"/>
      <c r="ANO2" s="42"/>
      <c r="ANP2" s="42"/>
      <c r="ANQ2" s="42"/>
      <c r="ANR2" s="42"/>
      <c r="ANS2" s="42"/>
      <c r="ANT2" s="42"/>
      <c r="ANU2" s="42"/>
      <c r="ANV2" s="42"/>
      <c r="ANW2" s="42"/>
      <c r="ANX2" s="42"/>
      <c r="ANY2" s="42"/>
      <c r="ANZ2" s="42"/>
      <c r="AOA2" s="42"/>
      <c r="AOB2" s="42"/>
      <c r="AOC2" s="42"/>
      <c r="AOD2" s="42"/>
      <c r="AOE2" s="42"/>
      <c r="AOF2" s="42"/>
      <c r="AOG2" s="42"/>
      <c r="AOH2" s="42"/>
      <c r="AOI2" s="42"/>
      <c r="AOJ2" s="42"/>
      <c r="AOK2" s="42"/>
      <c r="AOL2" s="42"/>
      <c r="AOM2" s="42"/>
      <c r="AON2" s="42"/>
      <c r="AOO2" s="42"/>
      <c r="AOP2" s="42"/>
      <c r="AOQ2" s="42"/>
      <c r="AOR2" s="42"/>
      <c r="AOS2" s="42"/>
      <c r="AOT2" s="42"/>
      <c r="AOU2" s="42"/>
      <c r="AOV2" s="42"/>
      <c r="AOW2" s="42"/>
      <c r="AOX2" s="42"/>
      <c r="AOY2" s="42"/>
      <c r="AOZ2" s="42"/>
      <c r="APA2" s="42"/>
      <c r="APB2" s="42"/>
      <c r="APC2" s="42"/>
      <c r="APD2" s="42"/>
      <c r="APE2" s="42"/>
      <c r="APF2" s="42"/>
      <c r="APG2" s="42"/>
      <c r="APH2" s="42"/>
      <c r="API2" s="42"/>
      <c r="APJ2" s="42"/>
      <c r="APK2" s="42"/>
      <c r="APL2" s="42"/>
      <c r="APM2" s="42"/>
      <c r="APN2" s="42"/>
      <c r="APO2" s="42"/>
      <c r="APP2" s="42"/>
      <c r="APQ2" s="42"/>
      <c r="APR2" s="42"/>
      <c r="APS2" s="42"/>
      <c r="APT2" s="42"/>
      <c r="APU2" s="42"/>
      <c r="APV2" s="42"/>
      <c r="APW2" s="42"/>
      <c r="APX2" s="42"/>
      <c r="APY2" s="42"/>
      <c r="APZ2" s="42"/>
      <c r="AQA2" s="42"/>
      <c r="AQB2" s="42"/>
      <c r="AQC2" s="42"/>
      <c r="AQD2" s="42"/>
      <c r="AQE2" s="42"/>
      <c r="AQF2" s="42"/>
      <c r="AQG2" s="42"/>
      <c r="AQH2" s="42"/>
      <c r="AQI2" s="42"/>
      <c r="AQJ2" s="42"/>
      <c r="AQK2" s="42"/>
      <c r="AQL2" s="42"/>
      <c r="AQM2" s="42"/>
      <c r="AQN2" s="42"/>
      <c r="AQO2" s="42"/>
      <c r="AQP2" s="42"/>
      <c r="AQQ2" s="42"/>
      <c r="AQR2" s="42"/>
      <c r="AQS2" s="42"/>
      <c r="AQT2" s="42"/>
      <c r="AQU2" s="42"/>
      <c r="AQV2" s="42"/>
      <c r="AQW2" s="42"/>
      <c r="AQX2" s="42"/>
      <c r="AQY2" s="42"/>
      <c r="AQZ2" s="42"/>
      <c r="ARA2" s="42"/>
      <c r="ARB2" s="42"/>
      <c r="ARC2" s="42"/>
      <c r="ARD2" s="42"/>
      <c r="ARE2" s="42"/>
      <c r="ARF2" s="42"/>
      <c r="ARG2" s="42"/>
      <c r="ARH2" s="42"/>
      <c r="ARI2" s="42"/>
      <c r="ARJ2" s="42"/>
      <c r="ARK2" s="42"/>
      <c r="ARL2" s="42"/>
      <c r="ARM2" s="42"/>
      <c r="ARN2" s="42"/>
      <c r="ARO2" s="42"/>
      <c r="ARP2" s="42"/>
      <c r="ARQ2" s="42"/>
      <c r="ARR2" s="42"/>
      <c r="ARS2" s="42"/>
      <c r="ART2" s="42"/>
      <c r="ARU2" s="42"/>
      <c r="ARV2" s="42"/>
      <c r="ARW2" s="42"/>
      <c r="ARX2" s="42"/>
      <c r="ARY2" s="42"/>
      <c r="ARZ2" s="42"/>
      <c r="ASA2" s="42"/>
      <c r="ASB2" s="42"/>
      <c r="ASC2" s="42"/>
      <c r="ASD2" s="42"/>
      <c r="ASE2" s="42"/>
      <c r="ASF2" s="42"/>
      <c r="ASG2" s="42"/>
      <c r="ASH2" s="42"/>
      <c r="ASI2" s="42"/>
      <c r="ASJ2" s="42"/>
      <c r="ASK2" s="42"/>
      <c r="ASL2" s="42"/>
      <c r="ASM2" s="42"/>
      <c r="ASN2" s="42"/>
      <c r="ASO2" s="42"/>
      <c r="ASP2" s="42"/>
      <c r="ASQ2" s="42"/>
      <c r="ASR2" s="42"/>
      <c r="ASS2" s="42"/>
      <c r="AST2" s="42"/>
      <c r="ASU2" s="42"/>
      <c r="ASV2" s="42"/>
      <c r="ASW2" s="42"/>
      <c r="ASX2" s="42"/>
      <c r="ASY2" s="42"/>
      <c r="ASZ2" s="42"/>
      <c r="ATA2" s="42"/>
      <c r="ATB2" s="42"/>
      <c r="ATC2" s="42"/>
      <c r="ATD2" s="42"/>
      <c r="ATE2" s="42"/>
      <c r="ATF2" s="42"/>
      <c r="ATG2" s="42"/>
      <c r="ATH2" s="42"/>
      <c r="ATI2" s="42"/>
      <c r="ATJ2" s="42"/>
      <c r="ATK2" s="42"/>
      <c r="ATL2" s="42"/>
      <c r="ATM2" s="42"/>
      <c r="ATN2" s="42"/>
      <c r="ATO2" s="42"/>
      <c r="ATP2" s="42"/>
      <c r="ATQ2" s="42"/>
      <c r="ATR2" s="42"/>
      <c r="ATS2" s="42"/>
      <c r="ATT2" s="42"/>
      <c r="ATU2" s="42"/>
      <c r="ATV2" s="42"/>
      <c r="ATW2" s="42"/>
      <c r="ATX2" s="42"/>
      <c r="ATY2" s="42"/>
      <c r="ATZ2" s="42"/>
      <c r="AUA2" s="42"/>
      <c r="AUB2" s="42"/>
      <c r="AUC2" s="42"/>
      <c r="AUD2" s="42"/>
      <c r="AUE2" s="42"/>
      <c r="AUF2" s="42"/>
      <c r="AUG2" s="42"/>
      <c r="AUH2" s="42"/>
      <c r="AUI2" s="42"/>
      <c r="AUJ2" s="42"/>
      <c r="AUK2" s="42"/>
      <c r="AUL2" s="42"/>
      <c r="AUM2" s="42"/>
      <c r="AUN2" s="42"/>
      <c r="AUO2" s="42"/>
      <c r="AUP2" s="42"/>
      <c r="AUQ2" s="42"/>
      <c r="AUR2" s="42"/>
      <c r="AUS2" s="42"/>
      <c r="AUT2" s="42"/>
      <c r="AUU2" s="42"/>
      <c r="AUV2" s="42"/>
      <c r="AUW2" s="42"/>
      <c r="AUX2" s="42"/>
      <c r="AUY2" s="42"/>
      <c r="AUZ2" s="42"/>
      <c r="AVA2" s="42"/>
      <c r="AVB2" s="42"/>
      <c r="AVC2" s="42"/>
      <c r="AVD2" s="42"/>
      <c r="AVE2" s="42"/>
      <c r="AVF2" s="42"/>
      <c r="AVG2" s="42"/>
      <c r="AVH2" s="42"/>
      <c r="AVI2" s="42"/>
      <c r="AVJ2" s="42"/>
      <c r="AVK2" s="42"/>
      <c r="AVL2" s="42"/>
      <c r="AVM2" s="42"/>
      <c r="AVN2" s="42"/>
      <c r="AVO2" s="42"/>
      <c r="AVP2" s="42"/>
      <c r="AVQ2" s="42"/>
      <c r="AVR2" s="42"/>
      <c r="AVS2" s="42"/>
      <c r="AVT2" s="42"/>
      <c r="AVU2" s="42"/>
      <c r="AVV2" s="42"/>
      <c r="AVW2" s="42"/>
      <c r="AVX2" s="42"/>
      <c r="AVY2" s="42"/>
      <c r="AVZ2" s="42"/>
      <c r="AWA2" s="42"/>
      <c r="AWB2" s="42"/>
      <c r="AWC2" s="42"/>
      <c r="AWD2" s="42"/>
      <c r="AWE2" s="42"/>
      <c r="AWF2" s="42"/>
      <c r="AWG2" s="42"/>
      <c r="AWH2" s="42"/>
      <c r="AWI2" s="42"/>
      <c r="AWJ2" s="42"/>
      <c r="AWK2" s="42"/>
      <c r="AWL2" s="42"/>
      <c r="AWM2" s="42"/>
      <c r="AWN2" s="42"/>
      <c r="AWO2" s="42"/>
      <c r="AWP2" s="42"/>
      <c r="AWQ2" s="42"/>
      <c r="AWR2" s="42"/>
      <c r="AWS2" s="42"/>
      <c r="AWT2" s="42"/>
      <c r="AWU2" s="42"/>
      <c r="AWV2" s="42"/>
      <c r="AWW2" s="42"/>
      <c r="AWX2" s="42"/>
      <c r="AWY2" s="42"/>
      <c r="AWZ2" s="42"/>
      <c r="AXA2" s="42"/>
      <c r="AXB2" s="42"/>
      <c r="AXC2" s="42"/>
      <c r="AXD2" s="42"/>
      <c r="AXE2" s="42"/>
      <c r="AXF2" s="42"/>
      <c r="AXG2" s="42"/>
      <c r="AXH2" s="42"/>
      <c r="AXI2" s="42"/>
      <c r="AXJ2" s="42"/>
      <c r="AXK2" s="42"/>
      <c r="AXL2" s="42"/>
      <c r="AXM2" s="42"/>
      <c r="AXN2" s="42"/>
      <c r="AXO2" s="42"/>
      <c r="AXP2" s="42"/>
      <c r="AXQ2" s="42"/>
      <c r="AXR2" s="42"/>
      <c r="AXS2" s="42"/>
      <c r="AXT2" s="42"/>
      <c r="AXU2" s="42"/>
      <c r="AXV2" s="42"/>
      <c r="AXW2" s="42"/>
      <c r="AXX2" s="42"/>
      <c r="AXY2" s="42"/>
      <c r="AXZ2" s="42"/>
      <c r="AYA2" s="42"/>
      <c r="AYB2" s="42"/>
      <c r="AYC2" s="42"/>
      <c r="AYD2" s="42"/>
      <c r="AYE2" s="42"/>
      <c r="AYF2" s="42"/>
      <c r="AYG2" s="42"/>
      <c r="AYH2" s="42"/>
      <c r="AYI2" s="42"/>
      <c r="AYJ2" s="42"/>
      <c r="AYK2" s="42"/>
      <c r="AYL2" s="42"/>
      <c r="AYM2" s="42"/>
      <c r="AYN2" s="42"/>
      <c r="AYO2" s="42"/>
      <c r="AYP2" s="42"/>
      <c r="AYQ2" s="42"/>
      <c r="AYR2" s="42"/>
      <c r="AYS2" s="42"/>
      <c r="AYT2" s="42"/>
      <c r="AYU2" s="42"/>
      <c r="AYV2" s="42"/>
      <c r="AYW2" s="42"/>
      <c r="AYX2" s="42"/>
      <c r="AYY2" s="42"/>
      <c r="AYZ2" s="42"/>
      <c r="AZA2" s="42"/>
      <c r="AZB2" s="42"/>
      <c r="AZC2" s="42"/>
      <c r="AZD2" s="42"/>
      <c r="AZE2" s="42"/>
      <c r="AZF2" s="42"/>
      <c r="AZG2" s="42"/>
      <c r="AZH2" s="42"/>
      <c r="AZI2" s="42"/>
      <c r="AZJ2" s="42"/>
      <c r="AZK2" s="42"/>
      <c r="AZL2" s="42"/>
      <c r="AZM2" s="42"/>
      <c r="AZN2" s="42"/>
      <c r="AZO2" s="42"/>
      <c r="AZP2" s="42"/>
      <c r="AZQ2" s="42"/>
      <c r="AZR2" s="42"/>
      <c r="AZS2" s="42"/>
      <c r="AZT2" s="42"/>
      <c r="AZU2" s="42"/>
      <c r="AZV2" s="42"/>
      <c r="AZW2" s="42"/>
      <c r="AZX2" s="42"/>
      <c r="AZY2" s="42"/>
      <c r="AZZ2" s="42"/>
      <c r="BAA2" s="42"/>
      <c r="BAB2" s="42"/>
      <c r="BAC2" s="42"/>
      <c r="BAD2" s="42"/>
      <c r="BAE2" s="42"/>
      <c r="BAF2" s="42"/>
      <c r="BAG2" s="42"/>
      <c r="BAH2" s="42"/>
      <c r="BAI2" s="42"/>
      <c r="BAJ2" s="42"/>
      <c r="BAK2" s="42"/>
      <c r="BAL2" s="42"/>
      <c r="BAM2" s="42"/>
      <c r="BAN2" s="42"/>
      <c r="BAO2" s="42"/>
      <c r="BAP2" s="42"/>
      <c r="BAQ2" s="42"/>
      <c r="BAR2" s="42"/>
      <c r="BAS2" s="42"/>
      <c r="BAT2" s="42"/>
      <c r="BAU2" s="42"/>
      <c r="BAV2" s="42"/>
      <c r="BAW2" s="42"/>
      <c r="BAX2" s="42"/>
      <c r="BAY2" s="42"/>
      <c r="BAZ2" s="42"/>
      <c r="BBA2" s="42"/>
      <c r="BBB2" s="42"/>
      <c r="BBC2" s="42"/>
      <c r="BBD2" s="42"/>
      <c r="BBE2" s="42"/>
      <c r="BBF2" s="42"/>
      <c r="BBG2" s="42"/>
      <c r="BBH2" s="42"/>
      <c r="BBI2" s="42"/>
      <c r="BBJ2" s="42"/>
      <c r="BBK2" s="42"/>
      <c r="BBL2" s="42"/>
      <c r="BBM2" s="42"/>
      <c r="BBN2" s="42"/>
      <c r="BBO2" s="42"/>
      <c r="BBP2" s="42"/>
      <c r="BBQ2" s="42"/>
      <c r="BBR2" s="42"/>
      <c r="BBS2" s="42"/>
      <c r="BBT2" s="42"/>
      <c r="BBU2" s="42"/>
      <c r="BBV2" s="42"/>
      <c r="BBW2" s="42"/>
      <c r="BBX2" s="42"/>
      <c r="BBY2" s="42"/>
      <c r="BBZ2" s="42"/>
      <c r="BCA2" s="42"/>
      <c r="BCB2" s="42"/>
      <c r="BCC2" s="42"/>
      <c r="BCD2" s="42"/>
      <c r="BCE2" s="42"/>
      <c r="BCF2" s="42"/>
      <c r="BCG2" s="42"/>
      <c r="BCH2" s="42"/>
      <c r="BCI2" s="42"/>
      <c r="BCJ2" s="42"/>
      <c r="BCK2" s="42"/>
      <c r="BCL2" s="42"/>
      <c r="BCM2" s="42"/>
      <c r="BCN2" s="42"/>
      <c r="BCO2" s="42"/>
      <c r="BCP2" s="42"/>
      <c r="BCQ2" s="42"/>
      <c r="BCR2" s="42"/>
      <c r="BCS2" s="42"/>
      <c r="BCT2" s="42"/>
      <c r="BCU2" s="42"/>
      <c r="BCV2" s="42"/>
      <c r="BCW2" s="42"/>
      <c r="BCX2" s="42"/>
      <c r="BCY2" s="42"/>
      <c r="BCZ2" s="42"/>
      <c r="BDA2" s="42"/>
      <c r="BDB2" s="42"/>
      <c r="BDC2" s="42"/>
      <c r="BDD2" s="42"/>
      <c r="BDE2" s="42"/>
      <c r="BDF2" s="42"/>
      <c r="BDG2" s="42"/>
      <c r="BDH2" s="42"/>
      <c r="BDI2" s="42"/>
      <c r="BDJ2" s="42"/>
      <c r="BDK2" s="42"/>
      <c r="BDL2" s="42"/>
      <c r="BDM2" s="42"/>
      <c r="BDN2" s="42"/>
      <c r="BDO2" s="42"/>
      <c r="BDP2" s="42"/>
      <c r="BDQ2" s="42"/>
      <c r="BDR2" s="42"/>
      <c r="BDS2" s="42"/>
      <c r="BDT2" s="42"/>
      <c r="BDU2" s="42"/>
      <c r="BDV2" s="42"/>
      <c r="BDW2" s="42"/>
      <c r="BDX2" s="42"/>
      <c r="BDY2" s="42"/>
      <c r="BDZ2" s="42"/>
      <c r="BEA2" s="42"/>
      <c r="BEB2" s="42"/>
      <c r="BEC2" s="42"/>
      <c r="BED2" s="42"/>
      <c r="BEE2" s="42"/>
      <c r="BEF2" s="42"/>
      <c r="BEG2" s="42"/>
      <c r="BEH2" s="42"/>
      <c r="BEI2" s="42"/>
      <c r="BEJ2" s="42"/>
      <c r="BEK2" s="42"/>
      <c r="BEL2" s="42"/>
      <c r="BEM2" s="42"/>
      <c r="BEN2" s="42"/>
      <c r="BEO2" s="42"/>
      <c r="BEP2" s="42"/>
      <c r="BEQ2" s="42"/>
      <c r="BER2" s="42"/>
      <c r="BES2" s="42"/>
      <c r="BET2" s="42"/>
      <c r="BEU2" s="42"/>
      <c r="BEV2" s="42"/>
      <c r="BEW2" s="42"/>
      <c r="BEX2" s="42"/>
      <c r="BEY2" s="42"/>
      <c r="BEZ2" s="42"/>
      <c r="BFA2" s="42"/>
      <c r="BFB2" s="42"/>
      <c r="BFC2" s="42"/>
      <c r="BFD2" s="42"/>
      <c r="BFE2" s="42"/>
      <c r="BFF2" s="42"/>
      <c r="BFG2" s="42"/>
      <c r="BFH2" s="42"/>
      <c r="BFI2" s="42"/>
      <c r="BFJ2" s="42"/>
      <c r="BFK2" s="42"/>
      <c r="BFL2" s="42"/>
      <c r="BFM2" s="42"/>
      <c r="BFN2" s="42"/>
      <c r="BFO2" s="42"/>
      <c r="BFP2" s="42"/>
      <c r="BFQ2" s="42"/>
      <c r="BFR2" s="42"/>
      <c r="BFS2" s="42"/>
      <c r="BFT2" s="42"/>
      <c r="BFU2" s="42"/>
      <c r="BFV2" s="42"/>
      <c r="BFW2" s="42"/>
      <c r="BFX2" s="42"/>
      <c r="BFY2" s="42"/>
      <c r="BFZ2" s="42"/>
      <c r="BGA2" s="42"/>
      <c r="BGB2" s="42"/>
      <c r="BGC2" s="42"/>
      <c r="BGD2" s="42"/>
      <c r="BGE2" s="42"/>
      <c r="BGF2" s="42"/>
      <c r="BGG2" s="42"/>
      <c r="BGH2" s="42"/>
      <c r="BGI2" s="42"/>
      <c r="BGJ2" s="42"/>
      <c r="BGK2" s="42"/>
      <c r="BGL2" s="42"/>
      <c r="BGM2" s="42"/>
      <c r="BGN2" s="42"/>
      <c r="BGO2" s="42"/>
      <c r="BGP2" s="42"/>
      <c r="BGQ2" s="42"/>
      <c r="BGR2" s="42"/>
      <c r="BGS2" s="42"/>
      <c r="BGT2" s="42"/>
      <c r="BGU2" s="42"/>
      <c r="BGV2" s="42"/>
      <c r="BGW2" s="42"/>
      <c r="BGX2" s="42"/>
      <c r="BGY2" s="42"/>
      <c r="BGZ2" s="42"/>
      <c r="BHA2" s="42"/>
      <c r="BHB2" s="42"/>
      <c r="BHC2" s="42"/>
      <c r="BHD2" s="42"/>
      <c r="BHE2" s="42"/>
      <c r="BHF2" s="42"/>
      <c r="BHG2" s="42"/>
      <c r="BHH2" s="42"/>
      <c r="BHI2" s="42"/>
      <c r="BHJ2" s="42"/>
      <c r="BHK2" s="42"/>
      <c r="BHL2" s="42"/>
      <c r="BHM2" s="42"/>
      <c r="BHN2" s="42"/>
      <c r="BHO2" s="42"/>
      <c r="BHP2" s="42"/>
      <c r="BHQ2" s="42"/>
      <c r="BHR2" s="42"/>
      <c r="BHS2" s="42"/>
      <c r="BHT2" s="42"/>
      <c r="BHU2" s="42"/>
      <c r="BHV2" s="42"/>
      <c r="BHW2" s="42"/>
      <c r="BHX2" s="42"/>
      <c r="BHY2" s="42"/>
      <c r="BHZ2" s="42"/>
      <c r="BIA2" s="42"/>
      <c r="BIB2" s="42"/>
      <c r="BIC2" s="42"/>
      <c r="BID2" s="42"/>
      <c r="BIE2" s="42"/>
      <c r="BIF2" s="42"/>
      <c r="BIG2" s="42"/>
      <c r="BIH2" s="42"/>
      <c r="BII2" s="42"/>
      <c r="BIJ2" s="42"/>
      <c r="BIK2" s="42"/>
      <c r="BIL2" s="42"/>
      <c r="BIM2" s="42"/>
      <c r="BIN2" s="42"/>
      <c r="BIO2" s="42"/>
      <c r="BIP2" s="42"/>
      <c r="BIQ2" s="42"/>
      <c r="BIR2" s="42"/>
      <c r="BIS2" s="42"/>
      <c r="BIT2" s="42"/>
      <c r="BIU2" s="42"/>
      <c r="BIV2" s="42"/>
      <c r="BIW2" s="42"/>
      <c r="BIX2" s="42"/>
      <c r="BIY2" s="42"/>
      <c r="BIZ2" s="42"/>
      <c r="BJA2" s="42"/>
      <c r="BJB2" s="42"/>
      <c r="BJC2" s="42"/>
      <c r="BJD2" s="42"/>
      <c r="BJE2" s="42"/>
      <c r="BJF2" s="42"/>
      <c r="BJG2" s="42"/>
      <c r="BJH2" s="42"/>
      <c r="BJI2" s="42"/>
      <c r="BJJ2" s="42"/>
      <c r="BJK2" s="42"/>
      <c r="BJL2" s="42"/>
      <c r="BJM2" s="42"/>
      <c r="BJN2" s="42"/>
      <c r="BJO2" s="42"/>
      <c r="BJP2" s="42"/>
      <c r="BJQ2" s="42"/>
      <c r="BJR2" s="42"/>
      <c r="BJS2" s="42"/>
      <c r="BJT2" s="42"/>
      <c r="BJU2" s="42"/>
      <c r="BJV2" s="42"/>
      <c r="BJW2" s="42"/>
      <c r="BJX2" s="42"/>
      <c r="BJY2" s="42"/>
      <c r="BJZ2" s="42"/>
      <c r="BKA2" s="42"/>
      <c r="BKB2" s="42"/>
      <c r="BKC2" s="42"/>
      <c r="BKD2" s="42"/>
      <c r="BKE2" s="42"/>
      <c r="BKF2" s="42"/>
      <c r="BKG2" s="42"/>
      <c r="BKH2" s="42"/>
      <c r="BKI2" s="42"/>
      <c r="BKJ2" s="42"/>
      <c r="BKK2" s="42"/>
      <c r="BKL2" s="42"/>
      <c r="BKM2" s="42"/>
      <c r="BKN2" s="42"/>
      <c r="BKO2" s="42"/>
      <c r="BKP2" s="42"/>
      <c r="BKQ2" s="42"/>
      <c r="BKR2" s="42"/>
      <c r="BKS2" s="42"/>
      <c r="BKT2" s="42"/>
      <c r="BKU2" s="42"/>
      <c r="BKV2" s="42"/>
      <c r="BKW2" s="42"/>
      <c r="BKX2" s="42"/>
      <c r="BKY2" s="42"/>
      <c r="BKZ2" s="42"/>
      <c r="BLA2" s="42"/>
      <c r="BLB2" s="42"/>
      <c r="BLC2" s="42"/>
      <c r="BLD2" s="42"/>
      <c r="BLE2" s="42"/>
      <c r="BLF2" s="42"/>
      <c r="BLG2" s="42"/>
      <c r="BLH2" s="42"/>
      <c r="BLI2" s="42"/>
      <c r="BLJ2" s="42"/>
      <c r="BLK2" s="42"/>
      <c r="BLL2" s="42"/>
      <c r="BLM2" s="42"/>
      <c r="BLN2" s="42"/>
      <c r="BLO2" s="42"/>
      <c r="BLP2" s="42"/>
      <c r="BLQ2" s="42"/>
      <c r="BLR2" s="42"/>
      <c r="BLS2" s="42"/>
      <c r="BLT2" s="42"/>
      <c r="BLU2" s="42"/>
      <c r="BLV2" s="42"/>
      <c r="BLW2" s="42"/>
      <c r="BLX2" s="42"/>
      <c r="BLY2" s="42"/>
      <c r="BLZ2" s="42"/>
      <c r="BMA2" s="42"/>
      <c r="BMB2" s="42"/>
      <c r="BMC2" s="42"/>
      <c r="BMD2" s="42"/>
      <c r="BME2" s="42"/>
      <c r="BMF2" s="42"/>
      <c r="BMG2" s="42"/>
      <c r="BMH2" s="42"/>
      <c r="BMI2" s="42"/>
      <c r="BMJ2" s="42"/>
      <c r="BMK2" s="42"/>
      <c r="BML2" s="42"/>
      <c r="BMM2" s="42"/>
      <c r="BMN2" s="42"/>
      <c r="BMO2" s="42"/>
      <c r="BMP2" s="42"/>
      <c r="BMQ2" s="42"/>
      <c r="BMR2" s="42"/>
      <c r="BMS2" s="42"/>
      <c r="BMT2" s="42"/>
      <c r="BMU2" s="42"/>
      <c r="BMV2" s="42"/>
      <c r="BMW2" s="42"/>
      <c r="BMX2" s="42"/>
      <c r="BMY2" s="42"/>
      <c r="BMZ2" s="42"/>
      <c r="BNA2" s="42"/>
      <c r="BNB2" s="42"/>
      <c r="BNC2" s="42"/>
      <c r="BND2" s="42"/>
      <c r="BNE2" s="42"/>
      <c r="BNF2" s="42"/>
      <c r="BNG2" s="42"/>
      <c r="BNH2" s="42"/>
      <c r="BNI2" s="42"/>
      <c r="BNJ2" s="42"/>
      <c r="BNK2" s="42"/>
      <c r="BNL2" s="42"/>
      <c r="BNM2" s="42"/>
      <c r="BNN2" s="42"/>
      <c r="BNO2" s="42"/>
      <c r="BNP2" s="42"/>
      <c r="BNQ2" s="42"/>
      <c r="BNR2" s="42"/>
      <c r="BNS2" s="42"/>
      <c r="BNT2" s="42"/>
      <c r="BNU2" s="42"/>
      <c r="BNV2" s="42"/>
      <c r="BNW2" s="42"/>
      <c r="BNX2" s="42"/>
      <c r="BNY2" s="42"/>
      <c r="BNZ2" s="42"/>
      <c r="BOA2" s="42"/>
      <c r="BOB2" s="42"/>
      <c r="BOC2" s="42"/>
      <c r="BOD2" s="42"/>
      <c r="BOE2" s="42"/>
      <c r="BOF2" s="42"/>
      <c r="BOG2" s="42"/>
      <c r="BOH2" s="42"/>
      <c r="BOI2" s="42"/>
      <c r="BOJ2" s="42"/>
      <c r="BOK2" s="42"/>
      <c r="BOL2" s="42"/>
      <c r="BOM2" s="42"/>
      <c r="BON2" s="42"/>
      <c r="BOO2" s="42"/>
      <c r="BOP2" s="42"/>
      <c r="BOQ2" s="42"/>
      <c r="BOR2" s="42"/>
      <c r="BOS2" s="42"/>
      <c r="BOT2" s="42"/>
      <c r="BOU2" s="42"/>
      <c r="BOV2" s="42"/>
      <c r="BOW2" s="42"/>
      <c r="BOX2" s="42"/>
      <c r="BOY2" s="42"/>
      <c r="BOZ2" s="42"/>
      <c r="BPA2" s="42"/>
      <c r="BPB2" s="42"/>
      <c r="BPC2" s="42"/>
      <c r="BPD2" s="42"/>
      <c r="BPE2" s="42"/>
      <c r="BPF2" s="42"/>
      <c r="BPG2" s="42"/>
      <c r="BPH2" s="42"/>
      <c r="BPI2" s="42"/>
      <c r="BPJ2" s="42"/>
      <c r="BPK2" s="42"/>
      <c r="BPL2" s="42"/>
      <c r="BPM2" s="42"/>
      <c r="BPN2" s="42"/>
      <c r="BPO2" s="42"/>
      <c r="BPP2" s="42"/>
      <c r="BPQ2" s="42"/>
      <c r="BPR2" s="42"/>
      <c r="BPS2" s="42"/>
      <c r="BPT2" s="42"/>
      <c r="BPU2" s="42"/>
      <c r="BPV2" s="42"/>
      <c r="BPW2" s="42"/>
      <c r="BPX2" s="42"/>
      <c r="BPY2" s="42"/>
      <c r="BPZ2" s="42"/>
      <c r="BQA2" s="42"/>
      <c r="BQB2" s="42"/>
      <c r="BQC2" s="42"/>
      <c r="BQD2" s="42"/>
      <c r="BQE2" s="42"/>
      <c r="BQF2" s="42"/>
      <c r="BQG2" s="42"/>
      <c r="BQH2" s="42"/>
      <c r="BQI2" s="42"/>
      <c r="BQJ2" s="42"/>
      <c r="BQK2" s="42"/>
      <c r="BQL2" s="42"/>
      <c r="BQM2" s="42"/>
      <c r="BQN2" s="42"/>
      <c r="BQO2" s="42"/>
      <c r="BQP2" s="42"/>
      <c r="BQQ2" s="42"/>
      <c r="BQR2" s="42"/>
      <c r="BQS2" s="42"/>
      <c r="BQT2" s="42"/>
      <c r="BQU2" s="42"/>
      <c r="BQV2" s="42"/>
      <c r="BQW2" s="42"/>
      <c r="BQX2" s="42"/>
      <c r="BQY2" s="42"/>
      <c r="BQZ2" s="42"/>
      <c r="BRA2" s="42"/>
      <c r="BRB2" s="42"/>
      <c r="BRC2" s="42"/>
      <c r="BRD2" s="42"/>
      <c r="BRE2" s="42"/>
      <c r="BRF2" s="42"/>
      <c r="BRG2" s="42"/>
      <c r="BRH2" s="42"/>
      <c r="BRI2" s="42"/>
      <c r="BRJ2" s="42"/>
      <c r="BRK2" s="42"/>
      <c r="BRL2" s="42"/>
      <c r="BRM2" s="42"/>
      <c r="BRN2" s="42"/>
      <c r="BRO2" s="42"/>
      <c r="BRP2" s="42"/>
      <c r="BRQ2" s="42"/>
      <c r="BRR2" s="42"/>
      <c r="BRS2" s="42"/>
      <c r="BRT2" s="42"/>
      <c r="BRU2" s="42"/>
      <c r="BRV2" s="42"/>
      <c r="BRW2" s="42"/>
      <c r="BRX2" s="42"/>
      <c r="BRY2" s="42"/>
      <c r="BRZ2" s="42"/>
      <c r="BSA2" s="42"/>
      <c r="BSB2" s="42"/>
      <c r="BSC2" s="42"/>
      <c r="BSD2" s="42"/>
      <c r="BSE2" s="42"/>
      <c r="BSF2" s="42"/>
      <c r="BSG2" s="42"/>
      <c r="BSH2" s="42"/>
      <c r="BSI2" s="42"/>
      <c r="BSJ2" s="42"/>
      <c r="BSK2" s="42"/>
      <c r="BSL2" s="42"/>
      <c r="BSM2" s="42"/>
      <c r="BSN2" s="42"/>
      <c r="BSO2" s="42"/>
      <c r="BSP2" s="42"/>
      <c r="BSQ2" s="42"/>
      <c r="BSR2" s="42"/>
      <c r="BSS2" s="42"/>
      <c r="BST2" s="42"/>
      <c r="BSU2" s="42"/>
      <c r="BSV2" s="42"/>
      <c r="BSW2" s="42"/>
      <c r="BSX2" s="42"/>
      <c r="BSY2" s="42"/>
      <c r="BSZ2" s="42"/>
      <c r="BTA2" s="42"/>
      <c r="BTB2" s="42"/>
      <c r="BTC2" s="42"/>
      <c r="BTD2" s="42"/>
      <c r="BTE2" s="42"/>
      <c r="BTF2" s="42"/>
      <c r="BTG2" s="42"/>
      <c r="BTH2" s="42"/>
      <c r="BTI2" s="42"/>
      <c r="BTJ2" s="42"/>
      <c r="BTK2" s="42"/>
      <c r="BTL2" s="42"/>
      <c r="BTM2" s="42"/>
      <c r="BTN2" s="42"/>
      <c r="BTO2" s="42"/>
      <c r="BTP2" s="42"/>
      <c r="BTQ2" s="42"/>
      <c r="BTR2" s="42"/>
      <c r="BTS2" s="42"/>
      <c r="BTT2" s="42"/>
      <c r="BTU2" s="42"/>
      <c r="BTV2" s="42"/>
      <c r="BTW2" s="42"/>
      <c r="BTX2" s="42"/>
      <c r="BTY2" s="42"/>
      <c r="BTZ2" s="42"/>
      <c r="BUA2" s="42"/>
      <c r="BUB2" s="42"/>
      <c r="BUC2" s="42"/>
      <c r="BUD2" s="42"/>
      <c r="BUE2" s="42"/>
      <c r="BUF2" s="42"/>
      <c r="BUG2" s="42"/>
      <c r="BUH2" s="42"/>
      <c r="BUI2" s="42"/>
      <c r="BUJ2" s="42"/>
      <c r="BUK2" s="42"/>
      <c r="BUL2" s="42"/>
      <c r="BUM2" s="42"/>
      <c r="BUN2" s="42"/>
      <c r="BUO2" s="42"/>
      <c r="BUP2" s="42"/>
      <c r="BUQ2" s="42"/>
      <c r="BUR2" s="42"/>
      <c r="BUS2" s="42"/>
      <c r="BUT2" s="42"/>
      <c r="BUU2" s="42"/>
      <c r="BUV2" s="42"/>
      <c r="BUW2" s="42"/>
      <c r="BUX2" s="42"/>
      <c r="BUY2" s="42"/>
      <c r="BUZ2" s="42"/>
      <c r="BVA2" s="42"/>
      <c r="BVB2" s="42"/>
      <c r="BVC2" s="42"/>
      <c r="BVD2" s="42"/>
      <c r="BVE2" s="42"/>
      <c r="BVF2" s="42"/>
      <c r="BVG2" s="42"/>
      <c r="BVH2" s="42"/>
      <c r="BVI2" s="42"/>
      <c r="BVJ2" s="42"/>
      <c r="BVK2" s="42"/>
      <c r="BVL2" s="42"/>
      <c r="BVM2" s="42"/>
      <c r="BVN2" s="42"/>
      <c r="BVO2" s="42"/>
      <c r="BVP2" s="42"/>
      <c r="BVQ2" s="42"/>
      <c r="BVR2" s="42"/>
      <c r="BVS2" s="42"/>
      <c r="BVT2" s="42"/>
      <c r="BVU2" s="42"/>
      <c r="BVV2" s="42"/>
      <c r="BVW2" s="42"/>
      <c r="BVX2" s="42"/>
      <c r="BVY2" s="42"/>
      <c r="BVZ2" s="42"/>
      <c r="BWA2" s="42"/>
      <c r="BWB2" s="42"/>
      <c r="BWC2" s="42"/>
      <c r="BWD2" s="42"/>
      <c r="BWE2" s="42"/>
      <c r="BWF2" s="42"/>
      <c r="BWG2" s="42"/>
      <c r="BWH2" s="42"/>
      <c r="BWI2" s="42"/>
      <c r="BWJ2" s="42"/>
      <c r="BWK2" s="42"/>
      <c r="BWL2" s="42"/>
      <c r="BWM2" s="42"/>
      <c r="BWN2" s="42"/>
      <c r="BWO2" s="42"/>
      <c r="BWP2" s="42"/>
      <c r="BWQ2" s="42"/>
      <c r="BWR2" s="42"/>
      <c r="BWS2" s="42"/>
      <c r="BWT2" s="42"/>
      <c r="BWU2" s="42"/>
      <c r="BWV2" s="42"/>
      <c r="BWW2" s="42"/>
      <c r="BWX2" s="42"/>
      <c r="BWY2" s="42"/>
      <c r="BWZ2" s="42"/>
      <c r="BXA2" s="42"/>
      <c r="BXB2" s="42"/>
      <c r="BXC2" s="42"/>
      <c r="BXD2" s="42"/>
      <c r="BXE2" s="42"/>
      <c r="BXF2" s="42"/>
      <c r="BXG2" s="42"/>
      <c r="BXH2" s="42"/>
      <c r="BXI2" s="42"/>
      <c r="BXJ2" s="42"/>
      <c r="BXK2" s="42"/>
      <c r="BXL2" s="42"/>
      <c r="BXM2" s="42"/>
      <c r="BXN2" s="42"/>
      <c r="BXO2" s="42"/>
      <c r="BXP2" s="42"/>
      <c r="BXQ2" s="42"/>
      <c r="BXR2" s="42"/>
      <c r="BXS2" s="42"/>
      <c r="BXT2" s="42"/>
      <c r="BXU2" s="42"/>
      <c r="BXV2" s="42"/>
      <c r="BXW2" s="42"/>
      <c r="BXX2" s="42"/>
      <c r="BXY2" s="42"/>
      <c r="BXZ2" s="42"/>
      <c r="BYA2" s="42"/>
      <c r="BYB2" s="42"/>
      <c r="BYC2" s="42"/>
      <c r="BYD2" s="42"/>
      <c r="BYE2" s="42"/>
      <c r="BYF2" s="42"/>
      <c r="BYG2" s="42"/>
      <c r="BYH2" s="42"/>
      <c r="BYI2" s="42"/>
      <c r="BYJ2" s="42"/>
      <c r="BYK2" s="42"/>
      <c r="BYL2" s="42"/>
      <c r="BYM2" s="42"/>
      <c r="BYN2" s="42"/>
      <c r="BYO2" s="42"/>
      <c r="BYP2" s="42"/>
      <c r="BYQ2" s="42"/>
      <c r="BYR2" s="42"/>
      <c r="BYS2" s="42"/>
      <c r="BYT2" s="42"/>
      <c r="BYU2" s="42"/>
      <c r="BYV2" s="42"/>
      <c r="BYW2" s="42"/>
      <c r="BYX2" s="42"/>
      <c r="BYY2" s="42"/>
      <c r="BYZ2" s="42"/>
      <c r="BZA2" s="42"/>
      <c r="BZB2" s="42"/>
      <c r="BZC2" s="42"/>
      <c r="BZD2" s="42"/>
      <c r="BZE2" s="42"/>
      <c r="BZF2" s="42"/>
      <c r="BZG2" s="42"/>
      <c r="BZH2" s="42"/>
      <c r="BZI2" s="42"/>
      <c r="BZJ2" s="42"/>
      <c r="BZK2" s="42"/>
      <c r="BZL2" s="42"/>
      <c r="BZM2" s="42"/>
      <c r="BZN2" s="42"/>
      <c r="BZO2" s="42"/>
      <c r="BZP2" s="42"/>
      <c r="BZQ2" s="42"/>
      <c r="BZR2" s="42"/>
      <c r="BZS2" s="42"/>
      <c r="BZT2" s="42"/>
      <c r="BZU2" s="42"/>
      <c r="BZV2" s="42"/>
      <c r="BZW2" s="42"/>
      <c r="BZX2" s="42"/>
      <c r="BZY2" s="42"/>
      <c r="BZZ2" s="42"/>
      <c r="CAA2" s="42"/>
      <c r="CAB2" s="42"/>
      <c r="CAC2" s="42"/>
      <c r="CAD2" s="42"/>
      <c r="CAE2" s="42"/>
      <c r="CAF2" s="42"/>
      <c r="CAG2" s="42"/>
      <c r="CAH2" s="42"/>
      <c r="CAI2" s="42"/>
      <c r="CAJ2" s="42"/>
      <c r="CAK2" s="42"/>
      <c r="CAL2" s="42"/>
      <c r="CAM2" s="42"/>
      <c r="CAN2" s="42"/>
      <c r="CAO2" s="42"/>
      <c r="CAP2" s="42"/>
      <c r="CAQ2" s="42"/>
      <c r="CAR2" s="42"/>
      <c r="CAS2" s="42"/>
      <c r="CAT2" s="42"/>
      <c r="CAU2" s="42"/>
      <c r="CAV2" s="42"/>
      <c r="CAW2" s="42"/>
      <c r="CAX2" s="42"/>
      <c r="CAY2" s="42"/>
      <c r="CAZ2" s="42"/>
      <c r="CBA2" s="42"/>
      <c r="CBB2" s="42"/>
      <c r="CBC2" s="42"/>
      <c r="CBD2" s="42"/>
      <c r="CBE2" s="42"/>
      <c r="CBF2" s="42"/>
      <c r="CBG2" s="42"/>
      <c r="CBH2" s="42"/>
      <c r="CBI2" s="42"/>
      <c r="CBJ2" s="42"/>
      <c r="CBK2" s="42"/>
      <c r="CBL2" s="42"/>
      <c r="CBM2" s="42"/>
      <c r="CBN2" s="42"/>
      <c r="CBO2" s="42"/>
      <c r="CBP2" s="42"/>
      <c r="CBQ2" s="42"/>
      <c r="CBR2" s="42"/>
      <c r="CBS2" s="42"/>
      <c r="CBT2" s="42"/>
      <c r="CBU2" s="42"/>
      <c r="CBV2" s="42"/>
      <c r="CBW2" s="42"/>
      <c r="CBX2" s="42"/>
      <c r="CBY2" s="42"/>
      <c r="CBZ2" s="42"/>
      <c r="CCA2" s="42"/>
      <c r="CCB2" s="42"/>
      <c r="CCC2" s="42"/>
      <c r="CCD2" s="42"/>
      <c r="CCE2" s="42"/>
      <c r="CCF2" s="42"/>
      <c r="CCG2" s="42"/>
      <c r="CCH2" s="42"/>
      <c r="CCI2" s="42"/>
      <c r="CCJ2" s="42"/>
      <c r="CCK2" s="42"/>
      <c r="CCL2" s="42"/>
      <c r="CCM2" s="42"/>
      <c r="CCN2" s="42"/>
      <c r="CCO2" s="42"/>
      <c r="CCP2" s="42"/>
      <c r="CCQ2" s="42"/>
      <c r="CCR2" s="42"/>
      <c r="CCS2" s="42"/>
      <c r="CCT2" s="42"/>
      <c r="CCU2" s="42"/>
      <c r="CCV2" s="42"/>
      <c r="CCW2" s="42"/>
      <c r="CCX2" s="42"/>
      <c r="CCY2" s="42"/>
      <c r="CCZ2" s="42"/>
      <c r="CDA2" s="42"/>
      <c r="CDB2" s="42"/>
      <c r="CDC2" s="42"/>
      <c r="CDD2" s="42"/>
      <c r="CDE2" s="42"/>
      <c r="CDF2" s="42"/>
      <c r="CDG2" s="42"/>
      <c r="CDH2" s="42"/>
      <c r="CDI2" s="42"/>
      <c r="CDJ2" s="42"/>
      <c r="CDK2" s="42"/>
      <c r="CDL2" s="42"/>
      <c r="CDM2" s="42"/>
      <c r="CDN2" s="42"/>
      <c r="CDO2" s="42"/>
      <c r="CDP2" s="42"/>
      <c r="CDQ2" s="42"/>
      <c r="CDR2" s="42"/>
      <c r="CDS2" s="42"/>
      <c r="CDT2" s="42"/>
      <c r="CDU2" s="42"/>
      <c r="CDV2" s="42"/>
      <c r="CDW2" s="42"/>
      <c r="CDX2" s="42"/>
      <c r="CDY2" s="42"/>
      <c r="CDZ2" s="42"/>
      <c r="CEA2" s="42"/>
      <c r="CEB2" s="42"/>
      <c r="CEC2" s="42"/>
      <c r="CED2" s="42"/>
      <c r="CEE2" s="42"/>
      <c r="CEF2" s="42"/>
      <c r="CEG2" s="42"/>
      <c r="CEH2" s="42"/>
      <c r="CEI2" s="42"/>
      <c r="CEJ2" s="42"/>
      <c r="CEK2" s="42"/>
      <c r="CEL2" s="42"/>
      <c r="CEM2" s="42"/>
      <c r="CEN2" s="42"/>
      <c r="CEO2" s="42"/>
      <c r="CEP2" s="42"/>
      <c r="CEQ2" s="42"/>
      <c r="CER2" s="42"/>
      <c r="CES2" s="42"/>
      <c r="CET2" s="42"/>
      <c r="CEU2" s="42"/>
      <c r="CEV2" s="42"/>
      <c r="CEW2" s="42"/>
      <c r="CEX2" s="42"/>
      <c r="CEY2" s="42"/>
      <c r="CEZ2" s="42"/>
      <c r="CFA2" s="42"/>
      <c r="CFB2" s="42"/>
      <c r="CFC2" s="42"/>
      <c r="CFD2" s="42"/>
      <c r="CFE2" s="42"/>
      <c r="CFF2" s="42"/>
      <c r="CFG2" s="42"/>
      <c r="CFH2" s="42"/>
      <c r="CFI2" s="42"/>
      <c r="CFJ2" s="42"/>
      <c r="CFK2" s="42"/>
      <c r="CFL2" s="42"/>
      <c r="CFM2" s="42"/>
      <c r="CFN2" s="42"/>
      <c r="CFO2" s="42"/>
      <c r="CFP2" s="42"/>
      <c r="CFQ2" s="42"/>
      <c r="CFR2" s="42"/>
      <c r="CFS2" s="42"/>
      <c r="CFT2" s="42"/>
      <c r="CFU2" s="42"/>
      <c r="CFV2" s="42"/>
      <c r="CFW2" s="42"/>
      <c r="CFX2" s="42"/>
      <c r="CFY2" s="42"/>
      <c r="CFZ2" s="42"/>
      <c r="CGA2" s="42"/>
      <c r="CGB2" s="42"/>
      <c r="CGC2" s="42"/>
      <c r="CGD2" s="42"/>
      <c r="CGE2" s="42"/>
      <c r="CGF2" s="42"/>
      <c r="CGG2" s="42"/>
      <c r="CGH2" s="42"/>
      <c r="CGI2" s="42"/>
      <c r="CGJ2" s="42"/>
      <c r="CGK2" s="42"/>
      <c r="CGL2" s="42"/>
      <c r="CGM2" s="42"/>
      <c r="CGN2" s="42"/>
      <c r="CGO2" s="42"/>
      <c r="CGP2" s="42"/>
      <c r="CGQ2" s="42"/>
      <c r="CGR2" s="42"/>
      <c r="CGS2" s="42"/>
      <c r="CGT2" s="42"/>
      <c r="CGU2" s="42"/>
      <c r="CGV2" s="42"/>
      <c r="CGW2" s="42"/>
      <c r="CGX2" s="42"/>
      <c r="CGY2" s="42"/>
      <c r="CGZ2" s="42"/>
      <c r="CHA2" s="42"/>
      <c r="CHB2" s="42"/>
      <c r="CHC2" s="42"/>
      <c r="CHD2" s="42"/>
      <c r="CHE2" s="42"/>
      <c r="CHF2" s="42"/>
      <c r="CHG2" s="42"/>
      <c r="CHH2" s="42"/>
      <c r="CHI2" s="42"/>
      <c r="CHJ2" s="42"/>
      <c r="CHK2" s="42"/>
      <c r="CHL2" s="42"/>
      <c r="CHM2" s="42"/>
      <c r="CHN2" s="42"/>
      <c r="CHO2" s="42"/>
      <c r="CHP2" s="42"/>
      <c r="CHQ2" s="42"/>
      <c r="CHR2" s="42"/>
      <c r="CHS2" s="42"/>
      <c r="CHT2" s="42"/>
      <c r="CHU2" s="42"/>
      <c r="CHV2" s="42"/>
      <c r="CHW2" s="42"/>
      <c r="CHX2" s="42"/>
      <c r="CHY2" s="42"/>
      <c r="CHZ2" s="42"/>
      <c r="CIA2" s="42"/>
      <c r="CIB2" s="42"/>
      <c r="CIC2" s="42"/>
      <c r="CID2" s="42"/>
      <c r="CIE2" s="42"/>
      <c r="CIF2" s="42"/>
      <c r="CIG2" s="42"/>
      <c r="CIH2" s="42"/>
      <c r="CII2" s="42"/>
      <c r="CIJ2" s="42"/>
      <c r="CIK2" s="42"/>
      <c r="CIL2" s="42"/>
      <c r="CIM2" s="42"/>
      <c r="CIN2" s="42"/>
      <c r="CIO2" s="42"/>
      <c r="CIP2" s="42"/>
      <c r="CIQ2" s="42"/>
      <c r="CIR2" s="42"/>
      <c r="CIS2" s="42"/>
      <c r="CIT2" s="42"/>
      <c r="CIU2" s="42"/>
      <c r="CIV2" s="42"/>
      <c r="CIW2" s="42"/>
      <c r="CIX2" s="42"/>
      <c r="CIY2" s="42"/>
      <c r="CIZ2" s="42"/>
      <c r="CJA2" s="42"/>
      <c r="CJB2" s="42"/>
      <c r="CJC2" s="42"/>
      <c r="CJD2" s="42"/>
      <c r="CJE2" s="42"/>
      <c r="CJF2" s="42"/>
      <c r="CJG2" s="42"/>
      <c r="CJH2" s="42"/>
      <c r="CJI2" s="42"/>
      <c r="CJJ2" s="42"/>
      <c r="CJK2" s="42"/>
      <c r="CJL2" s="42"/>
      <c r="CJM2" s="42"/>
      <c r="CJN2" s="42"/>
      <c r="CJO2" s="42"/>
      <c r="CJP2" s="42"/>
      <c r="CJQ2" s="42"/>
      <c r="CJR2" s="42"/>
      <c r="CJS2" s="42"/>
      <c r="CJT2" s="42"/>
      <c r="CJU2" s="42"/>
      <c r="CJV2" s="42"/>
      <c r="CJW2" s="42"/>
      <c r="CJX2" s="42"/>
      <c r="CJY2" s="42"/>
      <c r="CJZ2" s="42"/>
      <c r="CKA2" s="42"/>
      <c r="CKB2" s="42"/>
      <c r="CKC2" s="42"/>
      <c r="CKD2" s="42"/>
      <c r="CKE2" s="42"/>
      <c r="CKF2" s="42"/>
      <c r="CKG2" s="42"/>
      <c r="CKH2" s="42"/>
      <c r="CKI2" s="42"/>
      <c r="CKJ2" s="42"/>
      <c r="CKK2" s="42"/>
      <c r="CKL2" s="42"/>
      <c r="CKM2" s="42"/>
      <c r="CKN2" s="42"/>
      <c r="CKO2" s="42"/>
      <c r="CKP2" s="42"/>
      <c r="CKQ2" s="42"/>
      <c r="CKR2" s="42"/>
      <c r="CKS2" s="42"/>
      <c r="CKT2" s="42"/>
      <c r="CKU2" s="42"/>
      <c r="CKV2" s="42"/>
      <c r="CKW2" s="42"/>
      <c r="CKX2" s="42"/>
      <c r="CKY2" s="42"/>
      <c r="CKZ2" s="42"/>
      <c r="CLA2" s="42"/>
      <c r="CLB2" s="42"/>
      <c r="CLC2" s="42"/>
      <c r="CLD2" s="42"/>
      <c r="CLE2" s="42"/>
      <c r="CLF2" s="42"/>
      <c r="CLG2" s="42"/>
      <c r="CLH2" s="42"/>
      <c r="CLI2" s="42"/>
      <c r="CLJ2" s="42"/>
      <c r="CLK2" s="42"/>
      <c r="CLL2" s="42"/>
      <c r="CLM2" s="42"/>
      <c r="CLN2" s="42"/>
      <c r="CLO2" s="42"/>
      <c r="CLP2" s="42"/>
      <c r="CLQ2" s="42"/>
      <c r="CLR2" s="42"/>
      <c r="CLS2" s="42"/>
      <c r="CLT2" s="42"/>
      <c r="CLU2" s="42"/>
      <c r="CLV2" s="42"/>
      <c r="CLW2" s="42"/>
      <c r="CLX2" s="42"/>
      <c r="CLY2" s="42"/>
      <c r="CLZ2" s="42"/>
      <c r="CMA2" s="42"/>
      <c r="CMB2" s="42"/>
      <c r="CMC2" s="42"/>
      <c r="CMD2" s="42"/>
      <c r="CME2" s="42"/>
      <c r="CMF2" s="42"/>
      <c r="CMG2" s="42"/>
      <c r="CMH2" s="42"/>
      <c r="CMI2" s="42"/>
      <c r="CMJ2" s="42"/>
      <c r="CMK2" s="42"/>
      <c r="CML2" s="42"/>
      <c r="CMM2" s="42"/>
      <c r="CMN2" s="42"/>
      <c r="CMO2" s="42"/>
      <c r="CMP2" s="42"/>
      <c r="CMQ2" s="42"/>
      <c r="CMR2" s="42"/>
      <c r="CMS2" s="42"/>
      <c r="CMT2" s="42"/>
      <c r="CMU2" s="42"/>
      <c r="CMV2" s="42"/>
      <c r="CMW2" s="42"/>
      <c r="CMX2" s="42"/>
      <c r="CMY2" s="42"/>
      <c r="CMZ2" s="42"/>
      <c r="CNA2" s="42"/>
      <c r="CNB2" s="42"/>
      <c r="CNC2" s="42"/>
      <c r="CND2" s="42"/>
      <c r="CNE2" s="42"/>
      <c r="CNF2" s="42"/>
      <c r="CNG2" s="42"/>
      <c r="CNH2" s="42"/>
      <c r="CNI2" s="42"/>
      <c r="CNJ2" s="42"/>
      <c r="CNK2" s="42"/>
      <c r="CNL2" s="42"/>
      <c r="CNM2" s="42"/>
      <c r="CNN2" s="42"/>
      <c r="CNO2" s="42"/>
      <c r="CNP2" s="42"/>
      <c r="CNQ2" s="42"/>
      <c r="CNR2" s="42"/>
      <c r="CNS2" s="42"/>
      <c r="CNT2" s="42"/>
      <c r="CNU2" s="42"/>
      <c r="CNV2" s="42"/>
      <c r="CNW2" s="42"/>
      <c r="CNX2" s="42"/>
      <c r="CNY2" s="42"/>
      <c r="CNZ2" s="42"/>
      <c r="COA2" s="42"/>
      <c r="COB2" s="42"/>
      <c r="COC2" s="42"/>
      <c r="COD2" s="42"/>
      <c r="COE2" s="42"/>
      <c r="COF2" s="42"/>
      <c r="COG2" s="42"/>
      <c r="COH2" s="42"/>
      <c r="COI2" s="42"/>
      <c r="COJ2" s="42"/>
      <c r="COK2" s="42"/>
      <c r="COL2" s="42"/>
      <c r="COM2" s="42"/>
      <c r="CON2" s="42"/>
      <c r="COO2" s="42"/>
      <c r="COP2" s="42"/>
      <c r="COQ2" s="42"/>
      <c r="COR2" s="42"/>
      <c r="COS2" s="42"/>
      <c r="COT2" s="42"/>
      <c r="COU2" s="42"/>
      <c r="COV2" s="42"/>
      <c r="COW2" s="42"/>
      <c r="COX2" s="42"/>
      <c r="COY2" s="42"/>
      <c r="COZ2" s="42"/>
      <c r="CPA2" s="42"/>
      <c r="CPB2" s="42"/>
      <c r="CPC2" s="42"/>
      <c r="CPD2" s="42"/>
      <c r="CPE2" s="42"/>
      <c r="CPF2" s="42"/>
      <c r="CPG2" s="42"/>
      <c r="CPH2" s="42"/>
      <c r="CPI2" s="42"/>
      <c r="CPJ2" s="42"/>
      <c r="CPK2" s="42"/>
      <c r="CPL2" s="42"/>
      <c r="CPM2" s="42"/>
      <c r="CPN2" s="42"/>
      <c r="CPO2" s="42"/>
      <c r="CPP2" s="42"/>
      <c r="CPQ2" s="42"/>
      <c r="CPR2" s="42"/>
      <c r="CPS2" s="42"/>
      <c r="CPT2" s="42"/>
      <c r="CPU2" s="42"/>
      <c r="CPV2" s="42"/>
      <c r="CPW2" s="42"/>
      <c r="CPX2" s="42"/>
      <c r="CPY2" s="42"/>
      <c r="CPZ2" s="42"/>
      <c r="CQA2" s="42"/>
      <c r="CQB2" s="42"/>
      <c r="CQC2" s="42"/>
      <c r="CQD2" s="42"/>
      <c r="CQE2" s="42"/>
      <c r="CQF2" s="42"/>
      <c r="CQG2" s="42"/>
      <c r="CQH2" s="42"/>
      <c r="CQI2" s="42"/>
      <c r="CQJ2" s="42"/>
      <c r="CQK2" s="42"/>
      <c r="CQL2" s="42"/>
      <c r="CQM2" s="42"/>
      <c r="CQN2" s="42"/>
      <c r="CQO2" s="42"/>
      <c r="CQP2" s="42"/>
      <c r="CQQ2" s="42"/>
      <c r="CQR2" s="42"/>
      <c r="CQS2" s="42"/>
      <c r="CQT2" s="42"/>
      <c r="CQU2" s="42"/>
      <c r="CQV2" s="42"/>
      <c r="CQW2" s="42"/>
      <c r="CQX2" s="42"/>
      <c r="CQY2" s="42"/>
      <c r="CQZ2" s="42"/>
      <c r="CRA2" s="42"/>
      <c r="CRB2" s="42"/>
      <c r="CRC2" s="42"/>
      <c r="CRD2" s="42"/>
      <c r="CRE2" s="42"/>
      <c r="CRF2" s="42"/>
      <c r="CRG2" s="42"/>
      <c r="CRH2" s="42"/>
      <c r="CRI2" s="42"/>
      <c r="CRJ2" s="42"/>
      <c r="CRK2" s="42"/>
      <c r="CRL2" s="42"/>
      <c r="CRM2" s="42"/>
      <c r="CRN2" s="42"/>
      <c r="CRO2" s="42"/>
      <c r="CRP2" s="42"/>
      <c r="CRQ2" s="42"/>
      <c r="CRR2" s="42"/>
      <c r="CRS2" s="42"/>
      <c r="CRT2" s="42"/>
      <c r="CRU2" s="42"/>
      <c r="CRV2" s="42"/>
      <c r="CRW2" s="42"/>
      <c r="CRX2" s="42"/>
      <c r="CRY2" s="42"/>
      <c r="CRZ2" s="42"/>
      <c r="CSA2" s="42"/>
      <c r="CSB2" s="42"/>
      <c r="CSC2" s="42"/>
      <c r="CSD2" s="42"/>
      <c r="CSE2" s="42"/>
      <c r="CSF2" s="42"/>
      <c r="CSG2" s="42"/>
      <c r="CSH2" s="42"/>
      <c r="CSI2" s="42"/>
      <c r="CSJ2" s="42"/>
      <c r="CSK2" s="42"/>
      <c r="CSL2" s="42"/>
      <c r="CSM2" s="42"/>
      <c r="CSN2" s="42"/>
      <c r="CSO2" s="42"/>
      <c r="CSP2" s="42"/>
      <c r="CSQ2" s="42"/>
      <c r="CSR2" s="42"/>
      <c r="CSS2" s="42"/>
      <c r="CST2" s="42"/>
      <c r="CSU2" s="42"/>
      <c r="CSV2" s="42"/>
      <c r="CSW2" s="42"/>
      <c r="CSX2" s="42"/>
      <c r="CSY2" s="42"/>
      <c r="CSZ2" s="42"/>
      <c r="CTA2" s="42"/>
      <c r="CTB2" s="42"/>
      <c r="CTC2" s="42"/>
      <c r="CTD2" s="42"/>
      <c r="CTE2" s="42"/>
      <c r="CTF2" s="42"/>
      <c r="CTG2" s="42"/>
      <c r="CTH2" s="42"/>
      <c r="CTI2" s="42"/>
      <c r="CTJ2" s="42"/>
      <c r="CTK2" s="42"/>
      <c r="CTL2" s="42"/>
      <c r="CTM2" s="42"/>
      <c r="CTN2" s="42"/>
      <c r="CTO2" s="42"/>
      <c r="CTP2" s="42"/>
      <c r="CTQ2" s="42"/>
      <c r="CTR2" s="42"/>
      <c r="CTS2" s="42"/>
      <c r="CTT2" s="42"/>
      <c r="CTU2" s="42"/>
      <c r="CTV2" s="42"/>
      <c r="CTW2" s="42"/>
      <c r="CTX2" s="42"/>
      <c r="CTY2" s="42"/>
      <c r="CTZ2" s="42"/>
      <c r="CUA2" s="42"/>
      <c r="CUB2" s="42"/>
      <c r="CUC2" s="42"/>
      <c r="CUD2" s="42"/>
      <c r="CUE2" s="42"/>
      <c r="CUF2" s="42"/>
      <c r="CUG2" s="42"/>
      <c r="CUH2" s="42"/>
      <c r="CUI2" s="42"/>
      <c r="CUJ2" s="42"/>
      <c r="CUK2" s="42"/>
      <c r="CUL2" s="42"/>
      <c r="CUM2" s="42"/>
      <c r="CUN2" s="42"/>
      <c r="CUO2" s="42"/>
      <c r="CUP2" s="42"/>
      <c r="CUQ2" s="42"/>
      <c r="CUR2" s="42"/>
      <c r="CUS2" s="42"/>
      <c r="CUT2" s="42"/>
      <c r="CUU2" s="42"/>
      <c r="CUV2" s="42"/>
      <c r="CUW2" s="42"/>
      <c r="CUX2" s="42"/>
      <c r="CUY2" s="42"/>
      <c r="CUZ2" s="42"/>
      <c r="CVA2" s="42"/>
      <c r="CVB2" s="42"/>
      <c r="CVC2" s="42"/>
      <c r="CVD2" s="42"/>
      <c r="CVE2" s="42"/>
      <c r="CVF2" s="42"/>
      <c r="CVG2" s="42"/>
      <c r="CVH2" s="42"/>
      <c r="CVI2" s="42"/>
      <c r="CVJ2" s="42"/>
      <c r="CVK2" s="42"/>
      <c r="CVL2" s="42"/>
      <c r="CVM2" s="42"/>
      <c r="CVN2" s="42"/>
      <c r="CVO2" s="42"/>
      <c r="CVP2" s="42"/>
      <c r="CVQ2" s="42"/>
      <c r="CVR2" s="42"/>
      <c r="CVS2" s="42"/>
      <c r="CVT2" s="42"/>
      <c r="CVU2" s="42"/>
      <c r="CVV2" s="42"/>
      <c r="CVW2" s="42"/>
      <c r="CVX2" s="42"/>
      <c r="CVY2" s="42"/>
      <c r="CVZ2" s="42"/>
      <c r="CWA2" s="42"/>
      <c r="CWB2" s="42"/>
      <c r="CWC2" s="42"/>
      <c r="CWD2" s="42"/>
      <c r="CWE2" s="42"/>
      <c r="CWF2" s="42"/>
      <c r="CWG2" s="42"/>
      <c r="CWH2" s="42"/>
      <c r="CWI2" s="42"/>
      <c r="CWJ2" s="42"/>
      <c r="CWK2" s="42"/>
      <c r="CWL2" s="42"/>
      <c r="CWM2" s="42"/>
      <c r="CWN2" s="42"/>
      <c r="CWO2" s="42"/>
      <c r="CWP2" s="42"/>
      <c r="CWQ2" s="42"/>
      <c r="CWR2" s="42"/>
      <c r="CWS2" s="42"/>
      <c r="CWT2" s="42"/>
      <c r="CWU2" s="42"/>
      <c r="CWV2" s="42"/>
      <c r="CWW2" s="42"/>
      <c r="CWX2" s="42"/>
      <c r="CWY2" s="42"/>
      <c r="CWZ2" s="42"/>
      <c r="CXA2" s="42"/>
      <c r="CXB2" s="42"/>
      <c r="CXC2" s="42"/>
      <c r="CXD2" s="42"/>
      <c r="CXE2" s="42"/>
      <c r="CXF2" s="42"/>
      <c r="CXG2" s="42"/>
      <c r="CXH2" s="42"/>
      <c r="CXI2" s="42"/>
      <c r="CXJ2" s="42"/>
      <c r="CXK2" s="42"/>
      <c r="CXL2" s="42"/>
      <c r="CXM2" s="42"/>
      <c r="CXN2" s="42"/>
      <c r="CXO2" s="42"/>
      <c r="CXP2" s="42"/>
      <c r="CXQ2" s="42"/>
      <c r="CXR2" s="42"/>
      <c r="CXS2" s="42"/>
      <c r="CXT2" s="42"/>
      <c r="CXU2" s="42"/>
      <c r="CXV2" s="42"/>
      <c r="CXW2" s="42"/>
      <c r="CXX2" s="42"/>
      <c r="CXY2" s="42"/>
      <c r="CXZ2" s="42"/>
      <c r="CYA2" s="42"/>
      <c r="CYB2" s="42"/>
      <c r="CYC2" s="42"/>
      <c r="CYD2" s="42"/>
      <c r="CYE2" s="42"/>
      <c r="CYF2" s="42"/>
      <c r="CYG2" s="42"/>
      <c r="CYH2" s="42"/>
      <c r="CYI2" s="42"/>
      <c r="CYJ2" s="42"/>
      <c r="CYK2" s="42"/>
      <c r="CYL2" s="42"/>
      <c r="CYM2" s="42"/>
      <c r="CYN2" s="42"/>
      <c r="CYO2" s="42"/>
      <c r="CYP2" s="42"/>
      <c r="CYQ2" s="42"/>
      <c r="CYR2" s="42"/>
      <c r="CYS2" s="42"/>
      <c r="CYT2" s="42"/>
      <c r="CYU2" s="42"/>
      <c r="CYV2" s="42"/>
      <c r="CYW2" s="42"/>
      <c r="CYX2" s="42"/>
      <c r="CYY2" s="42"/>
      <c r="CYZ2" s="42"/>
      <c r="CZA2" s="42"/>
      <c r="CZB2" s="42"/>
      <c r="CZC2" s="42"/>
      <c r="CZD2" s="42"/>
      <c r="CZE2" s="42"/>
      <c r="CZF2" s="42"/>
      <c r="CZG2" s="42"/>
      <c r="CZH2" s="42"/>
      <c r="CZI2" s="42"/>
      <c r="CZJ2" s="42"/>
      <c r="CZK2" s="42"/>
      <c r="CZL2" s="42"/>
      <c r="CZM2" s="42"/>
      <c r="CZN2" s="42"/>
      <c r="CZO2" s="42"/>
      <c r="CZP2" s="42"/>
      <c r="CZQ2" s="42"/>
      <c r="CZR2" s="42"/>
      <c r="CZS2" s="42"/>
      <c r="CZT2" s="42"/>
      <c r="CZU2" s="42"/>
      <c r="CZV2" s="42"/>
      <c r="CZW2" s="42"/>
      <c r="CZX2" s="42"/>
      <c r="CZY2" s="42"/>
      <c r="CZZ2" s="42"/>
      <c r="DAA2" s="42"/>
      <c r="DAB2" s="42"/>
      <c r="DAC2" s="42"/>
      <c r="DAD2" s="42"/>
      <c r="DAE2" s="42"/>
      <c r="DAF2" s="42"/>
      <c r="DAG2" s="42"/>
      <c r="DAH2" s="42"/>
      <c r="DAI2" s="42"/>
      <c r="DAJ2" s="42"/>
      <c r="DAK2" s="42"/>
      <c r="DAL2" s="42"/>
      <c r="DAM2" s="42"/>
      <c r="DAN2" s="42"/>
      <c r="DAO2" s="42"/>
      <c r="DAP2" s="42"/>
      <c r="DAQ2" s="42"/>
      <c r="DAR2" s="42"/>
      <c r="DAS2" s="42"/>
      <c r="DAT2" s="42"/>
      <c r="DAU2" s="42"/>
      <c r="DAV2" s="42"/>
      <c r="DAW2" s="42"/>
      <c r="DAX2" s="42"/>
      <c r="DAY2" s="42"/>
      <c r="DAZ2" s="42"/>
      <c r="DBA2" s="42"/>
      <c r="DBB2" s="42"/>
      <c r="DBC2" s="42"/>
      <c r="DBD2" s="42"/>
      <c r="DBE2" s="42"/>
      <c r="DBF2" s="42"/>
      <c r="DBG2" s="42"/>
      <c r="DBH2" s="42"/>
      <c r="DBI2" s="42"/>
      <c r="DBJ2" s="42"/>
      <c r="DBK2" s="42"/>
      <c r="DBL2" s="42"/>
      <c r="DBM2" s="42"/>
      <c r="DBN2" s="42"/>
      <c r="DBO2" s="42"/>
      <c r="DBP2" s="42"/>
      <c r="DBQ2" s="42"/>
      <c r="DBR2" s="42"/>
      <c r="DBS2" s="42"/>
      <c r="DBT2" s="42"/>
      <c r="DBU2" s="42"/>
      <c r="DBV2" s="42"/>
      <c r="DBW2" s="42"/>
      <c r="DBX2" s="42"/>
      <c r="DBY2" s="42"/>
      <c r="DBZ2" s="42"/>
      <c r="DCA2" s="42"/>
      <c r="DCB2" s="42"/>
      <c r="DCC2" s="42"/>
      <c r="DCD2" s="42"/>
      <c r="DCE2" s="42"/>
      <c r="DCF2" s="42"/>
      <c r="DCG2" s="42"/>
      <c r="DCH2" s="42"/>
      <c r="DCI2" s="42"/>
      <c r="DCJ2" s="42"/>
      <c r="DCK2" s="42"/>
      <c r="DCL2" s="42"/>
      <c r="DCM2" s="42"/>
      <c r="DCN2" s="42"/>
      <c r="DCO2" s="42"/>
      <c r="DCP2" s="42"/>
      <c r="DCQ2" s="42"/>
      <c r="DCR2" s="42"/>
      <c r="DCS2" s="42"/>
      <c r="DCT2" s="42"/>
      <c r="DCU2" s="42"/>
      <c r="DCV2" s="42"/>
      <c r="DCW2" s="42"/>
      <c r="DCX2" s="42"/>
      <c r="DCY2" s="42"/>
      <c r="DCZ2" s="42"/>
      <c r="DDA2" s="42"/>
      <c r="DDB2" s="42"/>
      <c r="DDC2" s="42"/>
      <c r="DDD2" s="42"/>
      <c r="DDE2" s="42"/>
      <c r="DDF2" s="42"/>
      <c r="DDG2" s="42"/>
      <c r="DDH2" s="42"/>
      <c r="DDI2" s="42"/>
      <c r="DDJ2" s="42"/>
      <c r="DDK2" s="42"/>
      <c r="DDL2" s="42"/>
      <c r="DDM2" s="42"/>
      <c r="DDN2" s="42"/>
      <c r="DDO2" s="42"/>
      <c r="DDP2" s="42"/>
      <c r="DDQ2" s="42"/>
      <c r="DDR2" s="42"/>
      <c r="DDS2" s="42"/>
      <c r="DDT2" s="42"/>
      <c r="DDU2" s="42"/>
      <c r="DDV2" s="42"/>
      <c r="DDW2" s="42"/>
      <c r="DDX2" s="42"/>
      <c r="DDY2" s="42"/>
      <c r="DDZ2" s="42"/>
      <c r="DEA2" s="42"/>
      <c r="DEB2" s="42"/>
      <c r="DEC2" s="42"/>
      <c r="DED2" s="42"/>
      <c r="DEE2" s="42"/>
      <c r="DEF2" s="42"/>
      <c r="DEG2" s="42"/>
      <c r="DEH2" s="42"/>
      <c r="DEI2" s="42"/>
      <c r="DEJ2" s="42"/>
      <c r="DEK2" s="42"/>
      <c r="DEL2" s="42"/>
      <c r="DEM2" s="42"/>
      <c r="DEN2" s="42"/>
      <c r="DEO2" s="42"/>
      <c r="DEP2" s="42"/>
      <c r="DEQ2" s="42"/>
      <c r="DER2" s="42"/>
      <c r="DES2" s="42"/>
      <c r="DET2" s="42"/>
      <c r="DEU2" s="42"/>
      <c r="DEV2" s="42"/>
      <c r="DEW2" s="42"/>
      <c r="DEX2" s="42"/>
      <c r="DEY2" s="42"/>
      <c r="DEZ2" s="42"/>
      <c r="DFA2" s="42"/>
      <c r="DFB2" s="42"/>
      <c r="DFC2" s="42"/>
      <c r="DFD2" s="42"/>
      <c r="DFE2" s="42"/>
      <c r="DFF2" s="42"/>
      <c r="DFG2" s="42"/>
      <c r="DFH2" s="42"/>
      <c r="DFI2" s="42"/>
      <c r="DFJ2" s="42"/>
      <c r="DFK2" s="42"/>
      <c r="DFL2" s="42"/>
      <c r="DFM2" s="42"/>
      <c r="DFN2" s="42"/>
      <c r="DFO2" s="42"/>
      <c r="DFP2" s="42"/>
      <c r="DFQ2" s="42"/>
      <c r="DFR2" s="42"/>
      <c r="DFS2" s="42"/>
      <c r="DFT2" s="42"/>
      <c r="DFU2" s="42"/>
      <c r="DFV2" s="42"/>
      <c r="DFW2" s="42"/>
      <c r="DFX2" s="42"/>
      <c r="DFY2" s="42"/>
      <c r="DFZ2" s="42"/>
      <c r="DGA2" s="42"/>
      <c r="DGB2" s="42"/>
      <c r="DGC2" s="42"/>
      <c r="DGD2" s="42"/>
      <c r="DGE2" s="42"/>
      <c r="DGF2" s="42"/>
      <c r="DGG2" s="42"/>
      <c r="DGH2" s="42"/>
      <c r="DGI2" s="42"/>
      <c r="DGJ2" s="42"/>
      <c r="DGK2" s="42"/>
      <c r="DGL2" s="42"/>
      <c r="DGM2" s="42"/>
      <c r="DGN2" s="42"/>
      <c r="DGO2" s="42"/>
      <c r="DGP2" s="42"/>
      <c r="DGQ2" s="42"/>
      <c r="DGR2" s="42"/>
      <c r="DGS2" s="42"/>
      <c r="DGT2" s="42"/>
      <c r="DGU2" s="42"/>
      <c r="DGV2" s="42"/>
      <c r="DGW2" s="42"/>
      <c r="DGX2" s="42"/>
      <c r="DGY2" s="42"/>
      <c r="DGZ2" s="42"/>
      <c r="DHA2" s="42"/>
      <c r="DHB2" s="42"/>
      <c r="DHC2" s="42"/>
      <c r="DHD2" s="42"/>
      <c r="DHE2" s="42"/>
      <c r="DHF2" s="42"/>
      <c r="DHG2" s="42"/>
      <c r="DHH2" s="42"/>
      <c r="DHI2" s="42"/>
      <c r="DHJ2" s="42"/>
      <c r="DHK2" s="42"/>
      <c r="DHL2" s="42"/>
      <c r="DHM2" s="42"/>
      <c r="DHN2" s="42"/>
      <c r="DHO2" s="42"/>
      <c r="DHP2" s="42"/>
      <c r="DHQ2" s="42"/>
      <c r="DHR2" s="42"/>
      <c r="DHS2" s="42"/>
      <c r="DHT2" s="42"/>
      <c r="DHU2" s="42"/>
      <c r="DHV2" s="42"/>
      <c r="DHW2" s="42"/>
      <c r="DHX2" s="42"/>
      <c r="DHY2" s="42"/>
      <c r="DHZ2" s="42"/>
      <c r="DIA2" s="42"/>
      <c r="DIB2" s="42"/>
      <c r="DIC2" s="42"/>
      <c r="DID2" s="42"/>
      <c r="DIE2" s="42"/>
      <c r="DIF2" s="42"/>
      <c r="DIG2" s="42"/>
      <c r="DIH2" s="42"/>
      <c r="DII2" s="42"/>
      <c r="DIJ2" s="42"/>
      <c r="DIK2" s="42"/>
      <c r="DIL2" s="42"/>
      <c r="DIM2" s="42"/>
      <c r="DIN2" s="42"/>
      <c r="DIO2" s="42"/>
      <c r="DIP2" s="42"/>
      <c r="DIQ2" s="42"/>
      <c r="DIR2" s="42"/>
      <c r="DIS2" s="42"/>
      <c r="DIT2" s="42"/>
      <c r="DIU2" s="42"/>
      <c r="DIV2" s="42"/>
      <c r="DIW2" s="42"/>
      <c r="DIX2" s="42"/>
      <c r="DIY2" s="42"/>
      <c r="DIZ2" s="42"/>
      <c r="DJA2" s="42"/>
      <c r="DJB2" s="42"/>
      <c r="DJC2" s="42"/>
      <c r="DJD2" s="42"/>
      <c r="DJE2" s="42"/>
      <c r="DJF2" s="42"/>
      <c r="DJG2" s="42"/>
      <c r="DJH2" s="42"/>
      <c r="DJI2" s="42"/>
      <c r="DJJ2" s="42"/>
      <c r="DJK2" s="42"/>
      <c r="DJL2" s="42"/>
      <c r="DJM2" s="42"/>
      <c r="DJN2" s="42"/>
      <c r="DJO2" s="42"/>
      <c r="DJP2" s="42"/>
      <c r="DJQ2" s="42"/>
      <c r="DJR2" s="42"/>
      <c r="DJS2" s="42"/>
      <c r="DJT2" s="42"/>
      <c r="DJU2" s="42"/>
      <c r="DJV2" s="42"/>
      <c r="DJW2" s="42"/>
      <c r="DJX2" s="42"/>
      <c r="DJY2" s="42"/>
      <c r="DJZ2" s="42"/>
      <c r="DKA2" s="42"/>
      <c r="DKB2" s="42"/>
      <c r="DKC2" s="42"/>
      <c r="DKD2" s="42"/>
      <c r="DKE2" s="42"/>
      <c r="DKF2" s="42"/>
      <c r="DKG2" s="42"/>
      <c r="DKH2" s="42"/>
      <c r="DKI2" s="42"/>
      <c r="DKJ2" s="42"/>
      <c r="DKK2" s="42"/>
      <c r="DKL2" s="42"/>
      <c r="DKM2" s="42"/>
      <c r="DKN2" s="42"/>
      <c r="DKO2" s="42"/>
      <c r="DKP2" s="42"/>
      <c r="DKQ2" s="42"/>
      <c r="DKR2" s="42"/>
      <c r="DKS2" s="42"/>
      <c r="DKT2" s="42"/>
      <c r="DKU2" s="42"/>
      <c r="DKV2" s="42"/>
      <c r="DKW2" s="42"/>
      <c r="DKX2" s="42"/>
      <c r="DKY2" s="42"/>
      <c r="DKZ2" s="42"/>
      <c r="DLA2" s="42"/>
      <c r="DLB2" s="42"/>
      <c r="DLC2" s="42"/>
      <c r="DLD2" s="42"/>
      <c r="DLE2" s="42"/>
      <c r="DLF2" s="42"/>
      <c r="DLG2" s="42"/>
      <c r="DLH2" s="42"/>
      <c r="DLI2" s="42"/>
      <c r="DLJ2" s="42"/>
      <c r="DLK2" s="42"/>
      <c r="DLL2" s="42"/>
      <c r="DLM2" s="42"/>
      <c r="DLN2" s="42"/>
      <c r="DLO2" s="42"/>
      <c r="DLP2" s="42"/>
      <c r="DLQ2" s="42"/>
      <c r="DLR2" s="42"/>
      <c r="DLS2" s="42"/>
      <c r="DLT2" s="42"/>
      <c r="DLU2" s="42"/>
      <c r="DLV2" s="42"/>
      <c r="DLW2" s="42"/>
      <c r="DLX2" s="42"/>
      <c r="DLY2" s="42"/>
      <c r="DLZ2" s="42"/>
      <c r="DMA2" s="42"/>
      <c r="DMB2" s="42"/>
      <c r="DMC2" s="42"/>
      <c r="DMD2" s="42"/>
      <c r="DME2" s="42"/>
      <c r="DMF2" s="42"/>
      <c r="DMG2" s="42"/>
      <c r="DMH2" s="42"/>
      <c r="DMI2" s="42"/>
      <c r="DMJ2" s="42"/>
      <c r="DMK2" s="42"/>
      <c r="DML2" s="42"/>
      <c r="DMM2" s="42"/>
      <c r="DMN2" s="42"/>
      <c r="DMO2" s="42"/>
      <c r="DMP2" s="42"/>
      <c r="DMQ2" s="42"/>
      <c r="DMR2" s="42"/>
      <c r="DMS2" s="42"/>
      <c r="DMT2" s="42"/>
      <c r="DMU2" s="42"/>
      <c r="DMV2" s="42"/>
      <c r="DMW2" s="42"/>
      <c r="DMX2" s="42"/>
      <c r="DMY2" s="42"/>
      <c r="DMZ2" s="42"/>
      <c r="DNA2" s="42"/>
      <c r="DNB2" s="42"/>
      <c r="DNC2" s="42"/>
      <c r="DND2" s="42"/>
      <c r="DNE2" s="42"/>
      <c r="DNF2" s="42"/>
      <c r="DNG2" s="42"/>
      <c r="DNH2" s="42"/>
      <c r="DNI2" s="42"/>
      <c r="DNJ2" s="42"/>
      <c r="DNK2" s="42"/>
      <c r="DNL2" s="42"/>
      <c r="DNM2" s="42"/>
      <c r="DNN2" s="42"/>
      <c r="DNO2" s="42"/>
      <c r="DNP2" s="42"/>
      <c r="DNQ2" s="42"/>
      <c r="DNR2" s="42"/>
      <c r="DNS2" s="42"/>
      <c r="DNT2" s="42"/>
      <c r="DNU2" s="42"/>
      <c r="DNV2" s="42"/>
      <c r="DNW2" s="42"/>
      <c r="DNX2" s="42"/>
      <c r="DNY2" s="42"/>
      <c r="DNZ2" s="42"/>
      <c r="DOA2" s="42"/>
      <c r="DOB2" s="42"/>
      <c r="DOC2" s="42"/>
      <c r="DOD2" s="42"/>
      <c r="DOE2" s="42"/>
      <c r="DOF2" s="42"/>
      <c r="DOG2" s="42"/>
      <c r="DOH2" s="42"/>
      <c r="DOI2" s="42"/>
      <c r="DOJ2" s="42"/>
      <c r="DOK2" s="42"/>
      <c r="DOL2" s="42"/>
      <c r="DOM2" s="42"/>
      <c r="DON2" s="42"/>
      <c r="DOO2" s="42"/>
      <c r="DOP2" s="42"/>
      <c r="DOQ2" s="42"/>
      <c r="DOR2" s="42"/>
      <c r="DOS2" s="42"/>
      <c r="DOT2" s="42"/>
      <c r="DOU2" s="42"/>
      <c r="DOV2" s="42"/>
      <c r="DOW2" s="42"/>
      <c r="DOX2" s="42"/>
      <c r="DOY2" s="42"/>
      <c r="DOZ2" s="42"/>
      <c r="DPA2" s="42"/>
      <c r="DPB2" s="42"/>
      <c r="DPC2" s="42"/>
      <c r="DPD2" s="42"/>
      <c r="DPE2" s="42"/>
      <c r="DPF2" s="42"/>
      <c r="DPG2" s="42"/>
      <c r="DPH2" s="42"/>
      <c r="DPI2" s="42"/>
      <c r="DPJ2" s="42"/>
      <c r="DPK2" s="42"/>
      <c r="DPL2" s="42"/>
      <c r="DPM2" s="42"/>
      <c r="DPN2" s="42"/>
      <c r="DPO2" s="42"/>
      <c r="DPP2" s="42"/>
      <c r="DPQ2" s="42"/>
      <c r="DPR2" s="42"/>
      <c r="DPS2" s="42"/>
      <c r="DPT2" s="42"/>
      <c r="DPU2" s="42"/>
      <c r="DPV2" s="42"/>
      <c r="DPW2" s="42"/>
      <c r="DPX2" s="42"/>
      <c r="DPY2" s="42"/>
      <c r="DPZ2" s="42"/>
      <c r="DQA2" s="42"/>
      <c r="DQB2" s="42"/>
      <c r="DQC2" s="42"/>
      <c r="DQD2" s="42"/>
      <c r="DQE2" s="42"/>
      <c r="DQF2" s="42"/>
      <c r="DQG2" s="42"/>
      <c r="DQH2" s="42"/>
      <c r="DQI2" s="42"/>
      <c r="DQJ2" s="42"/>
      <c r="DQK2" s="42"/>
      <c r="DQL2" s="42"/>
      <c r="DQM2" s="42"/>
      <c r="DQN2" s="42"/>
      <c r="DQO2" s="42"/>
      <c r="DQP2" s="42"/>
      <c r="DQQ2" s="42"/>
      <c r="DQR2" s="42"/>
      <c r="DQS2" s="42"/>
      <c r="DQT2" s="42"/>
      <c r="DQU2" s="42"/>
      <c r="DQV2" s="42"/>
      <c r="DQW2" s="42"/>
      <c r="DQX2" s="42"/>
      <c r="DQY2" s="42"/>
      <c r="DQZ2" s="42"/>
      <c r="DRA2" s="42"/>
      <c r="DRB2" s="42"/>
      <c r="DRC2" s="42"/>
      <c r="DRD2" s="42"/>
      <c r="DRE2" s="42"/>
      <c r="DRF2" s="42"/>
      <c r="DRG2" s="42"/>
      <c r="DRH2" s="42"/>
      <c r="DRI2" s="42"/>
      <c r="DRJ2" s="42"/>
      <c r="DRK2" s="42"/>
      <c r="DRL2" s="42"/>
      <c r="DRM2" s="42"/>
      <c r="DRN2" s="42"/>
      <c r="DRO2" s="42"/>
      <c r="DRP2" s="42"/>
      <c r="DRQ2" s="42"/>
      <c r="DRR2" s="42"/>
      <c r="DRS2" s="42"/>
      <c r="DRT2" s="42"/>
      <c r="DRU2" s="42"/>
      <c r="DRV2" s="42"/>
      <c r="DRW2" s="42"/>
      <c r="DRX2" s="42"/>
      <c r="DRY2" s="42"/>
      <c r="DRZ2" s="42"/>
      <c r="DSA2" s="42"/>
      <c r="DSB2" s="42"/>
      <c r="DSC2" s="42"/>
      <c r="DSD2" s="42"/>
      <c r="DSE2" s="42"/>
      <c r="DSF2" s="42"/>
      <c r="DSG2" s="42"/>
      <c r="DSH2" s="42"/>
      <c r="DSI2" s="42"/>
      <c r="DSJ2" s="42"/>
      <c r="DSK2" s="42"/>
      <c r="DSL2" s="42"/>
      <c r="DSM2" s="42"/>
      <c r="DSN2" s="42"/>
      <c r="DSO2" s="42"/>
      <c r="DSP2" s="42"/>
      <c r="DSQ2" s="42"/>
      <c r="DSR2" s="42"/>
      <c r="DSS2" s="42"/>
      <c r="DST2" s="42"/>
      <c r="DSU2" s="42"/>
      <c r="DSV2" s="42"/>
      <c r="DSW2" s="42"/>
      <c r="DSX2" s="42"/>
      <c r="DSY2" s="42"/>
      <c r="DSZ2" s="42"/>
      <c r="DTA2" s="42"/>
      <c r="DTB2" s="42"/>
      <c r="DTC2" s="42"/>
      <c r="DTD2" s="42"/>
      <c r="DTE2" s="42"/>
      <c r="DTF2" s="42"/>
      <c r="DTG2" s="42"/>
      <c r="DTH2" s="42"/>
      <c r="DTI2" s="42"/>
      <c r="DTJ2" s="42"/>
      <c r="DTK2" s="42"/>
      <c r="DTL2" s="42"/>
      <c r="DTM2" s="42"/>
      <c r="DTN2" s="42"/>
      <c r="DTO2" s="42"/>
      <c r="DTP2" s="42"/>
      <c r="DTQ2" s="42"/>
      <c r="DTR2" s="42"/>
      <c r="DTS2" s="42"/>
      <c r="DTT2" s="42"/>
      <c r="DTU2" s="42"/>
      <c r="DTV2" s="42"/>
      <c r="DTW2" s="42"/>
      <c r="DTX2" s="42"/>
      <c r="DTY2" s="42"/>
      <c r="DTZ2" s="42"/>
      <c r="DUA2" s="42"/>
      <c r="DUB2" s="42"/>
      <c r="DUC2" s="42"/>
      <c r="DUD2" s="42"/>
      <c r="DUE2" s="42"/>
      <c r="DUF2" s="42"/>
      <c r="DUG2" s="42"/>
      <c r="DUH2" s="42"/>
      <c r="DUI2" s="42"/>
      <c r="DUJ2" s="42"/>
      <c r="DUK2" s="42"/>
      <c r="DUL2" s="42"/>
      <c r="DUM2" s="42"/>
      <c r="DUN2" s="42"/>
      <c r="DUO2" s="42"/>
      <c r="DUP2" s="42"/>
      <c r="DUQ2" s="42"/>
      <c r="DUR2" s="42"/>
      <c r="DUS2" s="42"/>
      <c r="DUT2" s="42"/>
      <c r="DUU2" s="42"/>
      <c r="DUV2" s="42"/>
      <c r="DUW2" s="42"/>
      <c r="DUX2" s="42"/>
      <c r="DUY2" s="42"/>
      <c r="DUZ2" s="42"/>
      <c r="DVA2" s="42"/>
      <c r="DVB2" s="42"/>
      <c r="DVC2" s="42"/>
      <c r="DVD2" s="42"/>
      <c r="DVE2" s="42"/>
      <c r="DVF2" s="42"/>
      <c r="DVG2" s="42"/>
      <c r="DVH2" s="42"/>
      <c r="DVI2" s="42"/>
      <c r="DVJ2" s="42"/>
      <c r="DVK2" s="42"/>
      <c r="DVL2" s="42"/>
      <c r="DVM2" s="42"/>
      <c r="DVN2" s="42"/>
      <c r="DVO2" s="42"/>
      <c r="DVP2" s="42"/>
      <c r="DVQ2" s="42"/>
      <c r="DVR2" s="42"/>
      <c r="DVS2" s="42"/>
      <c r="DVT2" s="42"/>
      <c r="DVU2" s="42"/>
      <c r="DVV2" s="42"/>
      <c r="DVW2" s="42"/>
      <c r="DVX2" s="42"/>
      <c r="DVY2" s="42"/>
      <c r="DVZ2" s="42"/>
      <c r="DWA2" s="42"/>
      <c r="DWB2" s="42"/>
      <c r="DWC2" s="42"/>
      <c r="DWD2" s="42"/>
      <c r="DWE2" s="42"/>
      <c r="DWF2" s="42"/>
      <c r="DWG2" s="42"/>
      <c r="DWH2" s="42"/>
      <c r="DWI2" s="42"/>
      <c r="DWJ2" s="42"/>
      <c r="DWK2" s="42"/>
      <c r="DWL2" s="42"/>
      <c r="DWM2" s="42"/>
      <c r="DWN2" s="42"/>
      <c r="DWO2" s="42"/>
      <c r="DWP2" s="42"/>
      <c r="DWQ2" s="42"/>
      <c r="DWR2" s="42"/>
      <c r="DWS2" s="42"/>
      <c r="DWT2" s="42"/>
      <c r="DWU2" s="42"/>
      <c r="DWV2" s="42"/>
      <c r="DWW2" s="42"/>
      <c r="DWX2" s="42"/>
      <c r="DWY2" s="42"/>
      <c r="DWZ2" s="42"/>
      <c r="DXA2" s="42"/>
      <c r="DXB2" s="42"/>
      <c r="DXC2" s="42"/>
      <c r="DXD2" s="42"/>
      <c r="DXE2" s="42"/>
      <c r="DXF2" s="42"/>
      <c r="DXG2" s="42"/>
      <c r="DXH2" s="42"/>
      <c r="DXI2" s="42"/>
      <c r="DXJ2" s="42"/>
      <c r="DXK2" s="42"/>
      <c r="DXL2" s="42"/>
      <c r="DXM2" s="42"/>
      <c r="DXN2" s="42"/>
      <c r="DXO2" s="42"/>
      <c r="DXP2" s="42"/>
      <c r="DXQ2" s="42"/>
      <c r="DXR2" s="42"/>
      <c r="DXS2" s="42"/>
      <c r="DXT2" s="42"/>
      <c r="DXU2" s="42"/>
      <c r="DXV2" s="42"/>
      <c r="DXW2" s="42"/>
      <c r="DXX2" s="42"/>
      <c r="DXY2" s="42"/>
      <c r="DXZ2" s="42"/>
      <c r="DYA2" s="42"/>
      <c r="DYB2" s="42"/>
      <c r="DYC2" s="42"/>
      <c r="DYD2" s="42"/>
      <c r="DYE2" s="42"/>
      <c r="DYF2" s="42"/>
      <c r="DYG2" s="42"/>
      <c r="DYH2" s="42"/>
      <c r="DYI2" s="42"/>
      <c r="DYJ2" s="42"/>
      <c r="DYK2" s="42"/>
      <c r="DYL2" s="42"/>
      <c r="DYM2" s="42"/>
      <c r="DYN2" s="42"/>
      <c r="DYO2" s="42"/>
      <c r="DYP2" s="42"/>
      <c r="DYQ2" s="42"/>
      <c r="DYR2" s="42"/>
      <c r="DYS2" s="42"/>
      <c r="DYT2" s="42"/>
      <c r="DYU2" s="42"/>
      <c r="DYV2" s="42"/>
      <c r="DYW2" s="42"/>
      <c r="DYX2" s="42"/>
      <c r="DYY2" s="42"/>
      <c r="DYZ2" s="42"/>
      <c r="DZA2" s="42"/>
      <c r="DZB2" s="42"/>
      <c r="DZC2" s="42"/>
      <c r="DZD2" s="42"/>
      <c r="DZE2" s="42"/>
      <c r="DZF2" s="42"/>
      <c r="DZG2" s="42"/>
      <c r="DZH2" s="42"/>
      <c r="DZI2" s="42"/>
      <c r="DZJ2" s="42"/>
      <c r="DZK2" s="42"/>
      <c r="DZL2" s="42"/>
      <c r="DZM2" s="42"/>
      <c r="DZN2" s="42"/>
      <c r="DZO2" s="42"/>
      <c r="DZP2" s="42"/>
      <c r="DZQ2" s="42"/>
      <c r="DZR2" s="42"/>
      <c r="DZS2" s="42"/>
      <c r="DZT2" s="42"/>
      <c r="DZU2" s="42"/>
      <c r="DZV2" s="42"/>
      <c r="DZW2" s="42"/>
      <c r="DZX2" s="42"/>
      <c r="DZY2" s="42"/>
      <c r="DZZ2" s="42"/>
      <c r="EAA2" s="42"/>
      <c r="EAB2" s="42"/>
      <c r="EAC2" s="42"/>
      <c r="EAD2" s="42"/>
      <c r="EAE2" s="42"/>
      <c r="EAF2" s="42"/>
      <c r="EAG2" s="42"/>
      <c r="EAH2" s="42"/>
      <c r="EAI2" s="42"/>
      <c r="EAJ2" s="42"/>
      <c r="EAK2" s="42"/>
      <c r="EAL2" s="42"/>
      <c r="EAM2" s="42"/>
      <c r="EAN2" s="42"/>
      <c r="EAO2" s="42"/>
      <c r="EAP2" s="42"/>
      <c r="EAQ2" s="42"/>
      <c r="EAR2" s="42"/>
      <c r="EAS2" s="42"/>
      <c r="EAT2" s="42"/>
      <c r="EAU2" s="42"/>
      <c r="EAV2" s="42"/>
      <c r="EAW2" s="42"/>
      <c r="EAX2" s="42"/>
      <c r="EAY2" s="42"/>
      <c r="EAZ2" s="42"/>
      <c r="EBA2" s="42"/>
      <c r="EBB2" s="42"/>
      <c r="EBC2" s="42"/>
      <c r="EBD2" s="42"/>
      <c r="EBE2" s="42"/>
      <c r="EBF2" s="42"/>
      <c r="EBG2" s="42"/>
      <c r="EBH2" s="42"/>
      <c r="EBI2" s="42"/>
      <c r="EBJ2" s="42"/>
      <c r="EBK2" s="42"/>
      <c r="EBL2" s="42"/>
      <c r="EBM2" s="42"/>
      <c r="EBN2" s="42"/>
      <c r="EBO2" s="42"/>
      <c r="EBP2" s="42"/>
      <c r="EBQ2" s="42"/>
      <c r="EBR2" s="42"/>
      <c r="EBS2" s="42"/>
      <c r="EBT2" s="42"/>
      <c r="EBU2" s="42"/>
      <c r="EBV2" s="42"/>
      <c r="EBW2" s="42"/>
      <c r="EBX2" s="42"/>
      <c r="EBY2" s="42"/>
      <c r="EBZ2" s="42"/>
      <c r="ECA2" s="42"/>
      <c r="ECB2" s="42"/>
      <c r="ECC2" s="42"/>
      <c r="ECD2" s="42"/>
      <c r="ECE2" s="42"/>
      <c r="ECF2" s="42"/>
      <c r="ECG2" s="42"/>
      <c r="ECH2" s="42"/>
      <c r="ECI2" s="42"/>
      <c r="ECJ2" s="42"/>
      <c r="ECK2" s="42"/>
      <c r="ECL2" s="42"/>
      <c r="ECM2" s="42"/>
      <c r="ECN2" s="42"/>
      <c r="ECO2" s="42"/>
      <c r="ECP2" s="42"/>
      <c r="ECQ2" s="42"/>
      <c r="ECR2" s="42"/>
      <c r="ECS2" s="42"/>
      <c r="ECT2" s="42"/>
      <c r="ECU2" s="42"/>
      <c r="ECV2" s="42"/>
      <c r="ECW2" s="42"/>
      <c r="ECX2" s="42"/>
      <c r="ECY2" s="42"/>
      <c r="ECZ2" s="42"/>
      <c r="EDA2" s="42"/>
      <c r="EDB2" s="42"/>
      <c r="EDC2" s="42"/>
      <c r="EDD2" s="42"/>
      <c r="EDE2" s="42"/>
      <c r="EDF2" s="42"/>
      <c r="EDG2" s="42"/>
      <c r="EDH2" s="42"/>
      <c r="EDI2" s="42"/>
      <c r="EDJ2" s="42"/>
      <c r="EDK2" s="42"/>
      <c r="EDL2" s="42"/>
      <c r="EDM2" s="42"/>
      <c r="EDN2" s="42"/>
      <c r="EDO2" s="42"/>
      <c r="EDP2" s="42"/>
      <c r="EDQ2" s="42"/>
      <c r="EDR2" s="42"/>
      <c r="EDS2" s="42"/>
      <c r="EDT2" s="42"/>
      <c r="EDU2" s="42"/>
      <c r="EDV2" s="42"/>
      <c r="EDW2" s="42"/>
      <c r="EDX2" s="42"/>
      <c r="EDY2" s="42"/>
      <c r="EDZ2" s="42"/>
      <c r="EEA2" s="42"/>
      <c r="EEB2" s="42"/>
      <c r="EEC2" s="42"/>
      <c r="EED2" s="42"/>
      <c r="EEE2" s="42"/>
      <c r="EEF2" s="42"/>
      <c r="EEG2" s="42"/>
      <c r="EEH2" s="42"/>
      <c r="EEI2" s="42"/>
      <c r="EEJ2" s="42"/>
      <c r="EEK2" s="42"/>
      <c r="EEL2" s="42"/>
      <c r="EEM2" s="42"/>
      <c r="EEN2" s="42"/>
      <c r="EEO2" s="42"/>
      <c r="EEP2" s="42"/>
      <c r="EEQ2" s="42"/>
      <c r="EER2" s="42"/>
      <c r="EES2" s="42"/>
      <c r="EET2" s="42"/>
      <c r="EEU2" s="42"/>
      <c r="EEV2" s="42"/>
      <c r="EEW2" s="42"/>
      <c r="EEX2" s="42"/>
      <c r="EEY2" s="42"/>
      <c r="EEZ2" s="42"/>
      <c r="EFA2" s="42"/>
      <c r="EFB2" s="42"/>
      <c r="EFC2" s="42"/>
      <c r="EFD2" s="42"/>
      <c r="EFE2" s="42"/>
      <c r="EFF2" s="42"/>
      <c r="EFG2" s="42"/>
      <c r="EFH2" s="42"/>
      <c r="EFI2" s="42"/>
      <c r="EFJ2" s="42"/>
      <c r="EFK2" s="42"/>
      <c r="EFL2" s="42"/>
      <c r="EFM2" s="42"/>
      <c r="EFN2" s="42"/>
      <c r="EFO2" s="42"/>
      <c r="EFP2" s="42"/>
      <c r="EFQ2" s="42"/>
      <c r="EFR2" s="42"/>
      <c r="EFS2" s="42"/>
      <c r="EFT2" s="42"/>
      <c r="EFU2" s="42"/>
      <c r="EFV2" s="42"/>
      <c r="EFW2" s="42"/>
      <c r="EFX2" s="42"/>
      <c r="EFY2" s="42"/>
      <c r="EFZ2" s="42"/>
      <c r="EGA2" s="42"/>
      <c r="EGB2" s="42"/>
      <c r="EGC2" s="42"/>
      <c r="EGD2" s="42"/>
      <c r="EGE2" s="42"/>
      <c r="EGF2" s="42"/>
      <c r="EGG2" s="42"/>
      <c r="EGH2" s="42"/>
      <c r="EGI2" s="42"/>
      <c r="EGJ2" s="42"/>
      <c r="EGK2" s="42"/>
      <c r="EGL2" s="42"/>
      <c r="EGM2" s="42"/>
      <c r="EGN2" s="42"/>
      <c r="EGO2" s="42"/>
      <c r="EGP2" s="42"/>
      <c r="EGQ2" s="42"/>
      <c r="EGR2" s="42"/>
      <c r="EGS2" s="42"/>
      <c r="EGT2" s="42"/>
      <c r="EGU2" s="42"/>
      <c r="EGV2" s="42"/>
      <c r="EGW2" s="42"/>
      <c r="EGX2" s="42"/>
      <c r="EGY2" s="42"/>
      <c r="EGZ2" s="42"/>
      <c r="EHA2" s="42"/>
      <c r="EHB2" s="42"/>
      <c r="EHC2" s="42"/>
      <c r="EHD2" s="42"/>
      <c r="EHE2" s="42"/>
      <c r="EHF2" s="42"/>
      <c r="EHG2" s="42"/>
      <c r="EHH2" s="42"/>
      <c r="EHI2" s="42"/>
      <c r="EHJ2" s="42"/>
      <c r="EHK2" s="42"/>
      <c r="EHL2" s="42"/>
      <c r="EHM2" s="42"/>
      <c r="EHN2" s="42"/>
      <c r="EHO2" s="42"/>
      <c r="EHP2" s="42"/>
      <c r="EHQ2" s="42"/>
      <c r="EHR2" s="42"/>
      <c r="EHS2" s="42"/>
      <c r="EHT2" s="42"/>
      <c r="EHU2" s="42"/>
      <c r="EHV2" s="42"/>
      <c r="EHW2" s="42"/>
      <c r="EHX2" s="42"/>
      <c r="EHY2" s="42"/>
      <c r="EHZ2" s="42"/>
      <c r="EIA2" s="42"/>
      <c r="EIB2" s="42"/>
      <c r="EIC2" s="42"/>
      <c r="EID2" s="42"/>
      <c r="EIE2" s="42"/>
      <c r="EIF2" s="42"/>
      <c r="EIG2" s="42"/>
      <c r="EIH2" s="42"/>
      <c r="EII2" s="42"/>
      <c r="EIJ2" s="42"/>
      <c r="EIK2" s="42"/>
      <c r="EIL2" s="42"/>
      <c r="EIM2" s="42"/>
      <c r="EIN2" s="42"/>
      <c r="EIO2" s="42"/>
      <c r="EIP2" s="42"/>
      <c r="EIQ2" s="42"/>
      <c r="EIR2" s="42"/>
      <c r="EIS2" s="42"/>
      <c r="EIT2" s="42"/>
      <c r="EIU2" s="42"/>
      <c r="EIV2" s="42"/>
      <c r="EIW2" s="42"/>
      <c r="EIX2" s="42"/>
      <c r="EIY2" s="42"/>
      <c r="EIZ2" s="42"/>
      <c r="EJA2" s="42"/>
      <c r="EJB2" s="42"/>
      <c r="EJC2" s="42"/>
      <c r="EJD2" s="42"/>
      <c r="EJE2" s="42"/>
      <c r="EJF2" s="42"/>
      <c r="EJG2" s="42"/>
      <c r="EJH2" s="42"/>
      <c r="EJI2" s="42"/>
      <c r="EJJ2" s="42"/>
      <c r="EJK2" s="42"/>
      <c r="EJL2" s="42"/>
      <c r="EJM2" s="42"/>
      <c r="EJN2" s="42"/>
      <c r="EJO2" s="42"/>
      <c r="EJP2" s="42"/>
      <c r="EJQ2" s="42"/>
      <c r="EJR2" s="42"/>
      <c r="EJS2" s="42"/>
      <c r="EJT2" s="42"/>
      <c r="EJU2" s="42"/>
      <c r="EJV2" s="42"/>
      <c r="EJW2" s="42"/>
      <c r="EJX2" s="42"/>
      <c r="EJY2" s="42"/>
      <c r="EJZ2" s="42"/>
      <c r="EKA2" s="42"/>
      <c r="EKB2" s="42"/>
      <c r="EKC2" s="42"/>
      <c r="EKD2" s="42"/>
      <c r="EKE2" s="42"/>
      <c r="EKF2" s="42"/>
      <c r="EKG2" s="42"/>
      <c r="EKH2" s="42"/>
      <c r="EKI2" s="42"/>
      <c r="EKJ2" s="42"/>
      <c r="EKK2" s="42"/>
      <c r="EKL2" s="42"/>
      <c r="EKM2" s="42"/>
      <c r="EKN2" s="42"/>
      <c r="EKO2" s="42"/>
      <c r="EKP2" s="42"/>
      <c r="EKQ2" s="42"/>
      <c r="EKR2" s="42"/>
      <c r="EKS2" s="42"/>
      <c r="EKT2" s="42"/>
      <c r="EKU2" s="42"/>
      <c r="EKV2" s="42"/>
      <c r="EKW2" s="42"/>
      <c r="EKX2" s="42"/>
      <c r="EKY2" s="42"/>
      <c r="EKZ2" s="42"/>
      <c r="ELA2" s="42"/>
      <c r="ELB2" s="42"/>
      <c r="ELC2" s="42"/>
      <c r="ELD2" s="42"/>
      <c r="ELE2" s="42"/>
      <c r="ELF2" s="42"/>
      <c r="ELG2" s="42"/>
      <c r="ELH2" s="42"/>
      <c r="ELI2" s="42"/>
      <c r="ELJ2" s="42"/>
      <c r="ELK2" s="42"/>
      <c r="ELL2" s="42"/>
      <c r="ELM2" s="42"/>
      <c r="ELN2" s="42"/>
      <c r="ELO2" s="42"/>
      <c r="ELP2" s="42"/>
      <c r="ELQ2" s="42"/>
      <c r="ELR2" s="42"/>
      <c r="ELS2" s="42"/>
      <c r="ELT2" s="42"/>
      <c r="ELU2" s="42"/>
      <c r="ELV2" s="42"/>
      <c r="ELW2" s="42"/>
      <c r="ELX2" s="42"/>
      <c r="ELY2" s="42"/>
      <c r="ELZ2" s="42"/>
      <c r="EMA2" s="42"/>
      <c r="EMB2" s="42"/>
      <c r="EMC2" s="42"/>
      <c r="EMD2" s="42"/>
      <c r="EME2" s="42"/>
      <c r="EMF2" s="42"/>
      <c r="EMG2" s="42"/>
      <c r="EMH2" s="42"/>
      <c r="EMI2" s="42"/>
      <c r="EMJ2" s="42"/>
      <c r="EMK2" s="42"/>
      <c r="EML2" s="42"/>
      <c r="EMM2" s="42"/>
      <c r="EMN2" s="42"/>
      <c r="EMO2" s="42"/>
      <c r="EMP2" s="42"/>
      <c r="EMQ2" s="42"/>
      <c r="EMR2" s="42"/>
      <c r="EMS2" s="42"/>
      <c r="EMT2" s="42"/>
      <c r="EMU2" s="42"/>
      <c r="EMV2" s="42"/>
      <c r="EMW2" s="42"/>
      <c r="EMX2" s="42"/>
      <c r="EMY2" s="42"/>
      <c r="EMZ2" s="42"/>
      <c r="ENA2" s="42"/>
      <c r="ENB2" s="42"/>
      <c r="ENC2" s="42"/>
      <c r="END2" s="42"/>
      <c r="ENE2" s="42"/>
      <c r="ENF2" s="42"/>
      <c r="ENG2" s="42"/>
      <c r="ENH2" s="42"/>
      <c r="ENI2" s="42"/>
      <c r="ENJ2" s="42"/>
      <c r="ENK2" s="42"/>
      <c r="ENL2" s="42"/>
      <c r="ENM2" s="42"/>
      <c r="ENN2" s="42"/>
      <c r="ENO2" s="42"/>
      <c r="ENP2" s="42"/>
      <c r="ENQ2" s="42"/>
      <c r="ENR2" s="42"/>
      <c r="ENS2" s="42"/>
      <c r="ENT2" s="42"/>
      <c r="ENU2" s="42"/>
      <c r="ENV2" s="42"/>
      <c r="ENW2" s="42"/>
      <c r="ENX2" s="42"/>
      <c r="ENY2" s="42"/>
      <c r="ENZ2" s="42"/>
      <c r="EOA2" s="42"/>
      <c r="EOB2" s="42"/>
      <c r="EOC2" s="42"/>
      <c r="EOD2" s="42"/>
      <c r="EOE2" s="42"/>
      <c r="EOF2" s="42"/>
      <c r="EOG2" s="42"/>
      <c r="EOH2" s="42"/>
      <c r="EOI2" s="42"/>
      <c r="EOJ2" s="42"/>
      <c r="EOK2" s="42"/>
      <c r="EOL2" s="42"/>
      <c r="EOM2" s="42"/>
      <c r="EON2" s="42"/>
      <c r="EOO2" s="42"/>
      <c r="EOP2" s="42"/>
      <c r="EOQ2" s="42"/>
      <c r="EOR2" s="42"/>
      <c r="EOS2" s="42"/>
      <c r="EOT2" s="42"/>
      <c r="EOU2" s="42"/>
      <c r="EOV2" s="42"/>
      <c r="EOW2" s="42"/>
      <c r="EOX2" s="42"/>
      <c r="EOY2" s="42"/>
      <c r="EOZ2" s="42"/>
      <c r="EPA2" s="42"/>
      <c r="EPB2" s="42"/>
      <c r="EPC2" s="42"/>
      <c r="EPD2" s="42"/>
      <c r="EPE2" s="42"/>
      <c r="EPF2" s="42"/>
      <c r="EPG2" s="42"/>
      <c r="EPH2" s="42"/>
      <c r="EPI2" s="42"/>
      <c r="EPJ2" s="42"/>
      <c r="EPK2" s="42"/>
      <c r="EPL2" s="42"/>
      <c r="EPM2" s="42"/>
      <c r="EPN2" s="42"/>
      <c r="EPO2" s="42"/>
      <c r="EPP2" s="42"/>
      <c r="EPQ2" s="42"/>
      <c r="EPR2" s="42"/>
      <c r="EPS2" s="42"/>
      <c r="EPT2" s="42"/>
      <c r="EPU2" s="42"/>
      <c r="EPV2" s="42"/>
      <c r="EPW2" s="42"/>
      <c r="EPX2" s="42"/>
      <c r="EPY2" s="42"/>
      <c r="EPZ2" s="42"/>
      <c r="EQA2" s="42"/>
      <c r="EQB2" s="42"/>
      <c r="EQC2" s="42"/>
      <c r="EQD2" s="42"/>
      <c r="EQE2" s="42"/>
      <c r="EQF2" s="42"/>
      <c r="EQG2" s="42"/>
      <c r="EQH2" s="42"/>
      <c r="EQI2" s="42"/>
      <c r="EQJ2" s="42"/>
      <c r="EQK2" s="42"/>
      <c r="EQL2" s="42"/>
      <c r="EQM2" s="42"/>
      <c r="EQN2" s="42"/>
      <c r="EQO2" s="42"/>
      <c r="EQP2" s="42"/>
      <c r="EQQ2" s="42"/>
      <c r="EQR2" s="42"/>
      <c r="EQS2" s="42"/>
      <c r="EQT2" s="42"/>
      <c r="EQU2" s="42"/>
      <c r="EQV2" s="42"/>
      <c r="EQW2" s="42"/>
      <c r="EQX2" s="42"/>
      <c r="EQY2" s="42"/>
      <c r="EQZ2" s="42"/>
      <c r="ERA2" s="42"/>
      <c r="ERB2" s="42"/>
      <c r="ERC2" s="42"/>
      <c r="ERD2" s="42"/>
      <c r="ERE2" s="42"/>
      <c r="ERF2" s="42"/>
      <c r="ERG2" s="42"/>
      <c r="ERH2" s="42"/>
      <c r="ERI2" s="42"/>
      <c r="ERJ2" s="42"/>
      <c r="ERK2" s="42"/>
      <c r="ERL2" s="42"/>
      <c r="ERM2" s="42"/>
      <c r="ERN2" s="42"/>
      <c r="ERO2" s="42"/>
      <c r="ERP2" s="42"/>
      <c r="ERQ2" s="42"/>
      <c r="ERR2" s="42"/>
      <c r="ERS2" s="42"/>
      <c r="ERT2" s="42"/>
      <c r="ERU2" s="42"/>
      <c r="ERV2" s="42"/>
      <c r="ERW2" s="42"/>
      <c r="ERX2" s="42"/>
      <c r="ERY2" s="42"/>
      <c r="ERZ2" s="42"/>
      <c r="ESA2" s="42"/>
      <c r="ESB2" s="42"/>
      <c r="ESC2" s="42"/>
      <c r="ESD2" s="42"/>
      <c r="ESE2" s="42"/>
      <c r="ESF2" s="42"/>
      <c r="ESG2" s="42"/>
      <c r="ESH2" s="42"/>
      <c r="ESI2" s="42"/>
      <c r="ESJ2" s="42"/>
      <c r="ESK2" s="42"/>
      <c r="ESL2" s="42"/>
      <c r="ESM2" s="42"/>
      <c r="ESN2" s="42"/>
      <c r="ESO2" s="42"/>
      <c r="ESP2" s="42"/>
      <c r="ESQ2" s="42"/>
      <c r="ESR2" s="42"/>
      <c r="ESS2" s="42"/>
      <c r="EST2" s="42"/>
      <c r="ESU2" s="42"/>
      <c r="ESV2" s="42"/>
      <c r="ESW2" s="42"/>
      <c r="ESX2" s="42"/>
      <c r="ESY2" s="42"/>
      <c r="ESZ2" s="42"/>
      <c r="ETA2" s="42"/>
      <c r="ETB2" s="42"/>
      <c r="ETC2" s="42"/>
      <c r="ETD2" s="42"/>
      <c r="ETE2" s="42"/>
      <c r="ETF2" s="42"/>
      <c r="ETG2" s="42"/>
      <c r="ETH2" s="42"/>
      <c r="ETI2" s="42"/>
      <c r="ETJ2" s="42"/>
      <c r="ETK2" s="42"/>
      <c r="ETL2" s="42"/>
      <c r="ETM2" s="42"/>
      <c r="ETN2" s="42"/>
      <c r="ETO2" s="42"/>
      <c r="ETP2" s="42"/>
      <c r="ETQ2" s="42"/>
      <c r="ETR2" s="42"/>
      <c r="ETS2" s="42"/>
      <c r="ETT2" s="42"/>
      <c r="ETU2" s="42"/>
      <c r="ETV2" s="42"/>
      <c r="ETW2" s="42"/>
      <c r="ETX2" s="42"/>
      <c r="ETY2" s="42"/>
      <c r="ETZ2" s="42"/>
      <c r="EUA2" s="42"/>
      <c r="EUB2" s="42"/>
      <c r="EUC2" s="42"/>
      <c r="EUD2" s="42"/>
      <c r="EUE2" s="42"/>
      <c r="EUF2" s="42"/>
      <c r="EUG2" s="42"/>
      <c r="EUH2" s="42"/>
      <c r="EUI2" s="42"/>
      <c r="EUJ2" s="42"/>
      <c r="EUK2" s="42"/>
      <c r="EUL2" s="42"/>
      <c r="EUM2" s="42"/>
      <c r="EUN2" s="42"/>
      <c r="EUO2" s="42"/>
      <c r="EUP2" s="42"/>
      <c r="EUQ2" s="42"/>
      <c r="EUR2" s="42"/>
      <c r="EUS2" s="42"/>
      <c r="EUT2" s="42"/>
      <c r="EUU2" s="42"/>
      <c r="EUV2" s="42"/>
      <c r="EUW2" s="42"/>
      <c r="EUX2" s="42"/>
      <c r="EUY2" s="42"/>
      <c r="EUZ2" s="42"/>
      <c r="EVA2" s="42"/>
      <c r="EVB2" s="42"/>
      <c r="EVC2" s="42"/>
      <c r="EVD2" s="42"/>
      <c r="EVE2" s="42"/>
      <c r="EVF2" s="42"/>
      <c r="EVG2" s="42"/>
      <c r="EVH2" s="42"/>
      <c r="EVI2" s="42"/>
      <c r="EVJ2" s="42"/>
      <c r="EVK2" s="42"/>
      <c r="EVL2" s="42"/>
      <c r="EVM2" s="42"/>
      <c r="EVN2" s="42"/>
      <c r="EVO2" s="42"/>
      <c r="EVP2" s="42"/>
      <c r="EVQ2" s="42"/>
      <c r="EVR2" s="42"/>
      <c r="EVS2" s="42"/>
      <c r="EVT2" s="42"/>
      <c r="EVU2" s="42"/>
      <c r="EVV2" s="42"/>
      <c r="EVW2" s="42"/>
      <c r="EVX2" s="42"/>
      <c r="EVY2" s="42"/>
      <c r="EVZ2" s="42"/>
      <c r="EWA2" s="42"/>
      <c r="EWB2" s="42"/>
      <c r="EWC2" s="42"/>
      <c r="EWD2" s="42"/>
      <c r="EWE2" s="42"/>
      <c r="EWF2" s="42"/>
      <c r="EWG2" s="42"/>
      <c r="EWH2" s="42"/>
      <c r="EWI2" s="42"/>
      <c r="EWJ2" s="42"/>
      <c r="EWK2" s="42"/>
      <c r="EWL2" s="42"/>
      <c r="EWM2" s="42"/>
      <c r="EWN2" s="42"/>
      <c r="EWO2" s="42"/>
      <c r="EWP2" s="42"/>
      <c r="EWQ2" s="42"/>
      <c r="EWR2" s="42"/>
      <c r="EWS2" s="42"/>
      <c r="EWT2" s="42"/>
      <c r="EWU2" s="42"/>
      <c r="EWV2" s="42"/>
      <c r="EWW2" s="42"/>
      <c r="EWX2" s="42"/>
      <c r="EWY2" s="42"/>
      <c r="EWZ2" s="42"/>
      <c r="EXA2" s="42"/>
      <c r="EXB2" s="42"/>
      <c r="EXC2" s="42"/>
      <c r="EXD2" s="42"/>
      <c r="EXE2" s="42"/>
      <c r="EXF2" s="42"/>
      <c r="EXG2" s="42"/>
      <c r="EXH2" s="42"/>
      <c r="EXI2" s="42"/>
      <c r="EXJ2" s="42"/>
      <c r="EXK2" s="42"/>
      <c r="EXL2" s="42"/>
      <c r="EXM2" s="42"/>
      <c r="EXN2" s="42"/>
      <c r="EXO2" s="42"/>
      <c r="EXP2" s="42"/>
      <c r="EXQ2" s="42"/>
      <c r="EXR2" s="42"/>
      <c r="EXS2" s="42"/>
      <c r="EXT2" s="42"/>
      <c r="EXU2" s="42"/>
      <c r="EXV2" s="42"/>
      <c r="EXW2" s="42"/>
      <c r="EXX2" s="42"/>
      <c r="EXY2" s="42"/>
      <c r="EXZ2" s="42"/>
      <c r="EYA2" s="42"/>
      <c r="EYB2" s="42"/>
      <c r="EYC2" s="42"/>
      <c r="EYD2" s="42"/>
      <c r="EYE2" s="42"/>
      <c r="EYF2" s="42"/>
      <c r="EYG2" s="42"/>
      <c r="EYH2" s="42"/>
      <c r="EYI2" s="42"/>
      <c r="EYJ2" s="42"/>
      <c r="EYK2" s="42"/>
      <c r="EYL2" s="42"/>
      <c r="EYM2" s="42"/>
      <c r="EYN2" s="42"/>
      <c r="EYO2" s="42"/>
      <c r="EYP2" s="42"/>
      <c r="EYQ2" s="42"/>
      <c r="EYR2" s="42"/>
      <c r="EYS2" s="42"/>
      <c r="EYT2" s="42"/>
      <c r="EYU2" s="42"/>
      <c r="EYV2" s="42"/>
      <c r="EYW2" s="42"/>
      <c r="EYX2" s="42"/>
      <c r="EYY2" s="42"/>
      <c r="EYZ2" s="42"/>
      <c r="EZA2" s="42"/>
      <c r="EZB2" s="42"/>
      <c r="EZC2" s="42"/>
      <c r="EZD2" s="42"/>
      <c r="EZE2" s="42"/>
      <c r="EZF2" s="42"/>
      <c r="EZG2" s="42"/>
      <c r="EZH2" s="42"/>
      <c r="EZI2" s="42"/>
      <c r="EZJ2" s="42"/>
      <c r="EZK2" s="42"/>
      <c r="EZL2" s="42"/>
      <c r="EZM2" s="42"/>
      <c r="EZN2" s="42"/>
      <c r="EZO2" s="42"/>
      <c r="EZP2" s="42"/>
      <c r="EZQ2" s="42"/>
      <c r="EZR2" s="42"/>
      <c r="EZS2" s="42"/>
      <c r="EZT2" s="42"/>
      <c r="EZU2" s="42"/>
      <c r="EZV2" s="42"/>
      <c r="EZW2" s="42"/>
      <c r="EZX2" s="42"/>
      <c r="EZY2" s="42"/>
      <c r="EZZ2" s="42"/>
      <c r="FAA2" s="42"/>
      <c r="FAB2" s="42"/>
      <c r="FAC2" s="42"/>
      <c r="FAD2" s="42"/>
      <c r="FAE2" s="42"/>
      <c r="FAF2" s="42"/>
      <c r="FAG2" s="42"/>
      <c r="FAH2" s="42"/>
      <c r="FAI2" s="42"/>
      <c r="FAJ2" s="42"/>
      <c r="FAK2" s="42"/>
      <c r="FAL2" s="42"/>
      <c r="FAM2" s="42"/>
      <c r="FAN2" s="42"/>
      <c r="FAO2" s="42"/>
      <c r="FAP2" s="42"/>
      <c r="FAQ2" s="42"/>
      <c r="FAR2" s="42"/>
      <c r="FAS2" s="42"/>
      <c r="FAT2" s="42"/>
      <c r="FAU2" s="42"/>
      <c r="FAV2" s="42"/>
      <c r="FAW2" s="42"/>
      <c r="FAX2" s="42"/>
      <c r="FAY2" s="42"/>
      <c r="FAZ2" s="42"/>
      <c r="FBA2" s="42"/>
      <c r="FBB2" s="42"/>
      <c r="FBC2" s="42"/>
      <c r="FBD2" s="42"/>
      <c r="FBE2" s="42"/>
      <c r="FBF2" s="42"/>
      <c r="FBG2" s="42"/>
      <c r="FBH2" s="42"/>
      <c r="FBI2" s="42"/>
      <c r="FBJ2" s="42"/>
      <c r="FBK2" s="42"/>
      <c r="FBL2" s="42"/>
      <c r="FBM2" s="42"/>
      <c r="FBN2" s="42"/>
      <c r="FBO2" s="42"/>
      <c r="FBP2" s="42"/>
      <c r="FBQ2" s="42"/>
      <c r="FBR2" s="42"/>
      <c r="FBS2" s="42"/>
      <c r="FBT2" s="42"/>
      <c r="FBU2" s="42"/>
      <c r="FBV2" s="42"/>
      <c r="FBW2" s="42"/>
      <c r="FBX2" s="42"/>
      <c r="FBY2" s="42"/>
      <c r="FBZ2" s="42"/>
      <c r="FCA2" s="42"/>
      <c r="FCB2" s="42"/>
      <c r="FCC2" s="42"/>
      <c r="FCD2" s="42"/>
      <c r="FCE2" s="42"/>
      <c r="FCF2" s="42"/>
      <c r="FCG2" s="42"/>
      <c r="FCH2" s="42"/>
      <c r="FCI2" s="42"/>
      <c r="FCJ2" s="42"/>
      <c r="FCK2" s="42"/>
      <c r="FCL2" s="42"/>
      <c r="FCM2" s="42"/>
      <c r="FCN2" s="42"/>
      <c r="FCO2" s="42"/>
      <c r="FCP2" s="42"/>
      <c r="FCQ2" s="42"/>
      <c r="FCR2" s="42"/>
      <c r="FCS2" s="42"/>
      <c r="FCT2" s="42"/>
      <c r="FCU2" s="42"/>
      <c r="FCV2" s="42"/>
      <c r="FCW2" s="42"/>
      <c r="FCX2" s="42"/>
      <c r="FCY2" s="42"/>
      <c r="FCZ2" s="42"/>
      <c r="FDA2" s="42"/>
      <c r="FDB2" s="42"/>
      <c r="FDC2" s="42"/>
      <c r="FDD2" s="42"/>
      <c r="FDE2" s="42"/>
      <c r="FDF2" s="42"/>
      <c r="FDG2" s="42"/>
      <c r="FDH2" s="42"/>
      <c r="FDI2" s="42"/>
      <c r="FDJ2" s="42"/>
      <c r="FDK2" s="42"/>
      <c r="FDL2" s="42"/>
      <c r="FDM2" s="42"/>
      <c r="FDN2" s="42"/>
      <c r="FDO2" s="42"/>
      <c r="FDP2" s="42"/>
      <c r="FDQ2" s="42"/>
      <c r="FDR2" s="42"/>
      <c r="FDS2" s="42"/>
      <c r="FDT2" s="42"/>
      <c r="FDU2" s="42"/>
      <c r="FDV2" s="42"/>
      <c r="FDW2" s="42"/>
      <c r="FDX2" s="42"/>
      <c r="FDY2" s="42"/>
      <c r="FDZ2" s="42"/>
      <c r="FEA2" s="42"/>
      <c r="FEB2" s="42"/>
      <c r="FEC2" s="42"/>
      <c r="FED2" s="42"/>
      <c r="FEE2" s="42"/>
      <c r="FEF2" s="42"/>
      <c r="FEG2" s="42"/>
      <c r="FEH2" s="42"/>
      <c r="FEI2" s="42"/>
      <c r="FEJ2" s="42"/>
      <c r="FEK2" s="42"/>
      <c r="FEL2" s="42"/>
      <c r="FEM2" s="42"/>
      <c r="FEN2" s="42"/>
      <c r="FEO2" s="42"/>
      <c r="FEP2" s="42"/>
      <c r="FEQ2" s="42"/>
      <c r="FER2" s="42"/>
      <c r="FES2" s="42"/>
      <c r="FET2" s="42"/>
      <c r="FEU2" s="42"/>
      <c r="FEV2" s="42"/>
      <c r="FEW2" s="42"/>
      <c r="FEX2" s="42"/>
      <c r="FEY2" s="42"/>
      <c r="FEZ2" s="42"/>
      <c r="FFA2" s="42"/>
      <c r="FFB2" s="42"/>
      <c r="FFC2" s="42"/>
      <c r="FFD2" s="42"/>
      <c r="FFE2" s="42"/>
      <c r="FFF2" s="42"/>
      <c r="FFG2" s="42"/>
      <c r="FFH2" s="42"/>
      <c r="FFI2" s="42"/>
      <c r="FFJ2" s="42"/>
      <c r="FFK2" s="42"/>
      <c r="FFL2" s="42"/>
      <c r="FFM2" s="42"/>
      <c r="FFN2" s="42"/>
      <c r="FFO2" s="42"/>
      <c r="FFP2" s="42"/>
      <c r="FFQ2" s="42"/>
      <c r="FFR2" s="42"/>
      <c r="FFS2" s="42"/>
      <c r="FFT2" s="42"/>
      <c r="FFU2" s="42"/>
      <c r="FFV2" s="42"/>
      <c r="FFW2" s="42"/>
      <c r="FFX2" s="42"/>
      <c r="FFY2" s="42"/>
      <c r="FFZ2" s="42"/>
      <c r="FGA2" s="42"/>
      <c r="FGB2" s="42"/>
      <c r="FGC2" s="42"/>
      <c r="FGD2" s="42"/>
      <c r="FGE2" s="42"/>
      <c r="FGF2" s="42"/>
      <c r="FGG2" s="42"/>
      <c r="FGH2" s="42"/>
      <c r="FGI2" s="42"/>
      <c r="FGJ2" s="42"/>
      <c r="FGK2" s="42"/>
      <c r="FGL2" s="42"/>
      <c r="FGM2" s="42"/>
      <c r="FGN2" s="42"/>
      <c r="FGO2" s="42"/>
      <c r="FGP2" s="42"/>
      <c r="FGQ2" s="42"/>
      <c r="FGR2" s="42"/>
      <c r="FGS2" s="42"/>
      <c r="FGT2" s="42"/>
      <c r="FGU2" s="42"/>
      <c r="FGV2" s="42"/>
      <c r="FGW2" s="42"/>
      <c r="FGX2" s="42"/>
      <c r="FGY2" s="42"/>
      <c r="FGZ2" s="42"/>
      <c r="FHA2" s="42"/>
      <c r="FHB2" s="42"/>
      <c r="FHC2" s="42"/>
      <c r="FHD2" s="42"/>
      <c r="FHE2" s="42"/>
      <c r="FHF2" s="42"/>
      <c r="FHG2" s="42"/>
      <c r="FHH2" s="42"/>
      <c r="FHI2" s="42"/>
      <c r="FHJ2" s="42"/>
      <c r="FHK2" s="42"/>
      <c r="FHL2" s="42"/>
      <c r="FHM2" s="42"/>
      <c r="FHN2" s="42"/>
      <c r="FHO2" s="42"/>
      <c r="FHP2" s="42"/>
      <c r="FHQ2" s="42"/>
      <c r="FHR2" s="42"/>
      <c r="FHS2" s="42"/>
      <c r="FHT2" s="42"/>
      <c r="FHU2" s="42"/>
      <c r="FHV2" s="42"/>
      <c r="FHW2" s="42"/>
      <c r="FHX2" s="42"/>
      <c r="FHY2" s="42"/>
      <c r="FHZ2" s="42"/>
      <c r="FIA2" s="42"/>
      <c r="FIB2" s="42"/>
      <c r="FIC2" s="42"/>
      <c r="FID2" s="42"/>
      <c r="FIE2" s="42"/>
      <c r="FIF2" s="42"/>
      <c r="FIG2" s="42"/>
      <c r="FIH2" s="42"/>
      <c r="FII2" s="42"/>
      <c r="FIJ2" s="42"/>
      <c r="FIK2" s="42"/>
      <c r="FIL2" s="42"/>
      <c r="FIM2" s="42"/>
      <c r="FIN2" s="42"/>
      <c r="FIO2" s="42"/>
      <c r="FIP2" s="42"/>
      <c r="FIQ2" s="42"/>
      <c r="FIR2" s="42"/>
      <c r="FIS2" s="42"/>
      <c r="FIT2" s="42"/>
      <c r="FIU2" s="42"/>
      <c r="FIV2" s="42"/>
      <c r="FIW2" s="42"/>
      <c r="FIX2" s="42"/>
      <c r="FIY2" s="42"/>
      <c r="FIZ2" s="42"/>
      <c r="FJA2" s="42"/>
      <c r="FJB2" s="42"/>
      <c r="FJC2" s="42"/>
      <c r="FJD2" s="42"/>
      <c r="FJE2" s="42"/>
      <c r="FJF2" s="42"/>
      <c r="FJG2" s="42"/>
      <c r="FJH2" s="42"/>
      <c r="FJI2" s="42"/>
      <c r="FJJ2" s="42"/>
      <c r="FJK2" s="42"/>
      <c r="FJL2" s="42"/>
      <c r="FJM2" s="42"/>
      <c r="FJN2" s="42"/>
      <c r="FJO2" s="42"/>
      <c r="FJP2" s="42"/>
      <c r="FJQ2" s="42"/>
      <c r="FJR2" s="42"/>
      <c r="FJS2" s="42"/>
      <c r="FJT2" s="42"/>
      <c r="FJU2" s="42"/>
      <c r="FJV2" s="42"/>
      <c r="FJW2" s="42"/>
      <c r="FJX2" s="42"/>
      <c r="FJY2" s="42"/>
      <c r="FJZ2" s="42"/>
      <c r="FKA2" s="42"/>
      <c r="FKB2" s="42"/>
      <c r="FKC2" s="42"/>
      <c r="FKD2" s="42"/>
      <c r="FKE2" s="42"/>
      <c r="FKF2" s="42"/>
      <c r="FKG2" s="42"/>
      <c r="FKH2" s="42"/>
      <c r="FKI2" s="42"/>
      <c r="FKJ2" s="42"/>
      <c r="FKK2" s="42"/>
      <c r="FKL2" s="42"/>
      <c r="FKM2" s="42"/>
      <c r="FKN2" s="42"/>
      <c r="FKO2" s="42"/>
      <c r="FKP2" s="42"/>
      <c r="FKQ2" s="42"/>
      <c r="FKR2" s="42"/>
      <c r="FKS2" s="42"/>
      <c r="FKT2" s="42"/>
      <c r="FKU2" s="42"/>
      <c r="FKV2" s="42"/>
      <c r="FKW2" s="42"/>
      <c r="FKX2" s="42"/>
      <c r="FKY2" s="42"/>
      <c r="FKZ2" s="42"/>
      <c r="FLA2" s="42"/>
      <c r="FLB2" s="42"/>
      <c r="FLC2" s="42"/>
      <c r="FLD2" s="42"/>
      <c r="FLE2" s="42"/>
      <c r="FLF2" s="42"/>
      <c r="FLG2" s="42"/>
      <c r="FLH2" s="42"/>
      <c r="FLI2" s="42"/>
      <c r="FLJ2" s="42"/>
      <c r="FLK2" s="42"/>
      <c r="FLL2" s="42"/>
      <c r="FLM2" s="42"/>
      <c r="FLN2" s="42"/>
      <c r="FLO2" s="42"/>
      <c r="FLP2" s="42"/>
      <c r="FLQ2" s="42"/>
      <c r="FLR2" s="42"/>
      <c r="FLS2" s="42"/>
      <c r="FLT2" s="42"/>
      <c r="FLU2" s="42"/>
      <c r="FLV2" s="42"/>
      <c r="FLW2" s="42"/>
      <c r="FLX2" s="42"/>
      <c r="FLY2" s="42"/>
      <c r="FLZ2" s="42"/>
      <c r="FMA2" s="42"/>
      <c r="FMB2" s="42"/>
      <c r="FMC2" s="42"/>
      <c r="FMD2" s="42"/>
      <c r="FME2" s="42"/>
      <c r="FMF2" s="42"/>
      <c r="FMG2" s="42"/>
      <c r="FMH2" s="42"/>
      <c r="FMI2" s="42"/>
      <c r="FMJ2" s="42"/>
      <c r="FMK2" s="42"/>
      <c r="FML2" s="42"/>
      <c r="FMM2" s="42"/>
      <c r="FMN2" s="42"/>
      <c r="FMO2" s="42"/>
      <c r="FMP2" s="42"/>
      <c r="FMQ2" s="42"/>
      <c r="FMR2" s="42"/>
      <c r="FMS2" s="42"/>
      <c r="FMT2" s="42"/>
      <c r="FMU2" s="42"/>
      <c r="FMV2" s="42"/>
      <c r="FMW2" s="42"/>
      <c r="FMX2" s="42"/>
      <c r="FMY2" s="42"/>
      <c r="FMZ2" s="42"/>
      <c r="FNA2" s="42"/>
      <c r="FNB2" s="42"/>
      <c r="FNC2" s="42"/>
      <c r="FND2" s="42"/>
      <c r="FNE2" s="42"/>
      <c r="FNF2" s="42"/>
      <c r="FNG2" s="42"/>
      <c r="FNH2" s="42"/>
      <c r="FNI2" s="42"/>
      <c r="FNJ2" s="42"/>
      <c r="FNK2" s="42"/>
      <c r="FNL2" s="42"/>
      <c r="FNM2" s="42"/>
      <c r="FNN2" s="42"/>
      <c r="FNO2" s="42"/>
      <c r="FNP2" s="42"/>
      <c r="FNQ2" s="42"/>
      <c r="FNR2" s="42"/>
      <c r="FNS2" s="42"/>
      <c r="FNT2" s="42"/>
      <c r="FNU2" s="42"/>
      <c r="FNV2" s="42"/>
      <c r="FNW2" s="42"/>
      <c r="FNX2" s="42"/>
      <c r="FNY2" s="42"/>
      <c r="FNZ2" s="42"/>
      <c r="FOA2" s="42"/>
      <c r="FOB2" s="42"/>
      <c r="FOC2" s="42"/>
      <c r="FOD2" s="42"/>
      <c r="FOE2" s="42"/>
      <c r="FOF2" s="42"/>
      <c r="FOG2" s="42"/>
      <c r="FOH2" s="42"/>
      <c r="FOI2" s="42"/>
      <c r="FOJ2" s="42"/>
      <c r="FOK2" s="42"/>
      <c r="FOL2" s="42"/>
      <c r="FOM2" s="42"/>
      <c r="FON2" s="42"/>
      <c r="FOO2" s="42"/>
      <c r="FOP2" s="42"/>
      <c r="FOQ2" s="42"/>
      <c r="FOR2" s="42"/>
      <c r="FOS2" s="42"/>
      <c r="FOT2" s="42"/>
      <c r="FOU2" s="42"/>
      <c r="FOV2" s="42"/>
      <c r="FOW2" s="42"/>
      <c r="FOX2" s="42"/>
      <c r="FOY2" s="42"/>
      <c r="FOZ2" s="42"/>
      <c r="FPA2" s="42"/>
      <c r="FPB2" s="42"/>
      <c r="FPC2" s="42"/>
      <c r="FPD2" s="42"/>
      <c r="FPE2" s="42"/>
      <c r="FPF2" s="42"/>
      <c r="FPG2" s="42"/>
      <c r="FPH2" s="42"/>
      <c r="FPI2" s="42"/>
      <c r="FPJ2" s="42"/>
      <c r="FPK2" s="42"/>
      <c r="FPL2" s="42"/>
      <c r="FPM2" s="42"/>
      <c r="FPN2" s="42"/>
      <c r="FPO2" s="42"/>
      <c r="FPP2" s="42"/>
      <c r="FPQ2" s="42"/>
      <c r="FPR2" s="42"/>
      <c r="FPS2" s="42"/>
      <c r="FPT2" s="42"/>
      <c r="FPU2" s="42"/>
      <c r="FPV2" s="42"/>
      <c r="FPW2" s="42"/>
      <c r="FPX2" s="42"/>
      <c r="FPY2" s="42"/>
      <c r="FPZ2" s="42"/>
      <c r="FQA2" s="42"/>
      <c r="FQB2" s="42"/>
      <c r="FQC2" s="42"/>
      <c r="FQD2" s="42"/>
      <c r="FQE2" s="42"/>
      <c r="FQF2" s="42"/>
      <c r="FQG2" s="42"/>
      <c r="FQH2" s="42"/>
      <c r="FQI2" s="42"/>
      <c r="FQJ2" s="42"/>
      <c r="FQK2" s="42"/>
      <c r="FQL2" s="42"/>
      <c r="FQM2" s="42"/>
      <c r="FQN2" s="42"/>
      <c r="FQO2" s="42"/>
      <c r="FQP2" s="42"/>
      <c r="FQQ2" s="42"/>
      <c r="FQR2" s="42"/>
      <c r="FQS2" s="42"/>
      <c r="FQT2" s="42"/>
      <c r="FQU2" s="42"/>
      <c r="FQV2" s="42"/>
      <c r="FQW2" s="42"/>
      <c r="FQX2" s="42"/>
      <c r="FQY2" s="42"/>
      <c r="FQZ2" s="42"/>
      <c r="FRA2" s="42"/>
      <c r="FRB2" s="42"/>
      <c r="FRC2" s="42"/>
      <c r="FRD2" s="42"/>
      <c r="FRE2" s="42"/>
      <c r="FRF2" s="42"/>
      <c r="FRG2" s="42"/>
      <c r="FRH2" s="42"/>
      <c r="FRI2" s="42"/>
      <c r="FRJ2" s="42"/>
      <c r="FRK2" s="42"/>
      <c r="FRL2" s="42"/>
      <c r="FRM2" s="42"/>
      <c r="FRN2" s="42"/>
      <c r="FRO2" s="42"/>
      <c r="FRP2" s="42"/>
      <c r="FRQ2" s="42"/>
      <c r="FRR2" s="42"/>
      <c r="FRS2" s="42"/>
      <c r="FRT2" s="42"/>
      <c r="FRU2" s="42"/>
      <c r="FRV2" s="42"/>
      <c r="FRW2" s="42"/>
      <c r="FRX2" s="42"/>
      <c r="FRY2" s="42"/>
      <c r="FRZ2" s="42"/>
      <c r="FSA2" s="42"/>
      <c r="FSB2" s="42"/>
      <c r="FSC2" s="42"/>
      <c r="FSD2" s="42"/>
      <c r="FSE2" s="42"/>
      <c r="FSF2" s="42"/>
      <c r="FSG2" s="42"/>
      <c r="FSH2" s="42"/>
      <c r="FSI2" s="42"/>
      <c r="FSJ2" s="42"/>
      <c r="FSK2" s="42"/>
      <c r="FSL2" s="42"/>
      <c r="FSM2" s="42"/>
      <c r="FSN2" s="42"/>
      <c r="FSO2" s="42"/>
      <c r="FSP2" s="42"/>
      <c r="FSQ2" s="42"/>
      <c r="FSR2" s="42"/>
      <c r="FSS2" s="42"/>
      <c r="FST2" s="42"/>
      <c r="FSU2" s="42"/>
      <c r="FSV2" s="42"/>
      <c r="FSW2" s="42"/>
      <c r="FSX2" s="42"/>
      <c r="FSY2" s="42"/>
      <c r="FSZ2" s="42"/>
      <c r="FTA2" s="42"/>
      <c r="FTB2" s="42"/>
      <c r="FTC2" s="42"/>
      <c r="FTD2" s="42"/>
      <c r="FTE2" s="42"/>
      <c r="FTF2" s="42"/>
      <c r="FTG2" s="42"/>
      <c r="FTH2" s="42"/>
      <c r="FTI2" s="42"/>
      <c r="FTJ2" s="42"/>
      <c r="FTK2" s="42"/>
      <c r="FTL2" s="42"/>
      <c r="FTM2" s="42"/>
      <c r="FTN2" s="42"/>
      <c r="FTO2" s="42"/>
      <c r="FTP2" s="42"/>
      <c r="FTQ2" s="42"/>
      <c r="FTR2" s="42"/>
      <c r="FTS2" s="42"/>
      <c r="FTT2" s="42"/>
      <c r="FTU2" s="42"/>
      <c r="FTV2" s="42"/>
      <c r="FTW2" s="42"/>
      <c r="FTX2" s="42"/>
      <c r="FTY2" s="42"/>
      <c r="FTZ2" s="42"/>
      <c r="FUA2" s="42"/>
      <c r="FUB2" s="42"/>
      <c r="FUC2" s="42"/>
      <c r="FUD2" s="42"/>
      <c r="FUE2" s="42"/>
      <c r="FUF2" s="42"/>
      <c r="FUG2" s="42"/>
      <c r="FUH2" s="42"/>
      <c r="FUI2" s="42"/>
      <c r="FUJ2" s="42"/>
      <c r="FUK2" s="42"/>
      <c r="FUL2" s="42"/>
      <c r="FUM2" s="42"/>
      <c r="FUN2" s="42"/>
      <c r="FUO2" s="42"/>
      <c r="FUP2" s="42"/>
      <c r="FUQ2" s="42"/>
      <c r="FUR2" s="42"/>
      <c r="FUS2" s="42"/>
      <c r="FUT2" s="42"/>
      <c r="FUU2" s="42"/>
      <c r="FUV2" s="42"/>
      <c r="FUW2" s="42"/>
      <c r="FUX2" s="42"/>
      <c r="FUY2" s="42"/>
      <c r="FUZ2" s="42"/>
      <c r="FVA2" s="42"/>
      <c r="FVB2" s="42"/>
      <c r="FVC2" s="42"/>
      <c r="FVD2" s="42"/>
      <c r="FVE2" s="42"/>
      <c r="FVF2" s="42"/>
      <c r="FVG2" s="42"/>
      <c r="FVH2" s="42"/>
      <c r="FVI2" s="42"/>
      <c r="FVJ2" s="42"/>
      <c r="FVK2" s="42"/>
      <c r="FVL2" s="42"/>
      <c r="FVM2" s="42"/>
      <c r="FVN2" s="42"/>
      <c r="FVO2" s="42"/>
      <c r="FVP2" s="42"/>
      <c r="FVQ2" s="42"/>
      <c r="FVR2" s="42"/>
      <c r="FVS2" s="42"/>
      <c r="FVT2" s="42"/>
      <c r="FVU2" s="42"/>
      <c r="FVV2" s="42"/>
      <c r="FVW2" s="42"/>
      <c r="FVX2" s="42"/>
      <c r="FVY2" s="42"/>
      <c r="FVZ2" s="42"/>
      <c r="FWA2" s="42"/>
      <c r="FWB2" s="42"/>
      <c r="FWC2" s="42"/>
      <c r="FWD2" s="42"/>
      <c r="FWE2" s="42"/>
      <c r="FWF2" s="42"/>
      <c r="FWG2" s="42"/>
      <c r="FWH2" s="42"/>
      <c r="FWI2" s="42"/>
      <c r="FWJ2" s="42"/>
      <c r="FWK2" s="42"/>
      <c r="FWL2" s="42"/>
      <c r="FWM2" s="42"/>
      <c r="FWN2" s="42"/>
      <c r="FWO2" s="42"/>
      <c r="FWP2" s="42"/>
      <c r="FWQ2" s="42"/>
      <c r="FWR2" s="42"/>
      <c r="FWS2" s="42"/>
      <c r="FWT2" s="42"/>
      <c r="FWU2" s="42"/>
      <c r="FWV2" s="42"/>
      <c r="FWW2" s="42"/>
      <c r="FWX2" s="42"/>
      <c r="FWY2" s="42"/>
      <c r="FWZ2" s="42"/>
      <c r="FXA2" s="42"/>
      <c r="FXB2" s="42"/>
      <c r="FXC2" s="42"/>
      <c r="FXD2" s="42"/>
      <c r="FXE2" s="42"/>
      <c r="FXF2" s="42"/>
      <c r="FXG2" s="42"/>
      <c r="FXH2" s="42"/>
      <c r="FXI2" s="42"/>
      <c r="FXJ2" s="42"/>
      <c r="FXK2" s="42"/>
      <c r="FXL2" s="42"/>
      <c r="FXM2" s="42"/>
      <c r="FXN2" s="42"/>
      <c r="FXO2" s="42"/>
      <c r="FXP2" s="42"/>
      <c r="FXQ2" s="42"/>
      <c r="FXR2" s="42"/>
      <c r="FXS2" s="42"/>
      <c r="FXT2" s="42"/>
      <c r="FXU2" s="42"/>
      <c r="FXV2" s="42"/>
      <c r="FXW2" s="42"/>
      <c r="FXX2" s="42"/>
      <c r="FXY2" s="42"/>
      <c r="FXZ2" s="42"/>
      <c r="FYA2" s="42"/>
      <c r="FYB2" s="42"/>
      <c r="FYC2" s="42"/>
      <c r="FYD2" s="42"/>
      <c r="FYE2" s="42"/>
      <c r="FYF2" s="42"/>
      <c r="FYG2" s="42"/>
      <c r="FYH2" s="42"/>
      <c r="FYI2" s="42"/>
      <c r="FYJ2" s="42"/>
      <c r="FYK2" s="42"/>
      <c r="FYL2" s="42"/>
      <c r="FYM2" s="42"/>
      <c r="FYN2" s="42"/>
      <c r="FYO2" s="42"/>
      <c r="FYP2" s="42"/>
      <c r="FYQ2" s="42"/>
      <c r="FYR2" s="42"/>
      <c r="FYS2" s="42"/>
      <c r="FYT2" s="42"/>
      <c r="FYU2" s="42"/>
      <c r="FYV2" s="42"/>
      <c r="FYW2" s="42"/>
      <c r="FYX2" s="42"/>
      <c r="FYY2" s="42"/>
      <c r="FYZ2" s="42"/>
      <c r="FZA2" s="42"/>
      <c r="FZB2" s="42"/>
      <c r="FZC2" s="42"/>
      <c r="FZD2" s="42"/>
      <c r="FZE2" s="42"/>
      <c r="FZF2" s="42"/>
      <c r="FZG2" s="42"/>
      <c r="FZH2" s="42"/>
      <c r="FZI2" s="42"/>
      <c r="FZJ2" s="42"/>
      <c r="FZK2" s="42"/>
      <c r="FZL2" s="42"/>
      <c r="FZM2" s="42"/>
      <c r="FZN2" s="42"/>
      <c r="FZO2" s="42"/>
      <c r="FZP2" s="42"/>
      <c r="FZQ2" s="42"/>
      <c r="FZR2" s="42"/>
      <c r="FZS2" s="42"/>
      <c r="FZT2" s="42"/>
      <c r="FZU2" s="42"/>
      <c r="FZV2" s="42"/>
      <c r="FZW2" s="42"/>
      <c r="FZX2" s="42"/>
      <c r="FZY2" s="42"/>
      <c r="FZZ2" s="42"/>
      <c r="GAA2" s="42"/>
      <c r="GAB2" s="42"/>
      <c r="GAC2" s="42"/>
      <c r="GAD2" s="42"/>
      <c r="GAE2" s="42"/>
      <c r="GAF2" s="42"/>
      <c r="GAG2" s="42"/>
      <c r="GAH2" s="42"/>
      <c r="GAI2" s="42"/>
      <c r="GAJ2" s="42"/>
      <c r="GAK2" s="42"/>
      <c r="GAL2" s="42"/>
      <c r="GAM2" s="42"/>
      <c r="GAN2" s="42"/>
      <c r="GAO2" s="42"/>
      <c r="GAP2" s="42"/>
      <c r="GAQ2" s="42"/>
      <c r="GAR2" s="42"/>
      <c r="GAS2" s="42"/>
      <c r="GAT2" s="42"/>
      <c r="GAU2" s="42"/>
      <c r="GAV2" s="42"/>
      <c r="GAW2" s="42"/>
      <c r="GAX2" s="42"/>
      <c r="GAY2" s="42"/>
      <c r="GAZ2" s="42"/>
      <c r="GBA2" s="42"/>
      <c r="GBB2" s="42"/>
      <c r="GBC2" s="42"/>
      <c r="GBD2" s="42"/>
      <c r="GBE2" s="42"/>
      <c r="GBF2" s="42"/>
      <c r="GBG2" s="42"/>
      <c r="GBH2" s="42"/>
      <c r="GBI2" s="42"/>
      <c r="GBJ2" s="42"/>
      <c r="GBK2" s="42"/>
      <c r="GBL2" s="42"/>
      <c r="GBM2" s="42"/>
      <c r="GBN2" s="42"/>
      <c r="GBO2" s="42"/>
      <c r="GBP2" s="42"/>
      <c r="GBQ2" s="42"/>
      <c r="GBR2" s="42"/>
      <c r="GBS2" s="42"/>
      <c r="GBT2" s="42"/>
      <c r="GBU2" s="42"/>
      <c r="GBV2" s="42"/>
      <c r="GBW2" s="42"/>
      <c r="GBX2" s="42"/>
      <c r="GBY2" s="42"/>
      <c r="GBZ2" s="42"/>
      <c r="GCA2" s="42"/>
      <c r="GCB2" s="42"/>
      <c r="GCC2" s="42"/>
      <c r="GCD2" s="42"/>
      <c r="GCE2" s="42"/>
      <c r="GCF2" s="42"/>
      <c r="GCG2" s="42"/>
      <c r="GCH2" s="42"/>
      <c r="GCI2" s="42"/>
      <c r="GCJ2" s="42"/>
      <c r="GCK2" s="42"/>
      <c r="GCL2" s="42"/>
      <c r="GCM2" s="42"/>
      <c r="GCN2" s="42"/>
      <c r="GCO2" s="42"/>
      <c r="GCP2" s="42"/>
      <c r="GCQ2" s="42"/>
      <c r="GCR2" s="42"/>
      <c r="GCS2" s="42"/>
      <c r="GCT2" s="42"/>
      <c r="GCU2" s="42"/>
      <c r="GCV2" s="42"/>
      <c r="GCW2" s="42"/>
      <c r="GCX2" s="42"/>
      <c r="GCY2" s="42"/>
      <c r="GCZ2" s="42"/>
      <c r="GDA2" s="42"/>
      <c r="GDB2" s="42"/>
      <c r="GDC2" s="42"/>
      <c r="GDD2" s="42"/>
      <c r="GDE2" s="42"/>
      <c r="GDF2" s="42"/>
      <c r="GDG2" s="42"/>
      <c r="GDH2" s="42"/>
      <c r="GDI2" s="42"/>
      <c r="GDJ2" s="42"/>
      <c r="GDK2" s="42"/>
      <c r="GDL2" s="42"/>
      <c r="GDM2" s="42"/>
      <c r="GDN2" s="42"/>
      <c r="GDO2" s="42"/>
      <c r="GDP2" s="42"/>
      <c r="GDQ2" s="42"/>
      <c r="GDR2" s="42"/>
      <c r="GDS2" s="42"/>
      <c r="GDT2" s="42"/>
      <c r="GDU2" s="42"/>
      <c r="GDV2" s="42"/>
      <c r="GDW2" s="42"/>
      <c r="GDX2" s="42"/>
      <c r="GDY2" s="42"/>
      <c r="GDZ2" s="42"/>
      <c r="GEA2" s="42"/>
      <c r="GEB2" s="42"/>
      <c r="GEC2" s="42"/>
      <c r="GED2" s="42"/>
      <c r="GEE2" s="42"/>
      <c r="GEF2" s="42"/>
      <c r="GEG2" s="42"/>
      <c r="GEH2" s="42"/>
      <c r="GEI2" s="42"/>
      <c r="GEJ2" s="42"/>
      <c r="GEK2" s="42"/>
      <c r="GEL2" s="42"/>
      <c r="GEM2" s="42"/>
      <c r="GEN2" s="42"/>
      <c r="GEO2" s="42"/>
      <c r="GEP2" s="42"/>
      <c r="GEQ2" s="42"/>
      <c r="GER2" s="42"/>
      <c r="GES2" s="42"/>
      <c r="GET2" s="42"/>
      <c r="GEU2" s="42"/>
      <c r="GEV2" s="42"/>
      <c r="GEW2" s="42"/>
      <c r="GEX2" s="42"/>
      <c r="GEY2" s="42"/>
      <c r="GEZ2" s="42"/>
      <c r="GFA2" s="42"/>
      <c r="GFB2" s="42"/>
      <c r="GFC2" s="42"/>
      <c r="GFD2" s="42"/>
      <c r="GFE2" s="42"/>
      <c r="GFF2" s="42"/>
      <c r="GFG2" s="42"/>
      <c r="GFH2" s="42"/>
      <c r="GFI2" s="42"/>
      <c r="GFJ2" s="42"/>
      <c r="GFK2" s="42"/>
      <c r="GFL2" s="42"/>
      <c r="GFM2" s="42"/>
      <c r="GFN2" s="42"/>
      <c r="GFO2" s="42"/>
      <c r="GFP2" s="42"/>
      <c r="GFQ2" s="42"/>
      <c r="GFR2" s="42"/>
      <c r="GFS2" s="42"/>
      <c r="GFT2" s="42"/>
      <c r="GFU2" s="42"/>
      <c r="GFV2" s="42"/>
      <c r="GFW2" s="42"/>
      <c r="GFX2" s="42"/>
      <c r="GFY2" s="42"/>
      <c r="GFZ2" s="42"/>
      <c r="GGA2" s="42"/>
      <c r="GGB2" s="42"/>
      <c r="GGC2" s="42"/>
      <c r="GGD2" s="42"/>
      <c r="GGE2" s="42"/>
      <c r="GGF2" s="42"/>
      <c r="GGG2" s="42"/>
      <c r="GGH2" s="42"/>
      <c r="GGI2" s="42"/>
      <c r="GGJ2" s="42"/>
      <c r="GGK2" s="42"/>
      <c r="GGL2" s="42"/>
      <c r="GGM2" s="42"/>
      <c r="GGN2" s="42"/>
      <c r="GGO2" s="42"/>
      <c r="GGP2" s="42"/>
      <c r="GGQ2" s="42"/>
      <c r="GGR2" s="42"/>
      <c r="GGS2" s="42"/>
      <c r="GGT2" s="42"/>
      <c r="GGU2" s="42"/>
      <c r="GGV2" s="42"/>
      <c r="GGW2" s="42"/>
      <c r="GGX2" s="42"/>
      <c r="GGY2" s="42"/>
      <c r="GGZ2" s="42"/>
      <c r="GHA2" s="42"/>
      <c r="GHB2" s="42"/>
      <c r="GHC2" s="42"/>
      <c r="GHD2" s="42"/>
      <c r="GHE2" s="42"/>
      <c r="GHF2" s="42"/>
      <c r="GHG2" s="42"/>
      <c r="GHH2" s="42"/>
      <c r="GHI2" s="42"/>
      <c r="GHJ2" s="42"/>
      <c r="GHK2" s="42"/>
      <c r="GHL2" s="42"/>
      <c r="GHM2" s="42"/>
      <c r="GHN2" s="42"/>
      <c r="GHO2" s="42"/>
      <c r="GHP2" s="42"/>
      <c r="GHQ2" s="42"/>
      <c r="GHR2" s="42"/>
      <c r="GHS2" s="42"/>
      <c r="GHT2" s="42"/>
      <c r="GHU2" s="42"/>
      <c r="GHV2" s="42"/>
      <c r="GHW2" s="42"/>
      <c r="GHX2" s="42"/>
      <c r="GHY2" s="42"/>
      <c r="GHZ2" s="42"/>
      <c r="GIA2" s="42"/>
      <c r="GIB2" s="42"/>
      <c r="GIC2" s="42"/>
      <c r="GID2" s="42"/>
      <c r="GIE2" s="42"/>
      <c r="GIF2" s="42"/>
      <c r="GIG2" s="42"/>
      <c r="GIH2" s="42"/>
      <c r="GII2" s="42"/>
      <c r="GIJ2" s="42"/>
      <c r="GIK2" s="42"/>
      <c r="GIL2" s="42"/>
      <c r="GIM2" s="42"/>
      <c r="GIN2" s="42"/>
      <c r="GIO2" s="42"/>
      <c r="GIP2" s="42"/>
      <c r="GIQ2" s="42"/>
      <c r="GIR2" s="42"/>
      <c r="GIS2" s="42"/>
      <c r="GIT2" s="42"/>
      <c r="GIU2" s="42"/>
      <c r="GIV2" s="42"/>
      <c r="GIW2" s="42"/>
      <c r="GIX2" s="42"/>
      <c r="GIY2" s="42"/>
      <c r="GIZ2" s="42"/>
      <c r="GJA2" s="42"/>
      <c r="GJB2" s="42"/>
      <c r="GJC2" s="42"/>
      <c r="GJD2" s="42"/>
      <c r="GJE2" s="42"/>
      <c r="GJF2" s="42"/>
      <c r="GJG2" s="42"/>
      <c r="GJH2" s="42"/>
      <c r="GJI2" s="42"/>
      <c r="GJJ2" s="42"/>
      <c r="GJK2" s="42"/>
      <c r="GJL2" s="42"/>
      <c r="GJM2" s="42"/>
      <c r="GJN2" s="42"/>
      <c r="GJO2" s="42"/>
      <c r="GJP2" s="42"/>
      <c r="GJQ2" s="42"/>
      <c r="GJR2" s="42"/>
      <c r="GJS2" s="42"/>
      <c r="GJT2" s="42"/>
      <c r="GJU2" s="42"/>
      <c r="GJV2" s="42"/>
      <c r="GJW2" s="42"/>
      <c r="GJX2" s="42"/>
      <c r="GJY2" s="42"/>
      <c r="GJZ2" s="42"/>
      <c r="GKA2" s="42"/>
      <c r="GKB2" s="42"/>
      <c r="GKC2" s="42"/>
      <c r="GKD2" s="42"/>
      <c r="GKE2" s="42"/>
      <c r="GKF2" s="42"/>
      <c r="GKG2" s="42"/>
      <c r="GKH2" s="42"/>
      <c r="GKI2" s="42"/>
      <c r="GKJ2" s="42"/>
      <c r="GKK2" s="42"/>
      <c r="GKL2" s="42"/>
      <c r="GKM2" s="42"/>
      <c r="GKN2" s="42"/>
      <c r="GKO2" s="42"/>
      <c r="GKP2" s="42"/>
      <c r="GKQ2" s="42"/>
      <c r="GKR2" s="42"/>
      <c r="GKS2" s="42"/>
      <c r="GKT2" s="42"/>
      <c r="GKU2" s="42"/>
      <c r="GKV2" s="42"/>
      <c r="GKW2" s="42"/>
      <c r="GKX2" s="42"/>
      <c r="GKY2" s="42"/>
      <c r="GKZ2" s="42"/>
      <c r="GLA2" s="42"/>
      <c r="GLB2" s="42"/>
      <c r="GLC2" s="42"/>
      <c r="GLD2" s="42"/>
      <c r="GLE2" s="42"/>
      <c r="GLF2" s="42"/>
      <c r="GLG2" s="42"/>
      <c r="GLH2" s="42"/>
      <c r="GLI2" s="42"/>
      <c r="GLJ2" s="42"/>
      <c r="GLK2" s="42"/>
      <c r="GLL2" s="42"/>
      <c r="GLM2" s="42"/>
      <c r="GLN2" s="42"/>
      <c r="GLO2" s="42"/>
      <c r="GLP2" s="42"/>
      <c r="GLQ2" s="42"/>
      <c r="GLR2" s="42"/>
      <c r="GLS2" s="42"/>
      <c r="GLT2" s="42"/>
      <c r="GLU2" s="42"/>
      <c r="GLV2" s="42"/>
      <c r="GLW2" s="42"/>
      <c r="GLX2" s="42"/>
      <c r="GLY2" s="42"/>
      <c r="GLZ2" s="42"/>
      <c r="GMA2" s="42"/>
      <c r="GMB2" s="42"/>
      <c r="GMC2" s="42"/>
      <c r="GMD2" s="42"/>
      <c r="GME2" s="42"/>
      <c r="GMF2" s="42"/>
      <c r="GMG2" s="42"/>
      <c r="GMH2" s="42"/>
      <c r="GMI2" s="42"/>
      <c r="GMJ2" s="42"/>
      <c r="GMK2" s="42"/>
      <c r="GML2" s="42"/>
      <c r="GMM2" s="42"/>
      <c r="GMN2" s="42"/>
      <c r="GMO2" s="42"/>
      <c r="GMP2" s="42"/>
      <c r="GMQ2" s="42"/>
      <c r="GMR2" s="42"/>
      <c r="GMS2" s="42"/>
      <c r="GMT2" s="42"/>
      <c r="GMU2" s="42"/>
      <c r="GMV2" s="42"/>
      <c r="GMW2" s="42"/>
      <c r="GMX2" s="42"/>
      <c r="GMY2" s="42"/>
      <c r="GMZ2" s="42"/>
      <c r="GNA2" s="42"/>
      <c r="GNB2" s="42"/>
      <c r="GNC2" s="42"/>
      <c r="GND2" s="42"/>
      <c r="GNE2" s="42"/>
      <c r="GNF2" s="42"/>
      <c r="GNG2" s="42"/>
      <c r="GNH2" s="42"/>
      <c r="GNI2" s="42"/>
      <c r="GNJ2" s="42"/>
      <c r="GNK2" s="42"/>
      <c r="GNL2" s="42"/>
      <c r="GNM2" s="42"/>
      <c r="GNN2" s="42"/>
      <c r="GNO2" s="42"/>
      <c r="GNP2" s="42"/>
      <c r="GNQ2" s="42"/>
      <c r="GNR2" s="42"/>
      <c r="GNS2" s="42"/>
      <c r="GNT2" s="42"/>
      <c r="GNU2" s="42"/>
      <c r="GNV2" s="42"/>
      <c r="GNW2" s="42"/>
      <c r="GNX2" s="42"/>
      <c r="GNY2" s="42"/>
      <c r="GNZ2" s="42"/>
      <c r="GOA2" s="42"/>
      <c r="GOB2" s="42"/>
      <c r="GOC2" s="42"/>
      <c r="GOD2" s="42"/>
      <c r="GOE2" s="42"/>
      <c r="GOF2" s="42"/>
      <c r="GOG2" s="42"/>
      <c r="GOH2" s="42"/>
      <c r="GOI2" s="42"/>
      <c r="GOJ2" s="42"/>
      <c r="GOK2" s="42"/>
      <c r="GOL2" s="42"/>
      <c r="GOM2" s="42"/>
      <c r="GON2" s="42"/>
      <c r="GOO2" s="42"/>
      <c r="GOP2" s="42"/>
      <c r="GOQ2" s="42"/>
      <c r="GOR2" s="42"/>
      <c r="GOS2" s="42"/>
      <c r="GOT2" s="42"/>
      <c r="GOU2" s="42"/>
      <c r="GOV2" s="42"/>
      <c r="GOW2" s="42"/>
      <c r="GOX2" s="42"/>
      <c r="GOY2" s="42"/>
      <c r="GOZ2" s="42"/>
      <c r="GPA2" s="42"/>
      <c r="GPB2" s="42"/>
      <c r="GPC2" s="42"/>
      <c r="GPD2" s="42"/>
      <c r="GPE2" s="42"/>
      <c r="GPF2" s="42"/>
      <c r="GPG2" s="42"/>
      <c r="GPH2" s="42"/>
      <c r="GPI2" s="42"/>
      <c r="GPJ2" s="42"/>
      <c r="GPK2" s="42"/>
      <c r="GPL2" s="42"/>
      <c r="GPM2" s="42"/>
      <c r="GPN2" s="42"/>
      <c r="GPO2" s="42"/>
      <c r="GPP2" s="42"/>
      <c r="GPQ2" s="42"/>
      <c r="GPR2" s="42"/>
      <c r="GPS2" s="42"/>
      <c r="GPT2" s="42"/>
      <c r="GPU2" s="42"/>
      <c r="GPV2" s="42"/>
      <c r="GPW2" s="42"/>
      <c r="GPX2" s="42"/>
      <c r="GPY2" s="42"/>
      <c r="GPZ2" s="42"/>
      <c r="GQA2" s="42"/>
      <c r="GQB2" s="42"/>
      <c r="GQC2" s="42"/>
      <c r="GQD2" s="42"/>
      <c r="GQE2" s="42"/>
      <c r="GQF2" s="42"/>
      <c r="GQG2" s="42"/>
      <c r="GQH2" s="42"/>
      <c r="GQI2" s="42"/>
      <c r="GQJ2" s="42"/>
      <c r="GQK2" s="42"/>
      <c r="GQL2" s="42"/>
      <c r="GQM2" s="42"/>
      <c r="GQN2" s="42"/>
      <c r="GQO2" s="42"/>
      <c r="GQP2" s="42"/>
      <c r="GQQ2" s="42"/>
      <c r="GQR2" s="42"/>
      <c r="GQS2" s="42"/>
      <c r="GQT2" s="42"/>
      <c r="GQU2" s="42"/>
      <c r="GQV2" s="42"/>
      <c r="GQW2" s="42"/>
      <c r="GQX2" s="42"/>
      <c r="GQY2" s="42"/>
      <c r="GQZ2" s="42"/>
      <c r="GRA2" s="42"/>
      <c r="GRB2" s="42"/>
      <c r="GRC2" s="42"/>
      <c r="GRD2" s="42"/>
      <c r="GRE2" s="42"/>
      <c r="GRF2" s="42"/>
      <c r="GRG2" s="42"/>
      <c r="GRH2" s="42"/>
      <c r="GRI2" s="42"/>
      <c r="GRJ2" s="42"/>
      <c r="GRK2" s="42"/>
      <c r="GRL2" s="42"/>
      <c r="GRM2" s="42"/>
      <c r="GRN2" s="42"/>
      <c r="GRO2" s="42"/>
      <c r="GRP2" s="42"/>
      <c r="GRQ2" s="42"/>
      <c r="GRR2" s="42"/>
      <c r="GRS2" s="42"/>
      <c r="GRT2" s="42"/>
      <c r="GRU2" s="42"/>
      <c r="GRV2" s="42"/>
      <c r="GRW2" s="42"/>
      <c r="GRX2" s="42"/>
      <c r="GRY2" s="42"/>
      <c r="GRZ2" s="42"/>
      <c r="GSA2" s="42"/>
      <c r="GSB2" s="42"/>
      <c r="GSC2" s="42"/>
      <c r="GSD2" s="42"/>
      <c r="GSE2" s="42"/>
      <c r="GSF2" s="42"/>
      <c r="GSG2" s="42"/>
      <c r="GSH2" s="42"/>
      <c r="GSI2" s="42"/>
      <c r="GSJ2" s="42"/>
      <c r="GSK2" s="42"/>
      <c r="GSL2" s="42"/>
      <c r="GSM2" s="42"/>
      <c r="GSN2" s="42"/>
      <c r="GSO2" s="42"/>
      <c r="GSP2" s="42"/>
      <c r="GSQ2" s="42"/>
      <c r="GSR2" s="42"/>
      <c r="GSS2" s="42"/>
      <c r="GST2" s="42"/>
      <c r="GSU2" s="42"/>
      <c r="GSV2" s="42"/>
      <c r="GSW2" s="42"/>
      <c r="GSX2" s="42"/>
      <c r="GSY2" s="42"/>
      <c r="GSZ2" s="42"/>
      <c r="GTA2" s="42"/>
      <c r="GTB2" s="42"/>
      <c r="GTC2" s="42"/>
      <c r="GTD2" s="42"/>
      <c r="GTE2" s="42"/>
      <c r="GTF2" s="42"/>
      <c r="GTG2" s="42"/>
      <c r="GTH2" s="42"/>
      <c r="GTI2" s="42"/>
      <c r="GTJ2" s="42"/>
      <c r="GTK2" s="42"/>
      <c r="GTL2" s="42"/>
      <c r="GTM2" s="42"/>
      <c r="GTN2" s="42"/>
      <c r="GTO2" s="42"/>
      <c r="GTP2" s="42"/>
      <c r="GTQ2" s="42"/>
      <c r="GTR2" s="42"/>
      <c r="GTS2" s="42"/>
      <c r="GTT2" s="42"/>
      <c r="GTU2" s="42"/>
      <c r="GTV2" s="42"/>
      <c r="GTW2" s="42"/>
      <c r="GTX2" s="42"/>
      <c r="GTY2" s="42"/>
      <c r="GTZ2" s="42"/>
      <c r="GUA2" s="42"/>
      <c r="GUB2" s="42"/>
      <c r="GUC2" s="42"/>
      <c r="GUD2" s="42"/>
      <c r="GUE2" s="42"/>
      <c r="GUF2" s="42"/>
      <c r="GUG2" s="42"/>
      <c r="GUH2" s="42"/>
      <c r="GUI2" s="42"/>
      <c r="GUJ2" s="42"/>
      <c r="GUK2" s="42"/>
      <c r="GUL2" s="42"/>
      <c r="GUM2" s="42"/>
      <c r="GUN2" s="42"/>
      <c r="GUO2" s="42"/>
      <c r="GUP2" s="42"/>
      <c r="GUQ2" s="42"/>
      <c r="GUR2" s="42"/>
      <c r="GUS2" s="42"/>
      <c r="GUT2" s="42"/>
      <c r="GUU2" s="42"/>
      <c r="GUV2" s="42"/>
      <c r="GUW2" s="42"/>
      <c r="GUX2" s="42"/>
      <c r="GUY2" s="42"/>
      <c r="GUZ2" s="42"/>
      <c r="GVA2" s="42"/>
      <c r="GVB2" s="42"/>
      <c r="GVC2" s="42"/>
      <c r="GVD2" s="42"/>
      <c r="GVE2" s="42"/>
      <c r="GVF2" s="42"/>
      <c r="GVG2" s="42"/>
      <c r="GVH2" s="42"/>
      <c r="GVI2" s="42"/>
      <c r="GVJ2" s="42"/>
      <c r="GVK2" s="42"/>
      <c r="GVL2" s="42"/>
      <c r="GVM2" s="42"/>
      <c r="GVN2" s="42"/>
      <c r="GVO2" s="42"/>
      <c r="GVP2" s="42"/>
      <c r="GVQ2" s="42"/>
      <c r="GVR2" s="42"/>
      <c r="GVS2" s="42"/>
      <c r="GVT2" s="42"/>
      <c r="GVU2" s="42"/>
      <c r="GVV2" s="42"/>
      <c r="GVW2" s="42"/>
      <c r="GVX2" s="42"/>
      <c r="GVY2" s="42"/>
      <c r="GVZ2" s="42"/>
      <c r="GWA2" s="42"/>
      <c r="GWB2" s="42"/>
      <c r="GWC2" s="42"/>
      <c r="GWD2" s="42"/>
      <c r="GWE2" s="42"/>
      <c r="GWF2" s="42"/>
      <c r="GWG2" s="42"/>
      <c r="GWH2" s="42"/>
      <c r="GWI2" s="42"/>
      <c r="GWJ2" s="42"/>
      <c r="GWK2" s="42"/>
      <c r="GWL2" s="42"/>
      <c r="GWM2" s="42"/>
      <c r="GWN2" s="42"/>
      <c r="GWO2" s="42"/>
      <c r="GWP2" s="42"/>
      <c r="GWQ2" s="42"/>
      <c r="GWR2" s="42"/>
      <c r="GWS2" s="42"/>
      <c r="GWT2" s="42"/>
      <c r="GWU2" s="42"/>
      <c r="GWV2" s="42"/>
      <c r="GWW2" s="42"/>
      <c r="GWX2" s="42"/>
      <c r="GWY2" s="42"/>
      <c r="GWZ2" s="42"/>
      <c r="GXA2" s="42"/>
      <c r="GXB2" s="42"/>
      <c r="GXC2" s="42"/>
      <c r="GXD2" s="42"/>
      <c r="GXE2" s="42"/>
      <c r="GXF2" s="42"/>
      <c r="GXG2" s="42"/>
      <c r="GXH2" s="42"/>
      <c r="GXI2" s="42"/>
      <c r="GXJ2" s="42"/>
      <c r="GXK2" s="42"/>
      <c r="GXL2" s="42"/>
      <c r="GXM2" s="42"/>
      <c r="GXN2" s="42"/>
      <c r="GXO2" s="42"/>
      <c r="GXP2" s="42"/>
      <c r="GXQ2" s="42"/>
      <c r="GXR2" s="42"/>
      <c r="GXS2" s="42"/>
      <c r="GXT2" s="42"/>
      <c r="GXU2" s="42"/>
      <c r="GXV2" s="42"/>
      <c r="GXW2" s="42"/>
      <c r="GXX2" s="42"/>
      <c r="GXY2" s="42"/>
      <c r="GXZ2" s="42"/>
      <c r="GYA2" s="42"/>
      <c r="GYB2" s="42"/>
      <c r="GYC2" s="42"/>
      <c r="GYD2" s="42"/>
      <c r="GYE2" s="42"/>
      <c r="GYF2" s="42"/>
      <c r="GYG2" s="42"/>
      <c r="GYH2" s="42"/>
      <c r="GYI2" s="42"/>
      <c r="GYJ2" s="42"/>
      <c r="GYK2" s="42"/>
      <c r="GYL2" s="42"/>
      <c r="GYM2" s="42"/>
      <c r="GYN2" s="42"/>
      <c r="GYO2" s="42"/>
      <c r="GYP2" s="42"/>
      <c r="GYQ2" s="42"/>
      <c r="GYR2" s="42"/>
      <c r="GYS2" s="42"/>
      <c r="GYT2" s="42"/>
      <c r="GYU2" s="42"/>
      <c r="GYV2" s="42"/>
      <c r="GYW2" s="42"/>
      <c r="GYX2" s="42"/>
      <c r="GYY2" s="42"/>
      <c r="GYZ2" s="42"/>
      <c r="GZA2" s="42"/>
      <c r="GZB2" s="42"/>
      <c r="GZC2" s="42"/>
      <c r="GZD2" s="42"/>
      <c r="GZE2" s="42"/>
      <c r="GZF2" s="42"/>
      <c r="GZG2" s="42"/>
      <c r="GZH2" s="42"/>
      <c r="GZI2" s="42"/>
      <c r="GZJ2" s="42"/>
      <c r="GZK2" s="42"/>
      <c r="GZL2" s="42"/>
      <c r="GZM2" s="42"/>
      <c r="GZN2" s="42"/>
      <c r="GZO2" s="42"/>
      <c r="GZP2" s="42"/>
      <c r="GZQ2" s="42"/>
      <c r="GZR2" s="42"/>
      <c r="GZS2" s="42"/>
      <c r="GZT2" s="42"/>
      <c r="GZU2" s="42"/>
      <c r="GZV2" s="42"/>
      <c r="GZW2" s="42"/>
      <c r="GZX2" s="42"/>
      <c r="GZY2" s="42"/>
      <c r="GZZ2" s="42"/>
      <c r="HAA2" s="42"/>
      <c r="HAB2" s="42"/>
      <c r="HAC2" s="42"/>
      <c r="HAD2" s="42"/>
      <c r="HAE2" s="42"/>
      <c r="HAF2" s="42"/>
      <c r="HAG2" s="42"/>
      <c r="HAH2" s="42"/>
      <c r="HAI2" s="42"/>
      <c r="HAJ2" s="42"/>
      <c r="HAK2" s="42"/>
      <c r="HAL2" s="42"/>
      <c r="HAM2" s="42"/>
      <c r="HAN2" s="42"/>
      <c r="HAO2" s="42"/>
      <c r="HAP2" s="42"/>
      <c r="HAQ2" s="42"/>
      <c r="HAR2" s="42"/>
      <c r="HAS2" s="42"/>
      <c r="HAT2" s="42"/>
      <c r="HAU2" s="42"/>
      <c r="HAV2" s="42"/>
      <c r="HAW2" s="42"/>
      <c r="HAX2" s="42"/>
      <c r="HAY2" s="42"/>
      <c r="HAZ2" s="42"/>
      <c r="HBA2" s="42"/>
      <c r="HBB2" s="42"/>
      <c r="HBC2" s="42"/>
      <c r="HBD2" s="42"/>
      <c r="HBE2" s="42"/>
      <c r="HBF2" s="42"/>
      <c r="HBG2" s="42"/>
      <c r="HBH2" s="42"/>
      <c r="HBI2" s="42"/>
      <c r="HBJ2" s="42"/>
      <c r="HBK2" s="42"/>
      <c r="HBL2" s="42"/>
      <c r="HBM2" s="42"/>
      <c r="HBN2" s="42"/>
      <c r="HBO2" s="42"/>
      <c r="HBP2" s="42"/>
      <c r="HBQ2" s="42"/>
      <c r="HBR2" s="42"/>
      <c r="HBS2" s="42"/>
      <c r="HBT2" s="42"/>
      <c r="HBU2" s="42"/>
      <c r="HBV2" s="42"/>
      <c r="HBW2" s="42"/>
      <c r="HBX2" s="42"/>
      <c r="HBY2" s="42"/>
      <c r="HBZ2" s="42"/>
      <c r="HCA2" s="42"/>
      <c r="HCB2" s="42"/>
      <c r="HCC2" s="42"/>
      <c r="HCD2" s="42"/>
      <c r="HCE2" s="42"/>
      <c r="HCF2" s="42"/>
      <c r="HCG2" s="42"/>
      <c r="HCH2" s="42"/>
      <c r="HCI2" s="42"/>
      <c r="HCJ2" s="42"/>
      <c r="HCK2" s="42"/>
      <c r="HCL2" s="42"/>
      <c r="HCM2" s="42"/>
      <c r="HCN2" s="42"/>
      <c r="HCO2" s="42"/>
      <c r="HCP2" s="42"/>
      <c r="HCQ2" s="42"/>
      <c r="HCR2" s="42"/>
      <c r="HCS2" s="42"/>
      <c r="HCT2" s="42"/>
      <c r="HCU2" s="42"/>
      <c r="HCV2" s="42"/>
      <c r="HCW2" s="42"/>
      <c r="HCX2" s="42"/>
      <c r="HCY2" s="42"/>
      <c r="HCZ2" s="42"/>
      <c r="HDA2" s="42"/>
      <c r="HDB2" s="42"/>
      <c r="HDC2" s="42"/>
      <c r="HDD2" s="42"/>
      <c r="HDE2" s="42"/>
      <c r="HDF2" s="42"/>
      <c r="HDG2" s="42"/>
      <c r="HDH2" s="42"/>
      <c r="HDI2" s="42"/>
      <c r="HDJ2" s="42"/>
      <c r="HDK2" s="42"/>
      <c r="HDL2" s="42"/>
      <c r="HDM2" s="42"/>
      <c r="HDN2" s="42"/>
      <c r="HDO2" s="42"/>
      <c r="HDP2" s="42"/>
      <c r="HDQ2" s="42"/>
      <c r="HDR2" s="42"/>
      <c r="HDS2" s="42"/>
      <c r="HDT2" s="42"/>
      <c r="HDU2" s="42"/>
      <c r="HDV2" s="42"/>
      <c r="HDW2" s="42"/>
      <c r="HDX2" s="42"/>
      <c r="HDY2" s="42"/>
      <c r="HDZ2" s="42"/>
      <c r="HEA2" s="42"/>
      <c r="HEB2" s="42"/>
      <c r="HEC2" s="42"/>
      <c r="HED2" s="42"/>
      <c r="HEE2" s="42"/>
      <c r="HEF2" s="42"/>
      <c r="HEG2" s="42"/>
      <c r="HEH2" s="42"/>
      <c r="HEI2" s="42"/>
      <c r="HEJ2" s="42"/>
      <c r="HEK2" s="42"/>
      <c r="HEL2" s="42"/>
      <c r="HEM2" s="42"/>
      <c r="HEN2" s="42"/>
      <c r="HEO2" s="42"/>
      <c r="HEP2" s="42"/>
      <c r="HEQ2" s="42"/>
      <c r="HER2" s="42"/>
      <c r="HES2" s="42"/>
      <c r="HET2" s="42"/>
      <c r="HEU2" s="42"/>
      <c r="HEV2" s="42"/>
      <c r="HEW2" s="42"/>
      <c r="HEX2" s="42"/>
      <c r="HEY2" s="42"/>
      <c r="HEZ2" s="42"/>
      <c r="HFA2" s="42"/>
      <c r="HFB2" s="42"/>
      <c r="HFC2" s="42"/>
      <c r="HFD2" s="42"/>
      <c r="HFE2" s="42"/>
      <c r="HFF2" s="42"/>
      <c r="HFG2" s="42"/>
      <c r="HFH2" s="42"/>
      <c r="HFI2" s="42"/>
      <c r="HFJ2" s="42"/>
      <c r="HFK2" s="42"/>
      <c r="HFL2" s="42"/>
      <c r="HFM2" s="42"/>
      <c r="HFN2" s="42"/>
      <c r="HFO2" s="42"/>
      <c r="HFP2" s="42"/>
      <c r="HFQ2" s="42"/>
      <c r="HFR2" s="42"/>
      <c r="HFS2" s="42"/>
      <c r="HFT2" s="42"/>
      <c r="HFU2" s="42"/>
      <c r="HFV2" s="42"/>
      <c r="HFW2" s="42"/>
      <c r="HFX2" s="42"/>
      <c r="HFY2" s="42"/>
      <c r="HFZ2" s="42"/>
      <c r="HGA2" s="42"/>
      <c r="HGB2" s="42"/>
      <c r="HGC2" s="42"/>
      <c r="HGD2" s="42"/>
      <c r="HGE2" s="42"/>
      <c r="HGF2" s="42"/>
      <c r="HGG2" s="42"/>
      <c r="HGH2" s="42"/>
      <c r="HGI2" s="42"/>
      <c r="HGJ2" s="42"/>
      <c r="HGK2" s="42"/>
      <c r="HGL2" s="42"/>
      <c r="HGM2" s="42"/>
      <c r="HGN2" s="42"/>
      <c r="HGO2" s="42"/>
      <c r="HGP2" s="42"/>
      <c r="HGQ2" s="42"/>
      <c r="HGR2" s="42"/>
      <c r="HGS2" s="42"/>
      <c r="HGT2" s="42"/>
      <c r="HGU2" s="42"/>
      <c r="HGV2" s="42"/>
      <c r="HGW2" s="42"/>
      <c r="HGX2" s="42"/>
      <c r="HGY2" s="42"/>
      <c r="HGZ2" s="42"/>
      <c r="HHA2" s="42"/>
      <c r="HHB2" s="42"/>
      <c r="HHC2" s="42"/>
      <c r="HHD2" s="42"/>
      <c r="HHE2" s="42"/>
      <c r="HHF2" s="42"/>
      <c r="HHG2" s="42"/>
      <c r="HHH2" s="42"/>
      <c r="HHI2" s="42"/>
      <c r="HHJ2" s="42"/>
      <c r="HHK2" s="42"/>
      <c r="HHL2" s="42"/>
      <c r="HHM2" s="42"/>
      <c r="HHN2" s="42"/>
      <c r="HHO2" s="42"/>
      <c r="HHP2" s="42"/>
      <c r="HHQ2" s="42"/>
      <c r="HHR2" s="42"/>
      <c r="HHS2" s="42"/>
      <c r="HHT2" s="42"/>
      <c r="HHU2" s="42"/>
      <c r="HHV2" s="42"/>
      <c r="HHW2" s="42"/>
      <c r="HHX2" s="42"/>
      <c r="HHY2" s="42"/>
      <c r="HHZ2" s="42"/>
      <c r="HIA2" s="42"/>
      <c r="HIB2" s="42"/>
      <c r="HIC2" s="42"/>
      <c r="HID2" s="42"/>
      <c r="HIE2" s="42"/>
      <c r="HIF2" s="42"/>
      <c r="HIG2" s="42"/>
      <c r="HIH2" s="42"/>
      <c r="HII2" s="42"/>
      <c r="HIJ2" s="42"/>
      <c r="HIK2" s="42"/>
      <c r="HIL2" s="42"/>
      <c r="HIM2" s="42"/>
      <c r="HIN2" s="42"/>
      <c r="HIO2" s="42"/>
      <c r="HIP2" s="42"/>
      <c r="HIQ2" s="42"/>
      <c r="HIR2" s="42"/>
      <c r="HIS2" s="42"/>
      <c r="HIT2" s="42"/>
      <c r="HIU2" s="42"/>
      <c r="HIV2" s="42"/>
      <c r="HIW2" s="42"/>
      <c r="HIX2" s="42"/>
      <c r="HIY2" s="42"/>
      <c r="HIZ2" s="42"/>
      <c r="HJA2" s="42"/>
      <c r="HJB2" s="42"/>
      <c r="HJC2" s="42"/>
      <c r="HJD2" s="42"/>
      <c r="HJE2" s="42"/>
      <c r="HJF2" s="42"/>
      <c r="HJG2" s="42"/>
      <c r="HJH2" s="42"/>
      <c r="HJI2" s="42"/>
      <c r="HJJ2" s="42"/>
      <c r="HJK2" s="42"/>
      <c r="HJL2" s="42"/>
      <c r="HJM2" s="42"/>
      <c r="HJN2" s="42"/>
      <c r="HJO2" s="42"/>
      <c r="HJP2" s="42"/>
      <c r="HJQ2" s="42"/>
      <c r="HJR2" s="42"/>
      <c r="HJS2" s="42"/>
      <c r="HJT2" s="42"/>
      <c r="HJU2" s="42"/>
      <c r="HJV2" s="42"/>
      <c r="HJW2" s="42"/>
      <c r="HJX2" s="42"/>
      <c r="HJY2" s="42"/>
      <c r="HJZ2" s="42"/>
      <c r="HKA2" s="42"/>
      <c r="HKB2" s="42"/>
      <c r="HKC2" s="42"/>
      <c r="HKD2" s="42"/>
      <c r="HKE2" s="42"/>
      <c r="HKF2" s="42"/>
      <c r="HKG2" s="42"/>
      <c r="HKH2" s="42"/>
      <c r="HKI2" s="42"/>
      <c r="HKJ2" s="42"/>
      <c r="HKK2" s="42"/>
      <c r="HKL2" s="42"/>
      <c r="HKM2" s="42"/>
      <c r="HKN2" s="42"/>
      <c r="HKO2" s="42"/>
      <c r="HKP2" s="42"/>
      <c r="HKQ2" s="42"/>
      <c r="HKR2" s="42"/>
      <c r="HKS2" s="42"/>
      <c r="HKT2" s="42"/>
      <c r="HKU2" s="42"/>
      <c r="HKV2" s="42"/>
      <c r="HKW2" s="42"/>
      <c r="HKX2" s="42"/>
      <c r="HKY2" s="42"/>
      <c r="HKZ2" s="42"/>
      <c r="HLA2" s="42"/>
      <c r="HLB2" s="42"/>
      <c r="HLC2" s="42"/>
      <c r="HLD2" s="42"/>
      <c r="HLE2" s="42"/>
      <c r="HLF2" s="42"/>
      <c r="HLG2" s="42"/>
      <c r="HLH2" s="42"/>
      <c r="HLI2" s="42"/>
      <c r="HLJ2" s="42"/>
      <c r="HLK2" s="42"/>
      <c r="HLL2" s="42"/>
      <c r="HLM2" s="42"/>
      <c r="HLN2" s="42"/>
      <c r="HLO2" s="42"/>
      <c r="HLP2" s="42"/>
      <c r="HLQ2" s="42"/>
      <c r="HLR2" s="42"/>
      <c r="HLS2" s="42"/>
      <c r="HLT2" s="42"/>
      <c r="HLU2" s="42"/>
      <c r="HLV2" s="42"/>
      <c r="HLW2" s="42"/>
      <c r="HLX2" s="42"/>
      <c r="HLY2" s="42"/>
      <c r="HLZ2" s="42"/>
      <c r="HMA2" s="42"/>
      <c r="HMB2" s="42"/>
      <c r="HMC2" s="42"/>
      <c r="HMD2" s="42"/>
      <c r="HME2" s="42"/>
      <c r="HMF2" s="42"/>
      <c r="HMG2" s="42"/>
      <c r="HMH2" s="42"/>
      <c r="HMI2" s="42"/>
      <c r="HMJ2" s="42"/>
      <c r="HMK2" s="42"/>
      <c r="HML2" s="42"/>
      <c r="HMM2" s="42"/>
      <c r="HMN2" s="42"/>
      <c r="HMO2" s="42"/>
      <c r="HMP2" s="42"/>
      <c r="HMQ2" s="42"/>
      <c r="HMR2" s="42"/>
      <c r="HMS2" s="42"/>
      <c r="HMT2" s="42"/>
      <c r="HMU2" s="42"/>
      <c r="HMV2" s="42"/>
      <c r="HMW2" s="42"/>
      <c r="HMX2" s="42"/>
      <c r="HMY2" s="42"/>
      <c r="HMZ2" s="42"/>
      <c r="HNA2" s="42"/>
      <c r="HNB2" s="42"/>
      <c r="HNC2" s="42"/>
      <c r="HND2" s="42"/>
      <c r="HNE2" s="42"/>
      <c r="HNF2" s="42"/>
      <c r="HNG2" s="42"/>
      <c r="HNH2" s="42"/>
      <c r="HNI2" s="42"/>
      <c r="HNJ2" s="42"/>
      <c r="HNK2" s="42"/>
      <c r="HNL2" s="42"/>
      <c r="HNM2" s="42"/>
      <c r="HNN2" s="42"/>
      <c r="HNO2" s="42"/>
      <c r="HNP2" s="42"/>
      <c r="HNQ2" s="42"/>
      <c r="HNR2" s="42"/>
      <c r="HNS2" s="42"/>
      <c r="HNT2" s="42"/>
      <c r="HNU2" s="42"/>
      <c r="HNV2" s="42"/>
      <c r="HNW2" s="42"/>
      <c r="HNX2" s="42"/>
      <c r="HNY2" s="42"/>
      <c r="HNZ2" s="42"/>
      <c r="HOA2" s="42"/>
      <c r="HOB2" s="42"/>
      <c r="HOC2" s="42"/>
      <c r="HOD2" s="42"/>
      <c r="HOE2" s="42"/>
      <c r="HOF2" s="42"/>
      <c r="HOG2" s="42"/>
      <c r="HOH2" s="42"/>
      <c r="HOI2" s="42"/>
      <c r="HOJ2" s="42"/>
      <c r="HOK2" s="42"/>
      <c r="HOL2" s="42"/>
      <c r="HOM2" s="42"/>
      <c r="HON2" s="42"/>
      <c r="HOO2" s="42"/>
      <c r="HOP2" s="42"/>
      <c r="HOQ2" s="42"/>
      <c r="HOR2" s="42"/>
      <c r="HOS2" s="42"/>
      <c r="HOT2" s="42"/>
      <c r="HOU2" s="42"/>
      <c r="HOV2" s="42"/>
      <c r="HOW2" s="42"/>
      <c r="HOX2" s="42"/>
      <c r="HOY2" s="42"/>
      <c r="HOZ2" s="42"/>
      <c r="HPA2" s="42"/>
      <c r="HPB2" s="42"/>
      <c r="HPC2" s="42"/>
      <c r="HPD2" s="42"/>
      <c r="HPE2" s="42"/>
      <c r="HPF2" s="42"/>
      <c r="HPG2" s="42"/>
      <c r="HPH2" s="42"/>
      <c r="HPI2" s="42"/>
      <c r="HPJ2" s="42"/>
      <c r="HPK2" s="42"/>
      <c r="HPL2" s="42"/>
      <c r="HPM2" s="42"/>
      <c r="HPN2" s="42"/>
      <c r="HPO2" s="42"/>
      <c r="HPP2" s="42"/>
      <c r="HPQ2" s="42"/>
      <c r="HPR2" s="42"/>
      <c r="HPS2" s="42"/>
      <c r="HPT2" s="42"/>
      <c r="HPU2" s="42"/>
      <c r="HPV2" s="42"/>
      <c r="HPW2" s="42"/>
      <c r="HPX2" s="42"/>
      <c r="HPY2" s="42"/>
      <c r="HPZ2" s="42"/>
      <c r="HQA2" s="42"/>
      <c r="HQB2" s="42"/>
      <c r="HQC2" s="42"/>
      <c r="HQD2" s="42"/>
      <c r="HQE2" s="42"/>
      <c r="HQF2" s="42"/>
      <c r="HQG2" s="42"/>
      <c r="HQH2" s="42"/>
      <c r="HQI2" s="42"/>
      <c r="HQJ2" s="42"/>
      <c r="HQK2" s="42"/>
      <c r="HQL2" s="42"/>
      <c r="HQM2" s="42"/>
      <c r="HQN2" s="42"/>
      <c r="HQO2" s="42"/>
      <c r="HQP2" s="42"/>
      <c r="HQQ2" s="42"/>
      <c r="HQR2" s="42"/>
      <c r="HQS2" s="42"/>
      <c r="HQT2" s="42"/>
      <c r="HQU2" s="42"/>
      <c r="HQV2" s="42"/>
      <c r="HQW2" s="42"/>
      <c r="HQX2" s="42"/>
      <c r="HQY2" s="42"/>
      <c r="HQZ2" s="42"/>
      <c r="HRA2" s="42"/>
      <c r="HRB2" s="42"/>
      <c r="HRC2" s="42"/>
      <c r="HRD2" s="42"/>
      <c r="HRE2" s="42"/>
      <c r="HRF2" s="42"/>
      <c r="HRG2" s="42"/>
      <c r="HRH2" s="42"/>
      <c r="HRI2" s="42"/>
      <c r="HRJ2" s="42"/>
      <c r="HRK2" s="42"/>
      <c r="HRL2" s="42"/>
      <c r="HRM2" s="42"/>
      <c r="HRN2" s="42"/>
      <c r="HRO2" s="42"/>
      <c r="HRP2" s="42"/>
      <c r="HRQ2" s="42"/>
      <c r="HRR2" s="42"/>
      <c r="HRS2" s="42"/>
      <c r="HRT2" s="42"/>
      <c r="HRU2" s="42"/>
      <c r="HRV2" s="42"/>
      <c r="HRW2" s="42"/>
      <c r="HRX2" s="42"/>
      <c r="HRY2" s="42"/>
      <c r="HRZ2" s="42"/>
      <c r="HSA2" s="42"/>
      <c r="HSB2" s="42"/>
      <c r="HSC2" s="42"/>
      <c r="HSD2" s="42"/>
      <c r="HSE2" s="42"/>
      <c r="HSF2" s="42"/>
      <c r="HSG2" s="42"/>
      <c r="HSH2" s="42"/>
      <c r="HSI2" s="42"/>
      <c r="HSJ2" s="42"/>
      <c r="HSK2" s="42"/>
      <c r="HSL2" s="42"/>
      <c r="HSM2" s="42"/>
      <c r="HSN2" s="42"/>
      <c r="HSO2" s="42"/>
      <c r="HSP2" s="42"/>
      <c r="HSQ2" s="42"/>
      <c r="HSR2" s="42"/>
      <c r="HSS2" s="42"/>
      <c r="HST2" s="42"/>
      <c r="HSU2" s="42"/>
      <c r="HSV2" s="42"/>
      <c r="HSW2" s="42"/>
      <c r="HSX2" s="42"/>
      <c r="HSY2" s="42"/>
      <c r="HSZ2" s="42"/>
      <c r="HTA2" s="42"/>
      <c r="HTB2" s="42"/>
      <c r="HTC2" s="42"/>
      <c r="HTD2" s="42"/>
      <c r="HTE2" s="42"/>
      <c r="HTF2" s="42"/>
      <c r="HTG2" s="42"/>
      <c r="HTH2" s="42"/>
      <c r="HTI2" s="42"/>
      <c r="HTJ2" s="42"/>
      <c r="HTK2" s="42"/>
      <c r="HTL2" s="42"/>
      <c r="HTM2" s="42"/>
      <c r="HTN2" s="42"/>
      <c r="HTO2" s="42"/>
      <c r="HTP2" s="42"/>
      <c r="HTQ2" s="42"/>
      <c r="HTR2" s="42"/>
      <c r="HTS2" s="42"/>
      <c r="HTT2" s="42"/>
      <c r="HTU2" s="42"/>
      <c r="HTV2" s="42"/>
      <c r="HTW2" s="42"/>
      <c r="HTX2" s="42"/>
      <c r="HTY2" s="42"/>
      <c r="HTZ2" s="42"/>
      <c r="HUA2" s="42"/>
      <c r="HUB2" s="42"/>
      <c r="HUC2" s="42"/>
      <c r="HUD2" s="42"/>
      <c r="HUE2" s="42"/>
      <c r="HUF2" s="42"/>
      <c r="HUG2" s="42"/>
      <c r="HUH2" s="42"/>
      <c r="HUI2" s="42"/>
      <c r="HUJ2" s="42"/>
      <c r="HUK2" s="42"/>
      <c r="HUL2" s="42"/>
      <c r="HUM2" s="42"/>
      <c r="HUN2" s="42"/>
      <c r="HUO2" s="42"/>
      <c r="HUP2" s="42"/>
      <c r="HUQ2" s="42"/>
      <c r="HUR2" s="42"/>
      <c r="HUS2" s="42"/>
      <c r="HUT2" s="42"/>
      <c r="HUU2" s="42"/>
      <c r="HUV2" s="42"/>
      <c r="HUW2" s="42"/>
      <c r="HUX2" s="42"/>
      <c r="HUY2" s="42"/>
      <c r="HUZ2" s="42"/>
      <c r="HVA2" s="42"/>
      <c r="HVB2" s="42"/>
      <c r="HVC2" s="42"/>
      <c r="HVD2" s="42"/>
      <c r="HVE2" s="42"/>
      <c r="HVF2" s="42"/>
      <c r="HVG2" s="42"/>
      <c r="HVH2" s="42"/>
      <c r="HVI2" s="42"/>
      <c r="HVJ2" s="42"/>
      <c r="HVK2" s="42"/>
      <c r="HVL2" s="42"/>
      <c r="HVM2" s="42"/>
      <c r="HVN2" s="42"/>
      <c r="HVO2" s="42"/>
      <c r="HVP2" s="42"/>
      <c r="HVQ2" s="42"/>
      <c r="HVR2" s="42"/>
      <c r="HVS2" s="42"/>
      <c r="HVT2" s="42"/>
      <c r="HVU2" s="42"/>
      <c r="HVV2" s="42"/>
      <c r="HVW2" s="42"/>
      <c r="HVX2" s="42"/>
      <c r="HVY2" s="42"/>
      <c r="HVZ2" s="42"/>
      <c r="HWA2" s="42"/>
      <c r="HWB2" s="42"/>
      <c r="HWC2" s="42"/>
      <c r="HWD2" s="42"/>
      <c r="HWE2" s="42"/>
      <c r="HWF2" s="42"/>
      <c r="HWG2" s="42"/>
      <c r="HWH2" s="42"/>
      <c r="HWI2" s="42"/>
      <c r="HWJ2" s="42"/>
      <c r="HWK2" s="42"/>
      <c r="HWL2" s="42"/>
      <c r="HWM2" s="42"/>
      <c r="HWN2" s="42"/>
      <c r="HWO2" s="42"/>
      <c r="HWP2" s="42"/>
      <c r="HWQ2" s="42"/>
      <c r="HWR2" s="42"/>
      <c r="HWS2" s="42"/>
      <c r="HWT2" s="42"/>
      <c r="HWU2" s="42"/>
      <c r="HWV2" s="42"/>
      <c r="HWW2" s="42"/>
      <c r="HWX2" s="42"/>
      <c r="HWY2" s="42"/>
      <c r="HWZ2" s="42"/>
      <c r="HXA2" s="42"/>
      <c r="HXB2" s="42"/>
      <c r="HXC2" s="42"/>
      <c r="HXD2" s="42"/>
      <c r="HXE2" s="42"/>
      <c r="HXF2" s="42"/>
      <c r="HXG2" s="42"/>
      <c r="HXH2" s="42"/>
      <c r="HXI2" s="42"/>
      <c r="HXJ2" s="42"/>
      <c r="HXK2" s="42"/>
      <c r="HXL2" s="42"/>
      <c r="HXM2" s="42"/>
      <c r="HXN2" s="42"/>
      <c r="HXO2" s="42"/>
      <c r="HXP2" s="42"/>
      <c r="HXQ2" s="42"/>
      <c r="HXR2" s="42"/>
      <c r="HXS2" s="42"/>
      <c r="HXT2" s="42"/>
      <c r="HXU2" s="42"/>
      <c r="HXV2" s="42"/>
      <c r="HXW2" s="42"/>
      <c r="HXX2" s="42"/>
      <c r="HXY2" s="42"/>
      <c r="HXZ2" s="42"/>
      <c r="HYA2" s="42"/>
      <c r="HYB2" s="42"/>
      <c r="HYC2" s="42"/>
      <c r="HYD2" s="42"/>
      <c r="HYE2" s="42"/>
      <c r="HYF2" s="42"/>
      <c r="HYG2" s="42"/>
      <c r="HYH2" s="42"/>
      <c r="HYI2" s="42"/>
      <c r="HYJ2" s="42"/>
      <c r="HYK2" s="42"/>
      <c r="HYL2" s="42"/>
      <c r="HYM2" s="42"/>
      <c r="HYN2" s="42"/>
      <c r="HYO2" s="42"/>
      <c r="HYP2" s="42"/>
      <c r="HYQ2" s="42"/>
      <c r="HYR2" s="42"/>
      <c r="HYS2" s="42"/>
      <c r="HYT2" s="42"/>
      <c r="HYU2" s="42"/>
      <c r="HYV2" s="42"/>
      <c r="HYW2" s="42"/>
      <c r="HYX2" s="42"/>
      <c r="HYY2" s="42"/>
      <c r="HYZ2" s="42"/>
      <c r="HZA2" s="42"/>
      <c r="HZB2" s="42"/>
      <c r="HZC2" s="42"/>
      <c r="HZD2" s="42"/>
      <c r="HZE2" s="42"/>
      <c r="HZF2" s="42"/>
      <c r="HZG2" s="42"/>
      <c r="HZH2" s="42"/>
      <c r="HZI2" s="42"/>
      <c r="HZJ2" s="42"/>
      <c r="HZK2" s="42"/>
      <c r="HZL2" s="42"/>
      <c r="HZM2" s="42"/>
      <c r="HZN2" s="42"/>
      <c r="HZO2" s="42"/>
      <c r="HZP2" s="42"/>
      <c r="HZQ2" s="42"/>
      <c r="HZR2" s="42"/>
      <c r="HZS2" s="42"/>
      <c r="HZT2" s="42"/>
      <c r="HZU2" s="42"/>
      <c r="HZV2" s="42"/>
      <c r="HZW2" s="42"/>
      <c r="HZX2" s="42"/>
      <c r="HZY2" s="42"/>
      <c r="HZZ2" s="42"/>
      <c r="IAA2" s="42"/>
      <c r="IAB2" s="42"/>
      <c r="IAC2" s="42"/>
      <c r="IAD2" s="42"/>
      <c r="IAE2" s="42"/>
      <c r="IAF2" s="42"/>
      <c r="IAG2" s="42"/>
      <c r="IAH2" s="42"/>
      <c r="IAI2" s="42"/>
      <c r="IAJ2" s="42"/>
      <c r="IAK2" s="42"/>
      <c r="IAL2" s="42"/>
      <c r="IAM2" s="42"/>
      <c r="IAN2" s="42"/>
      <c r="IAO2" s="42"/>
      <c r="IAP2" s="42"/>
      <c r="IAQ2" s="42"/>
      <c r="IAR2" s="42"/>
      <c r="IAS2" s="42"/>
      <c r="IAT2" s="42"/>
      <c r="IAU2" s="42"/>
      <c r="IAV2" s="42"/>
      <c r="IAW2" s="42"/>
      <c r="IAX2" s="42"/>
      <c r="IAY2" s="42"/>
      <c r="IAZ2" s="42"/>
      <c r="IBA2" s="42"/>
      <c r="IBB2" s="42"/>
      <c r="IBC2" s="42"/>
      <c r="IBD2" s="42"/>
      <c r="IBE2" s="42"/>
      <c r="IBF2" s="42"/>
      <c r="IBG2" s="42"/>
      <c r="IBH2" s="42"/>
      <c r="IBI2" s="42"/>
      <c r="IBJ2" s="42"/>
      <c r="IBK2" s="42"/>
      <c r="IBL2" s="42"/>
      <c r="IBM2" s="42"/>
      <c r="IBN2" s="42"/>
      <c r="IBO2" s="42"/>
      <c r="IBP2" s="42"/>
      <c r="IBQ2" s="42"/>
      <c r="IBR2" s="42"/>
      <c r="IBS2" s="42"/>
      <c r="IBT2" s="42"/>
      <c r="IBU2" s="42"/>
      <c r="IBV2" s="42"/>
      <c r="IBW2" s="42"/>
      <c r="IBX2" s="42"/>
      <c r="IBY2" s="42"/>
      <c r="IBZ2" s="42"/>
      <c r="ICA2" s="42"/>
      <c r="ICB2" s="42"/>
      <c r="ICC2" s="42"/>
      <c r="ICD2" s="42"/>
      <c r="ICE2" s="42"/>
      <c r="ICF2" s="42"/>
      <c r="ICG2" s="42"/>
      <c r="ICH2" s="42"/>
      <c r="ICI2" s="42"/>
      <c r="ICJ2" s="42"/>
      <c r="ICK2" s="42"/>
      <c r="ICL2" s="42"/>
      <c r="ICM2" s="42"/>
      <c r="ICN2" s="42"/>
      <c r="ICO2" s="42"/>
      <c r="ICP2" s="42"/>
      <c r="ICQ2" s="42"/>
      <c r="ICR2" s="42"/>
      <c r="ICS2" s="42"/>
      <c r="ICT2" s="42"/>
      <c r="ICU2" s="42"/>
      <c r="ICV2" s="42"/>
      <c r="ICW2" s="42"/>
      <c r="ICX2" s="42"/>
      <c r="ICY2" s="42"/>
      <c r="ICZ2" s="42"/>
      <c r="IDA2" s="42"/>
      <c r="IDB2" s="42"/>
      <c r="IDC2" s="42"/>
      <c r="IDD2" s="42"/>
      <c r="IDE2" s="42"/>
      <c r="IDF2" s="42"/>
      <c r="IDG2" s="42"/>
      <c r="IDH2" s="42"/>
      <c r="IDI2" s="42"/>
      <c r="IDJ2" s="42"/>
      <c r="IDK2" s="42"/>
      <c r="IDL2" s="42"/>
      <c r="IDM2" s="42"/>
      <c r="IDN2" s="42"/>
      <c r="IDO2" s="42"/>
      <c r="IDP2" s="42"/>
      <c r="IDQ2" s="42"/>
      <c r="IDR2" s="42"/>
      <c r="IDS2" s="42"/>
      <c r="IDT2" s="42"/>
      <c r="IDU2" s="42"/>
      <c r="IDV2" s="42"/>
      <c r="IDW2" s="42"/>
      <c r="IDX2" s="42"/>
      <c r="IDY2" s="42"/>
      <c r="IDZ2" s="42"/>
      <c r="IEA2" s="42"/>
      <c r="IEB2" s="42"/>
      <c r="IEC2" s="42"/>
      <c r="IED2" s="42"/>
      <c r="IEE2" s="42"/>
      <c r="IEF2" s="42"/>
      <c r="IEG2" s="42"/>
      <c r="IEH2" s="42"/>
      <c r="IEI2" s="42"/>
      <c r="IEJ2" s="42"/>
      <c r="IEK2" s="42"/>
      <c r="IEL2" s="42"/>
      <c r="IEM2" s="42"/>
      <c r="IEN2" s="42"/>
      <c r="IEO2" s="42"/>
      <c r="IEP2" s="42"/>
      <c r="IEQ2" s="42"/>
      <c r="IER2" s="42"/>
      <c r="IES2" s="42"/>
      <c r="IET2" s="42"/>
      <c r="IEU2" s="42"/>
      <c r="IEV2" s="42"/>
      <c r="IEW2" s="42"/>
      <c r="IEX2" s="42"/>
      <c r="IEY2" s="42"/>
      <c r="IEZ2" s="42"/>
      <c r="IFA2" s="42"/>
      <c r="IFB2" s="42"/>
      <c r="IFC2" s="42"/>
      <c r="IFD2" s="42"/>
      <c r="IFE2" s="42"/>
      <c r="IFF2" s="42"/>
      <c r="IFG2" s="42"/>
      <c r="IFH2" s="42"/>
      <c r="IFI2" s="42"/>
      <c r="IFJ2" s="42"/>
      <c r="IFK2" s="42"/>
      <c r="IFL2" s="42"/>
      <c r="IFM2" s="42"/>
      <c r="IFN2" s="42"/>
      <c r="IFO2" s="42"/>
      <c r="IFP2" s="42"/>
      <c r="IFQ2" s="42"/>
      <c r="IFR2" s="42"/>
      <c r="IFS2" s="42"/>
      <c r="IFT2" s="42"/>
      <c r="IFU2" s="42"/>
      <c r="IFV2" s="42"/>
      <c r="IFW2" s="42"/>
      <c r="IFX2" s="42"/>
      <c r="IFY2" s="42"/>
      <c r="IFZ2" s="42"/>
      <c r="IGA2" s="42"/>
      <c r="IGB2" s="42"/>
      <c r="IGC2" s="42"/>
      <c r="IGD2" s="42"/>
      <c r="IGE2" s="42"/>
      <c r="IGF2" s="42"/>
      <c r="IGG2" s="42"/>
      <c r="IGH2" s="42"/>
      <c r="IGI2" s="42"/>
      <c r="IGJ2" s="42"/>
      <c r="IGK2" s="42"/>
      <c r="IGL2" s="42"/>
      <c r="IGM2" s="42"/>
      <c r="IGN2" s="42"/>
      <c r="IGO2" s="42"/>
      <c r="IGP2" s="42"/>
      <c r="IGQ2" s="42"/>
      <c r="IGR2" s="42"/>
      <c r="IGS2" s="42"/>
      <c r="IGT2" s="42"/>
      <c r="IGU2" s="42"/>
      <c r="IGV2" s="42"/>
      <c r="IGW2" s="42"/>
      <c r="IGX2" s="42"/>
      <c r="IGY2" s="42"/>
      <c r="IGZ2" s="42"/>
      <c r="IHA2" s="42"/>
      <c r="IHB2" s="42"/>
      <c r="IHC2" s="42"/>
      <c r="IHD2" s="42"/>
      <c r="IHE2" s="42"/>
      <c r="IHF2" s="42"/>
      <c r="IHG2" s="42"/>
      <c r="IHH2" s="42"/>
      <c r="IHI2" s="42"/>
      <c r="IHJ2" s="42"/>
      <c r="IHK2" s="42"/>
      <c r="IHL2" s="42"/>
      <c r="IHM2" s="42"/>
      <c r="IHN2" s="42"/>
      <c r="IHO2" s="42"/>
      <c r="IHP2" s="42"/>
      <c r="IHQ2" s="42"/>
      <c r="IHR2" s="42"/>
      <c r="IHS2" s="42"/>
      <c r="IHT2" s="42"/>
      <c r="IHU2" s="42"/>
      <c r="IHV2" s="42"/>
      <c r="IHW2" s="42"/>
      <c r="IHX2" s="42"/>
      <c r="IHY2" s="42"/>
      <c r="IHZ2" s="42"/>
      <c r="IIA2" s="42"/>
      <c r="IIB2" s="42"/>
      <c r="IIC2" s="42"/>
      <c r="IID2" s="42"/>
      <c r="IIE2" s="42"/>
      <c r="IIF2" s="42"/>
      <c r="IIG2" s="42"/>
      <c r="IIH2" s="42"/>
      <c r="III2" s="42"/>
      <c r="IIJ2" s="42"/>
      <c r="IIK2" s="42"/>
      <c r="IIL2" s="42"/>
      <c r="IIM2" s="42"/>
      <c r="IIN2" s="42"/>
      <c r="IIO2" s="42"/>
      <c r="IIP2" s="42"/>
      <c r="IIQ2" s="42"/>
      <c r="IIR2" s="42"/>
      <c r="IIS2" s="42"/>
      <c r="IIT2" s="42"/>
      <c r="IIU2" s="42"/>
      <c r="IIV2" s="42"/>
      <c r="IIW2" s="42"/>
      <c r="IIX2" s="42"/>
      <c r="IIY2" s="42"/>
      <c r="IIZ2" s="42"/>
      <c r="IJA2" s="42"/>
      <c r="IJB2" s="42"/>
      <c r="IJC2" s="42"/>
      <c r="IJD2" s="42"/>
      <c r="IJE2" s="42"/>
      <c r="IJF2" s="42"/>
      <c r="IJG2" s="42"/>
      <c r="IJH2" s="42"/>
      <c r="IJI2" s="42"/>
      <c r="IJJ2" s="42"/>
      <c r="IJK2" s="42"/>
      <c r="IJL2" s="42"/>
      <c r="IJM2" s="42"/>
      <c r="IJN2" s="42"/>
      <c r="IJO2" s="42"/>
      <c r="IJP2" s="42"/>
      <c r="IJQ2" s="42"/>
      <c r="IJR2" s="42"/>
      <c r="IJS2" s="42"/>
      <c r="IJT2" s="42"/>
      <c r="IJU2" s="42"/>
      <c r="IJV2" s="42"/>
      <c r="IJW2" s="42"/>
      <c r="IJX2" s="42"/>
      <c r="IJY2" s="42"/>
      <c r="IJZ2" s="42"/>
      <c r="IKA2" s="42"/>
      <c r="IKB2" s="42"/>
      <c r="IKC2" s="42"/>
      <c r="IKD2" s="42"/>
      <c r="IKE2" s="42"/>
      <c r="IKF2" s="42"/>
      <c r="IKG2" s="42"/>
      <c r="IKH2" s="42"/>
      <c r="IKI2" s="42"/>
      <c r="IKJ2" s="42"/>
      <c r="IKK2" s="42"/>
      <c r="IKL2" s="42"/>
      <c r="IKM2" s="42"/>
      <c r="IKN2" s="42"/>
      <c r="IKO2" s="42"/>
      <c r="IKP2" s="42"/>
      <c r="IKQ2" s="42"/>
      <c r="IKR2" s="42"/>
      <c r="IKS2" s="42"/>
      <c r="IKT2" s="42"/>
      <c r="IKU2" s="42"/>
      <c r="IKV2" s="42"/>
      <c r="IKW2" s="42"/>
      <c r="IKX2" s="42"/>
      <c r="IKY2" s="42"/>
      <c r="IKZ2" s="42"/>
      <c r="ILA2" s="42"/>
      <c r="ILB2" s="42"/>
      <c r="ILC2" s="42"/>
      <c r="ILD2" s="42"/>
      <c r="ILE2" s="42"/>
      <c r="ILF2" s="42"/>
      <c r="ILG2" s="42"/>
      <c r="ILH2" s="42"/>
      <c r="ILI2" s="42"/>
      <c r="ILJ2" s="42"/>
      <c r="ILK2" s="42"/>
      <c r="ILL2" s="42"/>
      <c r="ILM2" s="42"/>
      <c r="ILN2" s="42"/>
      <c r="ILO2" s="42"/>
      <c r="ILP2" s="42"/>
      <c r="ILQ2" s="42"/>
      <c r="ILR2" s="42"/>
      <c r="ILS2" s="42"/>
      <c r="ILT2" s="42"/>
      <c r="ILU2" s="42"/>
      <c r="ILV2" s="42"/>
      <c r="ILW2" s="42"/>
      <c r="ILX2" s="42"/>
      <c r="ILY2" s="42"/>
      <c r="ILZ2" s="42"/>
      <c r="IMA2" s="42"/>
      <c r="IMB2" s="42"/>
      <c r="IMC2" s="42"/>
      <c r="IMD2" s="42"/>
      <c r="IME2" s="42"/>
      <c r="IMF2" s="42"/>
      <c r="IMG2" s="42"/>
      <c r="IMH2" s="42"/>
      <c r="IMI2" s="42"/>
      <c r="IMJ2" s="42"/>
      <c r="IMK2" s="42"/>
      <c r="IML2" s="42"/>
      <c r="IMM2" s="42"/>
      <c r="IMN2" s="42"/>
      <c r="IMO2" s="42"/>
      <c r="IMP2" s="42"/>
      <c r="IMQ2" s="42"/>
      <c r="IMR2" s="42"/>
      <c r="IMS2" s="42"/>
      <c r="IMT2" s="42"/>
      <c r="IMU2" s="42"/>
      <c r="IMV2" s="42"/>
      <c r="IMW2" s="42"/>
      <c r="IMX2" s="42"/>
      <c r="IMY2" s="42"/>
      <c r="IMZ2" s="42"/>
      <c r="INA2" s="42"/>
      <c r="INB2" s="42"/>
      <c r="INC2" s="42"/>
      <c r="IND2" s="42"/>
      <c r="INE2" s="42"/>
      <c r="INF2" s="42"/>
      <c r="ING2" s="42"/>
      <c r="INH2" s="42"/>
      <c r="INI2" s="42"/>
      <c r="INJ2" s="42"/>
      <c r="INK2" s="42"/>
      <c r="INL2" s="42"/>
      <c r="INM2" s="42"/>
      <c r="INN2" s="42"/>
      <c r="INO2" s="42"/>
      <c r="INP2" s="42"/>
      <c r="INQ2" s="42"/>
      <c r="INR2" s="42"/>
      <c r="INS2" s="42"/>
      <c r="INT2" s="42"/>
      <c r="INU2" s="42"/>
      <c r="INV2" s="42"/>
      <c r="INW2" s="42"/>
      <c r="INX2" s="42"/>
      <c r="INY2" s="42"/>
      <c r="INZ2" s="42"/>
      <c r="IOA2" s="42"/>
      <c r="IOB2" s="42"/>
      <c r="IOC2" s="42"/>
      <c r="IOD2" s="42"/>
      <c r="IOE2" s="42"/>
      <c r="IOF2" s="42"/>
      <c r="IOG2" s="42"/>
      <c r="IOH2" s="42"/>
      <c r="IOI2" s="42"/>
      <c r="IOJ2" s="42"/>
      <c r="IOK2" s="42"/>
      <c r="IOL2" s="42"/>
      <c r="IOM2" s="42"/>
      <c r="ION2" s="42"/>
      <c r="IOO2" s="42"/>
      <c r="IOP2" s="42"/>
      <c r="IOQ2" s="42"/>
      <c r="IOR2" s="42"/>
      <c r="IOS2" s="42"/>
      <c r="IOT2" s="42"/>
      <c r="IOU2" s="42"/>
      <c r="IOV2" s="42"/>
      <c r="IOW2" s="42"/>
      <c r="IOX2" s="42"/>
      <c r="IOY2" s="42"/>
      <c r="IOZ2" s="42"/>
      <c r="IPA2" s="42"/>
      <c r="IPB2" s="42"/>
      <c r="IPC2" s="42"/>
      <c r="IPD2" s="42"/>
      <c r="IPE2" s="42"/>
      <c r="IPF2" s="42"/>
      <c r="IPG2" s="42"/>
      <c r="IPH2" s="42"/>
      <c r="IPI2" s="42"/>
      <c r="IPJ2" s="42"/>
      <c r="IPK2" s="42"/>
      <c r="IPL2" s="42"/>
      <c r="IPM2" s="42"/>
      <c r="IPN2" s="42"/>
      <c r="IPO2" s="42"/>
      <c r="IPP2" s="42"/>
      <c r="IPQ2" s="42"/>
      <c r="IPR2" s="42"/>
      <c r="IPS2" s="42"/>
      <c r="IPT2" s="42"/>
      <c r="IPU2" s="42"/>
      <c r="IPV2" s="42"/>
      <c r="IPW2" s="42"/>
      <c r="IPX2" s="42"/>
      <c r="IPY2" s="42"/>
      <c r="IPZ2" s="42"/>
      <c r="IQA2" s="42"/>
      <c r="IQB2" s="42"/>
      <c r="IQC2" s="42"/>
      <c r="IQD2" s="42"/>
      <c r="IQE2" s="42"/>
      <c r="IQF2" s="42"/>
      <c r="IQG2" s="42"/>
      <c r="IQH2" s="42"/>
      <c r="IQI2" s="42"/>
      <c r="IQJ2" s="42"/>
      <c r="IQK2" s="42"/>
      <c r="IQL2" s="42"/>
      <c r="IQM2" s="42"/>
      <c r="IQN2" s="42"/>
      <c r="IQO2" s="42"/>
      <c r="IQP2" s="42"/>
      <c r="IQQ2" s="42"/>
      <c r="IQR2" s="42"/>
      <c r="IQS2" s="42"/>
      <c r="IQT2" s="42"/>
      <c r="IQU2" s="42"/>
      <c r="IQV2" s="42"/>
      <c r="IQW2" s="42"/>
      <c r="IQX2" s="42"/>
      <c r="IQY2" s="42"/>
      <c r="IQZ2" s="42"/>
      <c r="IRA2" s="42"/>
      <c r="IRB2" s="42"/>
      <c r="IRC2" s="42"/>
      <c r="IRD2" s="42"/>
      <c r="IRE2" s="42"/>
      <c r="IRF2" s="42"/>
      <c r="IRG2" s="42"/>
      <c r="IRH2" s="42"/>
      <c r="IRI2" s="42"/>
      <c r="IRJ2" s="42"/>
      <c r="IRK2" s="42"/>
      <c r="IRL2" s="42"/>
      <c r="IRM2" s="42"/>
      <c r="IRN2" s="42"/>
      <c r="IRO2" s="42"/>
      <c r="IRP2" s="42"/>
      <c r="IRQ2" s="42"/>
      <c r="IRR2" s="42"/>
      <c r="IRS2" s="42"/>
      <c r="IRT2" s="42"/>
      <c r="IRU2" s="42"/>
      <c r="IRV2" s="42"/>
      <c r="IRW2" s="42"/>
      <c r="IRX2" s="42"/>
      <c r="IRY2" s="42"/>
      <c r="IRZ2" s="42"/>
      <c r="ISA2" s="42"/>
      <c r="ISB2" s="42"/>
      <c r="ISC2" s="42"/>
      <c r="ISD2" s="42"/>
      <c r="ISE2" s="42"/>
      <c r="ISF2" s="42"/>
      <c r="ISG2" s="42"/>
      <c r="ISH2" s="42"/>
      <c r="ISI2" s="42"/>
      <c r="ISJ2" s="42"/>
      <c r="ISK2" s="42"/>
      <c r="ISL2" s="42"/>
      <c r="ISM2" s="42"/>
      <c r="ISN2" s="42"/>
      <c r="ISO2" s="42"/>
      <c r="ISP2" s="42"/>
      <c r="ISQ2" s="42"/>
      <c r="ISR2" s="42"/>
      <c r="ISS2" s="42"/>
      <c r="IST2" s="42"/>
      <c r="ISU2" s="42"/>
      <c r="ISV2" s="42"/>
      <c r="ISW2" s="42"/>
      <c r="ISX2" s="42"/>
      <c r="ISY2" s="42"/>
      <c r="ISZ2" s="42"/>
      <c r="ITA2" s="42"/>
      <c r="ITB2" s="42"/>
      <c r="ITC2" s="42"/>
      <c r="ITD2" s="42"/>
      <c r="ITE2" s="42"/>
      <c r="ITF2" s="42"/>
      <c r="ITG2" s="42"/>
      <c r="ITH2" s="42"/>
      <c r="ITI2" s="42"/>
      <c r="ITJ2" s="42"/>
      <c r="ITK2" s="42"/>
      <c r="ITL2" s="42"/>
      <c r="ITM2" s="42"/>
      <c r="ITN2" s="42"/>
      <c r="ITO2" s="42"/>
      <c r="ITP2" s="42"/>
      <c r="ITQ2" s="42"/>
      <c r="ITR2" s="42"/>
      <c r="ITS2" s="42"/>
      <c r="ITT2" s="42"/>
      <c r="ITU2" s="42"/>
      <c r="ITV2" s="42"/>
      <c r="ITW2" s="42"/>
      <c r="ITX2" s="42"/>
      <c r="ITY2" s="42"/>
      <c r="ITZ2" s="42"/>
      <c r="IUA2" s="42"/>
      <c r="IUB2" s="42"/>
      <c r="IUC2" s="42"/>
      <c r="IUD2" s="42"/>
      <c r="IUE2" s="42"/>
      <c r="IUF2" s="42"/>
      <c r="IUG2" s="42"/>
      <c r="IUH2" s="42"/>
      <c r="IUI2" s="42"/>
      <c r="IUJ2" s="42"/>
      <c r="IUK2" s="42"/>
      <c r="IUL2" s="42"/>
      <c r="IUM2" s="42"/>
      <c r="IUN2" s="42"/>
      <c r="IUO2" s="42"/>
      <c r="IUP2" s="42"/>
      <c r="IUQ2" s="42"/>
      <c r="IUR2" s="42"/>
      <c r="IUS2" s="42"/>
      <c r="IUT2" s="42"/>
      <c r="IUU2" s="42"/>
      <c r="IUV2" s="42"/>
      <c r="IUW2" s="42"/>
      <c r="IUX2" s="42"/>
      <c r="IUY2" s="42"/>
      <c r="IUZ2" s="42"/>
      <c r="IVA2" s="42"/>
      <c r="IVB2" s="42"/>
      <c r="IVC2" s="42"/>
      <c r="IVD2" s="42"/>
      <c r="IVE2" s="42"/>
      <c r="IVF2" s="42"/>
      <c r="IVG2" s="42"/>
      <c r="IVH2" s="42"/>
      <c r="IVI2" s="42"/>
      <c r="IVJ2" s="42"/>
      <c r="IVK2" s="42"/>
      <c r="IVL2" s="42"/>
      <c r="IVM2" s="42"/>
      <c r="IVN2" s="42"/>
      <c r="IVO2" s="42"/>
      <c r="IVP2" s="42"/>
      <c r="IVQ2" s="42"/>
      <c r="IVR2" s="42"/>
      <c r="IVS2" s="42"/>
      <c r="IVT2" s="42"/>
      <c r="IVU2" s="42"/>
      <c r="IVV2" s="42"/>
      <c r="IVW2" s="42"/>
      <c r="IVX2" s="42"/>
      <c r="IVY2" s="42"/>
      <c r="IVZ2" s="42"/>
      <c r="IWA2" s="42"/>
      <c r="IWB2" s="42"/>
      <c r="IWC2" s="42"/>
      <c r="IWD2" s="42"/>
      <c r="IWE2" s="42"/>
      <c r="IWF2" s="42"/>
      <c r="IWG2" s="42"/>
      <c r="IWH2" s="42"/>
      <c r="IWI2" s="42"/>
      <c r="IWJ2" s="42"/>
      <c r="IWK2" s="42"/>
      <c r="IWL2" s="42"/>
      <c r="IWM2" s="42"/>
      <c r="IWN2" s="42"/>
      <c r="IWO2" s="42"/>
      <c r="IWP2" s="42"/>
      <c r="IWQ2" s="42"/>
      <c r="IWR2" s="42"/>
      <c r="IWS2" s="42"/>
      <c r="IWT2" s="42"/>
      <c r="IWU2" s="42"/>
      <c r="IWV2" s="42"/>
      <c r="IWW2" s="42"/>
      <c r="IWX2" s="42"/>
      <c r="IWY2" s="42"/>
      <c r="IWZ2" s="42"/>
      <c r="IXA2" s="42"/>
      <c r="IXB2" s="42"/>
      <c r="IXC2" s="42"/>
      <c r="IXD2" s="42"/>
      <c r="IXE2" s="42"/>
      <c r="IXF2" s="42"/>
      <c r="IXG2" s="42"/>
      <c r="IXH2" s="42"/>
      <c r="IXI2" s="42"/>
      <c r="IXJ2" s="42"/>
      <c r="IXK2" s="42"/>
      <c r="IXL2" s="42"/>
      <c r="IXM2" s="42"/>
      <c r="IXN2" s="42"/>
      <c r="IXO2" s="42"/>
      <c r="IXP2" s="42"/>
      <c r="IXQ2" s="42"/>
      <c r="IXR2" s="42"/>
      <c r="IXS2" s="42"/>
      <c r="IXT2" s="42"/>
      <c r="IXU2" s="42"/>
      <c r="IXV2" s="42"/>
      <c r="IXW2" s="42"/>
      <c r="IXX2" s="42"/>
      <c r="IXY2" s="42"/>
      <c r="IXZ2" s="42"/>
      <c r="IYA2" s="42"/>
      <c r="IYB2" s="42"/>
      <c r="IYC2" s="42"/>
      <c r="IYD2" s="42"/>
      <c r="IYE2" s="42"/>
      <c r="IYF2" s="42"/>
      <c r="IYG2" s="42"/>
      <c r="IYH2" s="42"/>
      <c r="IYI2" s="42"/>
      <c r="IYJ2" s="42"/>
      <c r="IYK2" s="42"/>
      <c r="IYL2" s="42"/>
      <c r="IYM2" s="42"/>
      <c r="IYN2" s="42"/>
      <c r="IYO2" s="42"/>
      <c r="IYP2" s="42"/>
      <c r="IYQ2" s="42"/>
      <c r="IYR2" s="42"/>
      <c r="IYS2" s="42"/>
      <c r="IYT2" s="42"/>
      <c r="IYU2" s="42"/>
      <c r="IYV2" s="42"/>
      <c r="IYW2" s="42"/>
      <c r="IYX2" s="42"/>
      <c r="IYY2" s="42"/>
      <c r="IYZ2" s="42"/>
      <c r="IZA2" s="42"/>
      <c r="IZB2" s="42"/>
      <c r="IZC2" s="42"/>
      <c r="IZD2" s="42"/>
      <c r="IZE2" s="42"/>
      <c r="IZF2" s="42"/>
      <c r="IZG2" s="42"/>
      <c r="IZH2" s="42"/>
      <c r="IZI2" s="42"/>
      <c r="IZJ2" s="42"/>
      <c r="IZK2" s="42"/>
      <c r="IZL2" s="42"/>
      <c r="IZM2" s="42"/>
      <c r="IZN2" s="42"/>
      <c r="IZO2" s="42"/>
      <c r="IZP2" s="42"/>
      <c r="IZQ2" s="42"/>
      <c r="IZR2" s="42"/>
      <c r="IZS2" s="42"/>
      <c r="IZT2" s="42"/>
      <c r="IZU2" s="42"/>
      <c r="IZV2" s="42"/>
      <c r="IZW2" s="42"/>
      <c r="IZX2" s="42"/>
      <c r="IZY2" s="42"/>
      <c r="IZZ2" s="42"/>
      <c r="JAA2" s="42"/>
      <c r="JAB2" s="42"/>
      <c r="JAC2" s="42"/>
      <c r="JAD2" s="42"/>
      <c r="JAE2" s="42"/>
      <c r="JAF2" s="42"/>
      <c r="JAG2" s="42"/>
      <c r="JAH2" s="42"/>
      <c r="JAI2" s="42"/>
      <c r="JAJ2" s="42"/>
      <c r="JAK2" s="42"/>
      <c r="JAL2" s="42"/>
      <c r="JAM2" s="42"/>
      <c r="JAN2" s="42"/>
      <c r="JAO2" s="42"/>
      <c r="JAP2" s="42"/>
      <c r="JAQ2" s="42"/>
      <c r="JAR2" s="42"/>
      <c r="JAS2" s="42"/>
      <c r="JAT2" s="42"/>
      <c r="JAU2" s="42"/>
      <c r="JAV2" s="42"/>
      <c r="JAW2" s="42"/>
      <c r="JAX2" s="42"/>
      <c r="JAY2" s="42"/>
      <c r="JAZ2" s="42"/>
      <c r="JBA2" s="42"/>
      <c r="JBB2" s="42"/>
      <c r="JBC2" s="42"/>
      <c r="JBD2" s="42"/>
      <c r="JBE2" s="42"/>
      <c r="JBF2" s="42"/>
      <c r="JBG2" s="42"/>
      <c r="JBH2" s="42"/>
      <c r="JBI2" s="42"/>
      <c r="JBJ2" s="42"/>
      <c r="JBK2" s="42"/>
      <c r="JBL2" s="42"/>
      <c r="JBM2" s="42"/>
      <c r="JBN2" s="42"/>
      <c r="JBO2" s="42"/>
      <c r="JBP2" s="42"/>
      <c r="JBQ2" s="42"/>
      <c r="JBR2" s="42"/>
      <c r="JBS2" s="42"/>
      <c r="JBT2" s="42"/>
      <c r="JBU2" s="42"/>
      <c r="JBV2" s="42"/>
      <c r="JBW2" s="42"/>
      <c r="JBX2" s="42"/>
      <c r="JBY2" s="42"/>
      <c r="JBZ2" s="42"/>
      <c r="JCA2" s="42"/>
      <c r="JCB2" s="42"/>
      <c r="JCC2" s="42"/>
      <c r="JCD2" s="42"/>
      <c r="JCE2" s="42"/>
      <c r="JCF2" s="42"/>
      <c r="JCG2" s="42"/>
      <c r="JCH2" s="42"/>
      <c r="JCI2" s="42"/>
      <c r="JCJ2" s="42"/>
      <c r="JCK2" s="42"/>
      <c r="JCL2" s="42"/>
      <c r="JCM2" s="42"/>
      <c r="JCN2" s="42"/>
      <c r="JCO2" s="42"/>
      <c r="JCP2" s="42"/>
      <c r="JCQ2" s="42"/>
      <c r="JCR2" s="42"/>
      <c r="JCS2" s="42"/>
      <c r="JCT2" s="42"/>
      <c r="JCU2" s="42"/>
      <c r="JCV2" s="42"/>
      <c r="JCW2" s="42"/>
      <c r="JCX2" s="42"/>
      <c r="JCY2" s="42"/>
      <c r="JCZ2" s="42"/>
      <c r="JDA2" s="42"/>
      <c r="JDB2" s="42"/>
      <c r="JDC2" s="42"/>
      <c r="JDD2" s="42"/>
      <c r="JDE2" s="42"/>
      <c r="JDF2" s="42"/>
      <c r="JDG2" s="42"/>
      <c r="JDH2" s="42"/>
      <c r="JDI2" s="42"/>
      <c r="JDJ2" s="42"/>
      <c r="JDK2" s="42"/>
      <c r="JDL2" s="42"/>
      <c r="JDM2" s="42"/>
      <c r="JDN2" s="42"/>
      <c r="JDO2" s="42"/>
      <c r="JDP2" s="42"/>
      <c r="JDQ2" s="42"/>
      <c r="JDR2" s="42"/>
      <c r="JDS2" s="42"/>
      <c r="JDT2" s="42"/>
      <c r="JDU2" s="42"/>
      <c r="JDV2" s="42"/>
      <c r="JDW2" s="42"/>
      <c r="JDX2" s="42"/>
      <c r="JDY2" s="42"/>
      <c r="JDZ2" s="42"/>
      <c r="JEA2" s="42"/>
      <c r="JEB2" s="42"/>
      <c r="JEC2" s="42"/>
      <c r="JED2" s="42"/>
      <c r="JEE2" s="42"/>
      <c r="JEF2" s="42"/>
      <c r="JEG2" s="42"/>
      <c r="JEH2" s="42"/>
      <c r="JEI2" s="42"/>
      <c r="JEJ2" s="42"/>
      <c r="JEK2" s="42"/>
      <c r="JEL2" s="42"/>
      <c r="JEM2" s="42"/>
      <c r="JEN2" s="42"/>
      <c r="JEO2" s="42"/>
      <c r="JEP2" s="42"/>
      <c r="JEQ2" s="42"/>
      <c r="JER2" s="42"/>
      <c r="JES2" s="42"/>
      <c r="JET2" s="42"/>
      <c r="JEU2" s="42"/>
      <c r="JEV2" s="42"/>
      <c r="JEW2" s="42"/>
      <c r="JEX2" s="42"/>
      <c r="JEY2" s="42"/>
      <c r="JEZ2" s="42"/>
      <c r="JFA2" s="42"/>
      <c r="JFB2" s="42"/>
      <c r="JFC2" s="42"/>
      <c r="JFD2" s="42"/>
      <c r="JFE2" s="42"/>
      <c r="JFF2" s="42"/>
      <c r="JFG2" s="42"/>
      <c r="JFH2" s="42"/>
      <c r="JFI2" s="42"/>
      <c r="JFJ2" s="42"/>
      <c r="JFK2" s="42"/>
      <c r="JFL2" s="42"/>
      <c r="JFM2" s="42"/>
      <c r="JFN2" s="42"/>
      <c r="JFO2" s="42"/>
      <c r="JFP2" s="42"/>
      <c r="JFQ2" s="42"/>
      <c r="JFR2" s="42"/>
      <c r="JFS2" s="42"/>
      <c r="JFT2" s="42"/>
      <c r="JFU2" s="42"/>
      <c r="JFV2" s="42"/>
      <c r="JFW2" s="42"/>
      <c r="JFX2" s="42"/>
      <c r="JFY2" s="42"/>
      <c r="JFZ2" s="42"/>
      <c r="JGA2" s="42"/>
      <c r="JGB2" s="42"/>
      <c r="JGC2" s="42"/>
      <c r="JGD2" s="42"/>
      <c r="JGE2" s="42"/>
      <c r="JGF2" s="42"/>
      <c r="JGG2" s="42"/>
      <c r="JGH2" s="42"/>
      <c r="JGI2" s="42"/>
      <c r="JGJ2" s="42"/>
      <c r="JGK2" s="42"/>
      <c r="JGL2" s="42"/>
      <c r="JGM2" s="42"/>
      <c r="JGN2" s="42"/>
      <c r="JGO2" s="42"/>
      <c r="JGP2" s="42"/>
      <c r="JGQ2" s="42"/>
      <c r="JGR2" s="42"/>
      <c r="JGS2" s="42"/>
      <c r="JGT2" s="42"/>
      <c r="JGU2" s="42"/>
      <c r="JGV2" s="42"/>
      <c r="JGW2" s="42"/>
      <c r="JGX2" s="42"/>
      <c r="JGY2" s="42"/>
      <c r="JGZ2" s="42"/>
      <c r="JHA2" s="42"/>
      <c r="JHB2" s="42"/>
      <c r="JHC2" s="42"/>
      <c r="JHD2" s="42"/>
      <c r="JHE2" s="42"/>
      <c r="JHF2" s="42"/>
      <c r="JHG2" s="42"/>
      <c r="JHH2" s="42"/>
      <c r="JHI2" s="42"/>
      <c r="JHJ2" s="42"/>
      <c r="JHK2" s="42"/>
      <c r="JHL2" s="42"/>
      <c r="JHM2" s="42"/>
      <c r="JHN2" s="42"/>
      <c r="JHO2" s="42"/>
      <c r="JHP2" s="42"/>
      <c r="JHQ2" s="42"/>
      <c r="JHR2" s="42"/>
      <c r="JHS2" s="42"/>
      <c r="JHT2" s="42"/>
      <c r="JHU2" s="42"/>
      <c r="JHV2" s="42"/>
      <c r="JHW2" s="42"/>
      <c r="JHX2" s="42"/>
      <c r="JHY2" s="42"/>
      <c r="JHZ2" s="42"/>
      <c r="JIA2" s="42"/>
      <c r="JIB2" s="42"/>
      <c r="JIC2" s="42"/>
      <c r="JID2" s="42"/>
      <c r="JIE2" s="42"/>
      <c r="JIF2" s="42"/>
      <c r="JIG2" s="42"/>
      <c r="JIH2" s="42"/>
      <c r="JII2" s="42"/>
      <c r="JIJ2" s="42"/>
      <c r="JIK2" s="42"/>
      <c r="JIL2" s="42"/>
      <c r="JIM2" s="42"/>
      <c r="JIN2" s="42"/>
      <c r="JIO2" s="42"/>
      <c r="JIP2" s="42"/>
      <c r="JIQ2" s="42"/>
      <c r="JIR2" s="42"/>
      <c r="JIS2" s="42"/>
      <c r="JIT2" s="42"/>
      <c r="JIU2" s="42"/>
      <c r="JIV2" s="42"/>
      <c r="JIW2" s="42"/>
      <c r="JIX2" s="42"/>
      <c r="JIY2" s="42"/>
      <c r="JIZ2" s="42"/>
      <c r="JJA2" s="42"/>
      <c r="JJB2" s="42"/>
      <c r="JJC2" s="42"/>
      <c r="JJD2" s="42"/>
      <c r="JJE2" s="42"/>
      <c r="JJF2" s="42"/>
      <c r="JJG2" s="42"/>
      <c r="JJH2" s="42"/>
      <c r="JJI2" s="42"/>
      <c r="JJJ2" s="42"/>
      <c r="JJK2" s="42"/>
      <c r="JJL2" s="42"/>
      <c r="JJM2" s="42"/>
      <c r="JJN2" s="42"/>
      <c r="JJO2" s="42"/>
      <c r="JJP2" s="42"/>
      <c r="JJQ2" s="42"/>
      <c r="JJR2" s="42"/>
      <c r="JJS2" s="42"/>
      <c r="JJT2" s="42"/>
      <c r="JJU2" s="42"/>
      <c r="JJV2" s="42"/>
      <c r="JJW2" s="42"/>
      <c r="JJX2" s="42"/>
      <c r="JJY2" s="42"/>
      <c r="JJZ2" s="42"/>
      <c r="JKA2" s="42"/>
      <c r="JKB2" s="42"/>
      <c r="JKC2" s="42"/>
      <c r="JKD2" s="42"/>
      <c r="JKE2" s="42"/>
      <c r="JKF2" s="42"/>
      <c r="JKG2" s="42"/>
      <c r="JKH2" s="42"/>
      <c r="JKI2" s="42"/>
      <c r="JKJ2" s="42"/>
      <c r="JKK2" s="42"/>
      <c r="JKL2" s="42"/>
      <c r="JKM2" s="42"/>
      <c r="JKN2" s="42"/>
      <c r="JKO2" s="42"/>
      <c r="JKP2" s="42"/>
      <c r="JKQ2" s="42"/>
      <c r="JKR2" s="42"/>
      <c r="JKS2" s="42"/>
      <c r="JKT2" s="42"/>
      <c r="JKU2" s="42"/>
      <c r="JKV2" s="42"/>
      <c r="JKW2" s="42"/>
      <c r="JKX2" s="42"/>
      <c r="JKY2" s="42"/>
      <c r="JKZ2" s="42"/>
      <c r="JLA2" s="42"/>
      <c r="JLB2" s="42"/>
      <c r="JLC2" s="42"/>
      <c r="JLD2" s="42"/>
      <c r="JLE2" s="42"/>
      <c r="JLF2" s="42"/>
      <c r="JLG2" s="42"/>
      <c r="JLH2" s="42"/>
      <c r="JLI2" s="42"/>
      <c r="JLJ2" s="42"/>
      <c r="JLK2" s="42"/>
      <c r="JLL2" s="42"/>
      <c r="JLM2" s="42"/>
      <c r="JLN2" s="42"/>
      <c r="JLO2" s="42"/>
      <c r="JLP2" s="42"/>
      <c r="JLQ2" s="42"/>
      <c r="JLR2" s="42"/>
      <c r="JLS2" s="42"/>
      <c r="JLT2" s="42"/>
      <c r="JLU2" s="42"/>
      <c r="JLV2" s="42"/>
      <c r="JLW2" s="42"/>
      <c r="JLX2" s="42"/>
      <c r="JLY2" s="42"/>
      <c r="JLZ2" s="42"/>
      <c r="JMA2" s="42"/>
      <c r="JMB2" s="42"/>
      <c r="JMC2" s="42"/>
      <c r="JMD2" s="42"/>
      <c r="JME2" s="42"/>
      <c r="JMF2" s="42"/>
      <c r="JMG2" s="42"/>
      <c r="JMH2" s="42"/>
      <c r="JMI2" s="42"/>
      <c r="JMJ2" s="42"/>
      <c r="JMK2" s="42"/>
      <c r="JML2" s="42"/>
      <c r="JMM2" s="42"/>
      <c r="JMN2" s="42"/>
      <c r="JMO2" s="42"/>
      <c r="JMP2" s="42"/>
      <c r="JMQ2" s="42"/>
      <c r="JMR2" s="42"/>
      <c r="JMS2" s="42"/>
      <c r="JMT2" s="42"/>
      <c r="JMU2" s="42"/>
      <c r="JMV2" s="42"/>
      <c r="JMW2" s="42"/>
      <c r="JMX2" s="42"/>
      <c r="JMY2" s="42"/>
      <c r="JMZ2" s="42"/>
      <c r="JNA2" s="42"/>
      <c r="JNB2" s="42"/>
      <c r="JNC2" s="42"/>
      <c r="JND2" s="42"/>
      <c r="JNE2" s="42"/>
      <c r="JNF2" s="42"/>
      <c r="JNG2" s="42"/>
      <c r="JNH2" s="42"/>
      <c r="JNI2" s="42"/>
      <c r="JNJ2" s="42"/>
      <c r="JNK2" s="42"/>
      <c r="JNL2" s="42"/>
      <c r="JNM2" s="42"/>
      <c r="JNN2" s="42"/>
      <c r="JNO2" s="42"/>
      <c r="JNP2" s="42"/>
      <c r="JNQ2" s="42"/>
      <c r="JNR2" s="42"/>
      <c r="JNS2" s="42"/>
      <c r="JNT2" s="42"/>
      <c r="JNU2" s="42"/>
      <c r="JNV2" s="42"/>
      <c r="JNW2" s="42"/>
      <c r="JNX2" s="42"/>
      <c r="JNY2" s="42"/>
      <c r="JNZ2" s="42"/>
      <c r="JOA2" s="42"/>
      <c r="JOB2" s="42"/>
      <c r="JOC2" s="42"/>
      <c r="JOD2" s="42"/>
      <c r="JOE2" s="42"/>
      <c r="JOF2" s="42"/>
      <c r="JOG2" s="42"/>
      <c r="JOH2" s="42"/>
      <c r="JOI2" s="42"/>
      <c r="JOJ2" s="42"/>
      <c r="JOK2" s="42"/>
      <c r="JOL2" s="42"/>
      <c r="JOM2" s="42"/>
      <c r="JON2" s="42"/>
      <c r="JOO2" s="42"/>
      <c r="JOP2" s="42"/>
      <c r="JOQ2" s="42"/>
      <c r="JOR2" s="42"/>
      <c r="JOS2" s="42"/>
      <c r="JOT2" s="42"/>
      <c r="JOU2" s="42"/>
      <c r="JOV2" s="42"/>
      <c r="JOW2" s="42"/>
      <c r="JOX2" s="42"/>
      <c r="JOY2" s="42"/>
      <c r="JOZ2" s="42"/>
      <c r="JPA2" s="42"/>
      <c r="JPB2" s="42"/>
      <c r="JPC2" s="42"/>
      <c r="JPD2" s="42"/>
      <c r="JPE2" s="42"/>
      <c r="JPF2" s="42"/>
      <c r="JPG2" s="42"/>
      <c r="JPH2" s="42"/>
      <c r="JPI2" s="42"/>
      <c r="JPJ2" s="42"/>
      <c r="JPK2" s="42"/>
      <c r="JPL2" s="42"/>
      <c r="JPM2" s="42"/>
      <c r="JPN2" s="42"/>
      <c r="JPO2" s="42"/>
      <c r="JPP2" s="42"/>
      <c r="JPQ2" s="42"/>
      <c r="JPR2" s="42"/>
      <c r="JPS2" s="42"/>
      <c r="JPT2" s="42"/>
      <c r="JPU2" s="42"/>
      <c r="JPV2" s="42"/>
      <c r="JPW2" s="42"/>
      <c r="JPX2" s="42"/>
      <c r="JPY2" s="42"/>
      <c r="JPZ2" s="42"/>
      <c r="JQA2" s="42"/>
      <c r="JQB2" s="42"/>
      <c r="JQC2" s="42"/>
      <c r="JQD2" s="42"/>
      <c r="JQE2" s="42"/>
      <c r="JQF2" s="42"/>
      <c r="JQG2" s="42"/>
      <c r="JQH2" s="42"/>
      <c r="JQI2" s="42"/>
      <c r="JQJ2" s="42"/>
      <c r="JQK2" s="42"/>
      <c r="JQL2" s="42"/>
      <c r="JQM2" s="42"/>
      <c r="JQN2" s="42"/>
      <c r="JQO2" s="42"/>
      <c r="JQP2" s="42"/>
      <c r="JQQ2" s="42"/>
      <c r="JQR2" s="42"/>
      <c r="JQS2" s="42"/>
      <c r="JQT2" s="42"/>
      <c r="JQU2" s="42"/>
      <c r="JQV2" s="42"/>
      <c r="JQW2" s="42"/>
      <c r="JQX2" s="42"/>
      <c r="JQY2" s="42"/>
      <c r="JQZ2" s="42"/>
      <c r="JRA2" s="42"/>
      <c r="JRB2" s="42"/>
      <c r="JRC2" s="42"/>
      <c r="JRD2" s="42"/>
      <c r="JRE2" s="42"/>
      <c r="JRF2" s="42"/>
      <c r="JRG2" s="42"/>
      <c r="JRH2" s="42"/>
      <c r="JRI2" s="42"/>
      <c r="JRJ2" s="42"/>
      <c r="JRK2" s="42"/>
      <c r="JRL2" s="42"/>
      <c r="JRM2" s="42"/>
      <c r="JRN2" s="42"/>
      <c r="JRO2" s="42"/>
      <c r="JRP2" s="42"/>
      <c r="JRQ2" s="42"/>
      <c r="JRR2" s="42"/>
      <c r="JRS2" s="42"/>
      <c r="JRT2" s="42"/>
      <c r="JRU2" s="42"/>
      <c r="JRV2" s="42"/>
      <c r="JRW2" s="42"/>
      <c r="JRX2" s="42"/>
      <c r="JRY2" s="42"/>
      <c r="JRZ2" s="42"/>
      <c r="JSA2" s="42"/>
      <c r="JSB2" s="42"/>
      <c r="JSC2" s="42"/>
      <c r="JSD2" s="42"/>
      <c r="JSE2" s="42"/>
      <c r="JSF2" s="42"/>
      <c r="JSG2" s="42"/>
      <c r="JSH2" s="42"/>
      <c r="JSI2" s="42"/>
      <c r="JSJ2" s="42"/>
      <c r="JSK2" s="42"/>
      <c r="JSL2" s="42"/>
      <c r="JSM2" s="42"/>
      <c r="JSN2" s="42"/>
      <c r="JSO2" s="42"/>
      <c r="JSP2" s="42"/>
      <c r="JSQ2" s="42"/>
      <c r="JSR2" s="42"/>
      <c r="JSS2" s="42"/>
      <c r="JST2" s="42"/>
      <c r="JSU2" s="42"/>
      <c r="JSV2" s="42"/>
      <c r="JSW2" s="42"/>
      <c r="JSX2" s="42"/>
      <c r="JSY2" s="42"/>
      <c r="JSZ2" s="42"/>
      <c r="JTA2" s="42"/>
      <c r="JTB2" s="42"/>
      <c r="JTC2" s="42"/>
      <c r="JTD2" s="42"/>
      <c r="JTE2" s="42"/>
      <c r="JTF2" s="42"/>
      <c r="JTG2" s="42"/>
      <c r="JTH2" s="42"/>
      <c r="JTI2" s="42"/>
      <c r="JTJ2" s="42"/>
      <c r="JTK2" s="42"/>
      <c r="JTL2" s="42"/>
      <c r="JTM2" s="42"/>
      <c r="JTN2" s="42"/>
      <c r="JTO2" s="42"/>
      <c r="JTP2" s="42"/>
      <c r="JTQ2" s="42"/>
      <c r="JTR2" s="42"/>
      <c r="JTS2" s="42"/>
      <c r="JTT2" s="42"/>
      <c r="JTU2" s="42"/>
      <c r="JTV2" s="42"/>
      <c r="JTW2" s="42"/>
      <c r="JTX2" s="42"/>
      <c r="JTY2" s="42"/>
      <c r="JTZ2" s="42"/>
      <c r="JUA2" s="42"/>
      <c r="JUB2" s="42"/>
      <c r="JUC2" s="42"/>
      <c r="JUD2" s="42"/>
      <c r="JUE2" s="42"/>
      <c r="JUF2" s="42"/>
      <c r="JUG2" s="42"/>
      <c r="JUH2" s="42"/>
      <c r="JUI2" s="42"/>
      <c r="JUJ2" s="42"/>
      <c r="JUK2" s="42"/>
      <c r="JUL2" s="42"/>
      <c r="JUM2" s="42"/>
      <c r="JUN2" s="42"/>
      <c r="JUO2" s="42"/>
      <c r="JUP2" s="42"/>
      <c r="JUQ2" s="42"/>
      <c r="JUR2" s="42"/>
      <c r="JUS2" s="42"/>
      <c r="JUT2" s="42"/>
      <c r="JUU2" s="42"/>
      <c r="JUV2" s="42"/>
      <c r="JUW2" s="42"/>
      <c r="JUX2" s="42"/>
      <c r="JUY2" s="42"/>
      <c r="JUZ2" s="42"/>
      <c r="JVA2" s="42"/>
      <c r="JVB2" s="42"/>
      <c r="JVC2" s="42"/>
      <c r="JVD2" s="42"/>
      <c r="JVE2" s="42"/>
      <c r="JVF2" s="42"/>
      <c r="JVG2" s="42"/>
      <c r="JVH2" s="42"/>
      <c r="JVI2" s="42"/>
      <c r="JVJ2" s="42"/>
      <c r="JVK2" s="42"/>
      <c r="JVL2" s="42"/>
      <c r="JVM2" s="42"/>
      <c r="JVN2" s="42"/>
      <c r="JVO2" s="42"/>
      <c r="JVP2" s="42"/>
      <c r="JVQ2" s="42"/>
      <c r="JVR2" s="42"/>
      <c r="JVS2" s="42"/>
      <c r="JVT2" s="42"/>
      <c r="JVU2" s="42"/>
      <c r="JVV2" s="42"/>
      <c r="JVW2" s="42"/>
      <c r="JVX2" s="42"/>
      <c r="JVY2" s="42"/>
      <c r="JVZ2" s="42"/>
      <c r="JWA2" s="42"/>
      <c r="JWB2" s="42"/>
      <c r="JWC2" s="42"/>
      <c r="JWD2" s="42"/>
      <c r="JWE2" s="42"/>
      <c r="JWF2" s="42"/>
      <c r="JWG2" s="42"/>
      <c r="JWH2" s="42"/>
      <c r="JWI2" s="42"/>
      <c r="JWJ2" s="42"/>
      <c r="JWK2" s="42"/>
      <c r="JWL2" s="42"/>
      <c r="JWM2" s="42"/>
      <c r="JWN2" s="42"/>
      <c r="JWO2" s="42"/>
      <c r="JWP2" s="42"/>
      <c r="JWQ2" s="42"/>
      <c r="JWR2" s="42"/>
      <c r="JWS2" s="42"/>
      <c r="JWT2" s="42"/>
      <c r="JWU2" s="42"/>
      <c r="JWV2" s="42"/>
      <c r="JWW2" s="42"/>
      <c r="JWX2" s="42"/>
      <c r="JWY2" s="42"/>
      <c r="JWZ2" s="42"/>
      <c r="JXA2" s="42"/>
      <c r="JXB2" s="42"/>
      <c r="JXC2" s="42"/>
      <c r="JXD2" s="42"/>
      <c r="JXE2" s="42"/>
      <c r="JXF2" s="42"/>
      <c r="JXG2" s="42"/>
      <c r="JXH2" s="42"/>
      <c r="JXI2" s="42"/>
      <c r="JXJ2" s="42"/>
      <c r="JXK2" s="42"/>
      <c r="JXL2" s="42"/>
      <c r="JXM2" s="42"/>
      <c r="JXN2" s="42"/>
      <c r="JXO2" s="42"/>
      <c r="JXP2" s="42"/>
      <c r="JXQ2" s="42"/>
      <c r="JXR2" s="42"/>
      <c r="JXS2" s="42"/>
      <c r="JXT2" s="42"/>
      <c r="JXU2" s="42"/>
      <c r="JXV2" s="42"/>
      <c r="JXW2" s="42"/>
      <c r="JXX2" s="42"/>
      <c r="JXY2" s="42"/>
      <c r="JXZ2" s="42"/>
      <c r="JYA2" s="42"/>
      <c r="JYB2" s="42"/>
      <c r="JYC2" s="42"/>
      <c r="JYD2" s="42"/>
      <c r="JYE2" s="42"/>
      <c r="JYF2" s="42"/>
      <c r="JYG2" s="42"/>
      <c r="JYH2" s="42"/>
      <c r="JYI2" s="42"/>
      <c r="JYJ2" s="42"/>
      <c r="JYK2" s="42"/>
      <c r="JYL2" s="42"/>
      <c r="JYM2" s="42"/>
      <c r="JYN2" s="42"/>
      <c r="JYO2" s="42"/>
      <c r="JYP2" s="42"/>
      <c r="JYQ2" s="42"/>
      <c r="JYR2" s="42"/>
      <c r="JYS2" s="42"/>
      <c r="JYT2" s="42"/>
      <c r="JYU2" s="42"/>
      <c r="JYV2" s="42"/>
      <c r="JYW2" s="42"/>
      <c r="JYX2" s="42"/>
      <c r="JYY2" s="42"/>
      <c r="JYZ2" s="42"/>
      <c r="JZA2" s="42"/>
      <c r="JZB2" s="42"/>
      <c r="JZC2" s="42"/>
      <c r="JZD2" s="42"/>
      <c r="JZE2" s="42"/>
      <c r="JZF2" s="42"/>
      <c r="JZG2" s="42"/>
      <c r="JZH2" s="42"/>
      <c r="JZI2" s="42"/>
      <c r="JZJ2" s="42"/>
      <c r="JZK2" s="42"/>
      <c r="JZL2" s="42"/>
      <c r="JZM2" s="42"/>
      <c r="JZN2" s="42"/>
      <c r="JZO2" s="42"/>
      <c r="JZP2" s="42"/>
      <c r="JZQ2" s="42"/>
      <c r="JZR2" s="42"/>
      <c r="JZS2" s="42"/>
      <c r="JZT2" s="42"/>
      <c r="JZU2" s="42"/>
      <c r="JZV2" s="42"/>
      <c r="JZW2" s="42"/>
      <c r="JZX2" s="42"/>
      <c r="JZY2" s="42"/>
      <c r="JZZ2" s="42"/>
      <c r="KAA2" s="42"/>
      <c r="KAB2" s="42"/>
      <c r="KAC2" s="42"/>
      <c r="KAD2" s="42"/>
      <c r="KAE2" s="42"/>
      <c r="KAF2" s="42"/>
      <c r="KAG2" s="42"/>
      <c r="KAH2" s="42"/>
      <c r="KAI2" s="42"/>
      <c r="KAJ2" s="42"/>
      <c r="KAK2" s="42"/>
      <c r="KAL2" s="42"/>
      <c r="KAM2" s="42"/>
      <c r="KAN2" s="42"/>
      <c r="KAO2" s="42"/>
      <c r="KAP2" s="42"/>
      <c r="KAQ2" s="42"/>
      <c r="KAR2" s="42"/>
      <c r="KAS2" s="42"/>
      <c r="KAT2" s="42"/>
      <c r="KAU2" s="42"/>
      <c r="KAV2" s="42"/>
      <c r="KAW2" s="42"/>
      <c r="KAX2" s="42"/>
      <c r="KAY2" s="42"/>
      <c r="KAZ2" s="42"/>
      <c r="KBA2" s="42"/>
      <c r="KBB2" s="42"/>
      <c r="KBC2" s="42"/>
      <c r="KBD2" s="42"/>
      <c r="KBE2" s="42"/>
      <c r="KBF2" s="42"/>
      <c r="KBG2" s="42"/>
      <c r="KBH2" s="42"/>
      <c r="KBI2" s="42"/>
      <c r="KBJ2" s="42"/>
      <c r="KBK2" s="42"/>
      <c r="KBL2" s="42"/>
      <c r="KBM2" s="42"/>
      <c r="KBN2" s="42"/>
      <c r="KBO2" s="42"/>
      <c r="KBP2" s="42"/>
      <c r="KBQ2" s="42"/>
      <c r="KBR2" s="42"/>
      <c r="KBS2" s="42"/>
      <c r="KBT2" s="42"/>
      <c r="KBU2" s="42"/>
      <c r="KBV2" s="42"/>
      <c r="KBW2" s="42"/>
      <c r="KBX2" s="42"/>
      <c r="KBY2" s="42"/>
      <c r="KBZ2" s="42"/>
      <c r="KCA2" s="42"/>
      <c r="KCB2" s="42"/>
      <c r="KCC2" s="42"/>
      <c r="KCD2" s="42"/>
      <c r="KCE2" s="42"/>
      <c r="KCF2" s="42"/>
      <c r="KCG2" s="42"/>
      <c r="KCH2" s="42"/>
      <c r="KCI2" s="42"/>
      <c r="KCJ2" s="42"/>
      <c r="KCK2" s="42"/>
      <c r="KCL2" s="42"/>
      <c r="KCM2" s="42"/>
      <c r="KCN2" s="42"/>
      <c r="KCO2" s="42"/>
      <c r="KCP2" s="42"/>
      <c r="KCQ2" s="42"/>
      <c r="KCR2" s="42"/>
      <c r="KCS2" s="42"/>
      <c r="KCT2" s="42"/>
      <c r="KCU2" s="42"/>
      <c r="KCV2" s="42"/>
      <c r="KCW2" s="42"/>
      <c r="KCX2" s="42"/>
      <c r="KCY2" s="42"/>
      <c r="KCZ2" s="42"/>
      <c r="KDA2" s="42"/>
      <c r="KDB2" s="42"/>
      <c r="KDC2" s="42"/>
      <c r="KDD2" s="42"/>
      <c r="KDE2" s="42"/>
      <c r="KDF2" s="42"/>
      <c r="KDG2" s="42"/>
      <c r="KDH2" s="42"/>
      <c r="KDI2" s="42"/>
      <c r="KDJ2" s="42"/>
      <c r="KDK2" s="42"/>
      <c r="KDL2" s="42"/>
      <c r="KDM2" s="42"/>
      <c r="KDN2" s="42"/>
      <c r="KDO2" s="42"/>
      <c r="KDP2" s="42"/>
      <c r="KDQ2" s="42"/>
      <c r="KDR2" s="42"/>
      <c r="KDS2" s="42"/>
      <c r="KDT2" s="42"/>
      <c r="KDU2" s="42"/>
      <c r="KDV2" s="42"/>
      <c r="KDW2" s="42"/>
      <c r="KDX2" s="42"/>
      <c r="KDY2" s="42"/>
      <c r="KDZ2" s="42"/>
      <c r="KEA2" s="42"/>
      <c r="KEB2" s="42"/>
      <c r="KEC2" s="42"/>
      <c r="KED2" s="42"/>
      <c r="KEE2" s="42"/>
      <c r="KEF2" s="42"/>
      <c r="KEG2" s="42"/>
      <c r="KEH2" s="42"/>
      <c r="KEI2" s="42"/>
      <c r="KEJ2" s="42"/>
      <c r="KEK2" s="42"/>
      <c r="KEL2" s="42"/>
      <c r="KEM2" s="42"/>
      <c r="KEN2" s="42"/>
      <c r="KEO2" s="42"/>
      <c r="KEP2" s="42"/>
      <c r="KEQ2" s="42"/>
      <c r="KER2" s="42"/>
      <c r="KES2" s="42"/>
      <c r="KET2" s="42"/>
      <c r="KEU2" s="42"/>
      <c r="KEV2" s="42"/>
      <c r="KEW2" s="42"/>
      <c r="KEX2" s="42"/>
      <c r="KEY2" s="42"/>
      <c r="KEZ2" s="42"/>
      <c r="KFA2" s="42"/>
      <c r="KFB2" s="42"/>
      <c r="KFC2" s="42"/>
      <c r="KFD2" s="42"/>
      <c r="KFE2" s="42"/>
      <c r="KFF2" s="42"/>
      <c r="KFG2" s="42"/>
      <c r="KFH2" s="42"/>
      <c r="KFI2" s="42"/>
      <c r="KFJ2" s="42"/>
      <c r="KFK2" s="42"/>
      <c r="KFL2" s="42"/>
      <c r="KFM2" s="42"/>
      <c r="KFN2" s="42"/>
      <c r="KFO2" s="42"/>
      <c r="KFP2" s="42"/>
      <c r="KFQ2" s="42"/>
      <c r="KFR2" s="42"/>
      <c r="KFS2" s="42"/>
      <c r="KFT2" s="42"/>
      <c r="KFU2" s="42"/>
      <c r="KFV2" s="42"/>
      <c r="KFW2" s="42"/>
      <c r="KFX2" s="42"/>
      <c r="KFY2" s="42"/>
      <c r="KFZ2" s="42"/>
      <c r="KGA2" s="42"/>
      <c r="KGB2" s="42"/>
      <c r="KGC2" s="42"/>
      <c r="KGD2" s="42"/>
      <c r="KGE2" s="42"/>
      <c r="KGF2" s="42"/>
      <c r="KGG2" s="42"/>
      <c r="KGH2" s="42"/>
      <c r="KGI2" s="42"/>
      <c r="KGJ2" s="42"/>
      <c r="KGK2" s="42"/>
      <c r="KGL2" s="42"/>
      <c r="KGM2" s="42"/>
      <c r="KGN2" s="42"/>
      <c r="KGO2" s="42"/>
      <c r="KGP2" s="42"/>
      <c r="KGQ2" s="42"/>
      <c r="KGR2" s="42"/>
      <c r="KGS2" s="42"/>
      <c r="KGT2" s="42"/>
      <c r="KGU2" s="42"/>
      <c r="KGV2" s="42"/>
      <c r="KGW2" s="42"/>
      <c r="KGX2" s="42"/>
      <c r="KGY2" s="42"/>
      <c r="KGZ2" s="42"/>
      <c r="KHA2" s="42"/>
      <c r="KHB2" s="42"/>
      <c r="KHC2" s="42"/>
      <c r="KHD2" s="42"/>
      <c r="KHE2" s="42"/>
      <c r="KHF2" s="42"/>
      <c r="KHG2" s="42"/>
      <c r="KHH2" s="42"/>
      <c r="KHI2" s="42"/>
      <c r="KHJ2" s="42"/>
      <c r="KHK2" s="42"/>
      <c r="KHL2" s="42"/>
      <c r="KHM2" s="42"/>
      <c r="KHN2" s="42"/>
      <c r="KHO2" s="42"/>
      <c r="KHP2" s="42"/>
      <c r="KHQ2" s="42"/>
      <c r="KHR2" s="42"/>
      <c r="KHS2" s="42"/>
      <c r="KHT2" s="42"/>
      <c r="KHU2" s="42"/>
      <c r="KHV2" s="42"/>
      <c r="KHW2" s="42"/>
      <c r="KHX2" s="42"/>
      <c r="KHY2" s="42"/>
      <c r="KHZ2" s="42"/>
      <c r="KIA2" s="42"/>
      <c r="KIB2" s="42"/>
      <c r="KIC2" s="42"/>
      <c r="KID2" s="42"/>
      <c r="KIE2" s="42"/>
      <c r="KIF2" s="42"/>
      <c r="KIG2" s="42"/>
      <c r="KIH2" s="42"/>
      <c r="KII2" s="42"/>
      <c r="KIJ2" s="42"/>
      <c r="KIK2" s="42"/>
      <c r="KIL2" s="42"/>
      <c r="KIM2" s="42"/>
      <c r="KIN2" s="42"/>
      <c r="KIO2" s="42"/>
      <c r="KIP2" s="42"/>
      <c r="KIQ2" s="42"/>
      <c r="KIR2" s="42"/>
      <c r="KIS2" s="42"/>
      <c r="KIT2" s="42"/>
      <c r="KIU2" s="42"/>
      <c r="KIV2" s="42"/>
      <c r="KIW2" s="42"/>
      <c r="KIX2" s="42"/>
      <c r="KIY2" s="42"/>
      <c r="KIZ2" s="42"/>
      <c r="KJA2" s="42"/>
      <c r="KJB2" s="42"/>
      <c r="KJC2" s="42"/>
      <c r="KJD2" s="42"/>
      <c r="KJE2" s="42"/>
      <c r="KJF2" s="42"/>
      <c r="KJG2" s="42"/>
      <c r="KJH2" s="42"/>
      <c r="KJI2" s="42"/>
      <c r="KJJ2" s="42"/>
      <c r="KJK2" s="42"/>
      <c r="KJL2" s="42"/>
      <c r="KJM2" s="42"/>
      <c r="KJN2" s="42"/>
      <c r="KJO2" s="42"/>
      <c r="KJP2" s="42"/>
      <c r="KJQ2" s="42"/>
      <c r="KJR2" s="42"/>
      <c r="KJS2" s="42"/>
      <c r="KJT2" s="42"/>
      <c r="KJU2" s="42"/>
      <c r="KJV2" s="42"/>
      <c r="KJW2" s="42"/>
      <c r="KJX2" s="42"/>
      <c r="KJY2" s="42"/>
      <c r="KJZ2" s="42"/>
      <c r="KKA2" s="42"/>
      <c r="KKB2" s="42"/>
      <c r="KKC2" s="42"/>
      <c r="KKD2" s="42"/>
      <c r="KKE2" s="42"/>
      <c r="KKF2" s="42"/>
      <c r="KKG2" s="42"/>
      <c r="KKH2" s="42"/>
      <c r="KKI2" s="42"/>
      <c r="KKJ2" s="42"/>
      <c r="KKK2" s="42"/>
      <c r="KKL2" s="42"/>
      <c r="KKM2" s="42"/>
      <c r="KKN2" s="42"/>
      <c r="KKO2" s="42"/>
      <c r="KKP2" s="42"/>
      <c r="KKQ2" s="42"/>
      <c r="KKR2" s="42"/>
      <c r="KKS2" s="42"/>
      <c r="KKT2" s="42"/>
      <c r="KKU2" s="42"/>
      <c r="KKV2" s="42"/>
      <c r="KKW2" s="42"/>
      <c r="KKX2" s="42"/>
      <c r="KKY2" s="42"/>
      <c r="KKZ2" s="42"/>
      <c r="KLA2" s="42"/>
      <c r="KLB2" s="42"/>
      <c r="KLC2" s="42"/>
      <c r="KLD2" s="42"/>
      <c r="KLE2" s="42"/>
      <c r="KLF2" s="42"/>
      <c r="KLG2" s="42"/>
      <c r="KLH2" s="42"/>
      <c r="KLI2" s="42"/>
      <c r="KLJ2" s="42"/>
      <c r="KLK2" s="42"/>
      <c r="KLL2" s="42"/>
      <c r="KLM2" s="42"/>
      <c r="KLN2" s="42"/>
      <c r="KLO2" s="42"/>
      <c r="KLP2" s="42"/>
      <c r="KLQ2" s="42"/>
      <c r="KLR2" s="42"/>
      <c r="KLS2" s="42"/>
      <c r="KLT2" s="42"/>
      <c r="KLU2" s="42"/>
      <c r="KLV2" s="42"/>
      <c r="KLW2" s="42"/>
      <c r="KLX2" s="42"/>
      <c r="KLY2" s="42"/>
      <c r="KLZ2" s="42"/>
      <c r="KMA2" s="42"/>
      <c r="KMB2" s="42"/>
      <c r="KMC2" s="42"/>
      <c r="KMD2" s="42"/>
      <c r="KME2" s="42"/>
      <c r="KMF2" s="42"/>
      <c r="KMG2" s="42"/>
      <c r="KMH2" s="42"/>
      <c r="KMI2" s="42"/>
      <c r="KMJ2" s="42"/>
      <c r="KMK2" s="42"/>
      <c r="KML2" s="42"/>
      <c r="KMM2" s="42"/>
      <c r="KMN2" s="42"/>
      <c r="KMO2" s="42"/>
      <c r="KMP2" s="42"/>
      <c r="KMQ2" s="42"/>
      <c r="KMR2" s="42"/>
      <c r="KMS2" s="42"/>
      <c r="KMT2" s="42"/>
      <c r="KMU2" s="42"/>
      <c r="KMV2" s="42"/>
      <c r="KMW2" s="42"/>
      <c r="KMX2" s="42"/>
      <c r="KMY2" s="42"/>
      <c r="KMZ2" s="42"/>
      <c r="KNA2" s="42"/>
      <c r="KNB2" s="42"/>
      <c r="KNC2" s="42"/>
      <c r="KND2" s="42"/>
      <c r="KNE2" s="42"/>
      <c r="KNF2" s="42"/>
      <c r="KNG2" s="42"/>
      <c r="KNH2" s="42"/>
      <c r="KNI2" s="42"/>
      <c r="KNJ2" s="42"/>
      <c r="KNK2" s="42"/>
      <c r="KNL2" s="42"/>
      <c r="KNM2" s="42"/>
      <c r="KNN2" s="42"/>
      <c r="KNO2" s="42"/>
      <c r="KNP2" s="42"/>
      <c r="KNQ2" s="42"/>
      <c r="KNR2" s="42"/>
      <c r="KNS2" s="42"/>
      <c r="KNT2" s="42"/>
      <c r="KNU2" s="42"/>
      <c r="KNV2" s="42"/>
      <c r="KNW2" s="42"/>
      <c r="KNX2" s="42"/>
      <c r="KNY2" s="42"/>
      <c r="KNZ2" s="42"/>
      <c r="KOA2" s="42"/>
      <c r="KOB2" s="42"/>
      <c r="KOC2" s="42"/>
      <c r="KOD2" s="42"/>
      <c r="KOE2" s="42"/>
      <c r="KOF2" s="42"/>
      <c r="KOG2" s="42"/>
      <c r="KOH2" s="42"/>
      <c r="KOI2" s="42"/>
      <c r="KOJ2" s="42"/>
      <c r="KOK2" s="42"/>
      <c r="KOL2" s="42"/>
      <c r="KOM2" s="42"/>
      <c r="KON2" s="42"/>
      <c r="KOO2" s="42"/>
      <c r="KOP2" s="42"/>
      <c r="KOQ2" s="42"/>
      <c r="KOR2" s="42"/>
      <c r="KOS2" s="42"/>
      <c r="KOT2" s="42"/>
      <c r="KOU2" s="42"/>
      <c r="KOV2" s="42"/>
      <c r="KOW2" s="42"/>
      <c r="KOX2" s="42"/>
      <c r="KOY2" s="42"/>
      <c r="KOZ2" s="42"/>
      <c r="KPA2" s="42"/>
      <c r="KPB2" s="42"/>
      <c r="KPC2" s="42"/>
      <c r="KPD2" s="42"/>
      <c r="KPE2" s="42"/>
      <c r="KPF2" s="42"/>
      <c r="KPG2" s="42"/>
      <c r="KPH2" s="42"/>
      <c r="KPI2" s="42"/>
      <c r="KPJ2" s="42"/>
      <c r="KPK2" s="42"/>
      <c r="KPL2" s="42"/>
      <c r="KPM2" s="42"/>
      <c r="KPN2" s="42"/>
      <c r="KPO2" s="42"/>
      <c r="KPP2" s="42"/>
      <c r="KPQ2" s="42"/>
      <c r="KPR2" s="42"/>
      <c r="KPS2" s="42"/>
      <c r="KPT2" s="42"/>
      <c r="KPU2" s="42"/>
      <c r="KPV2" s="42"/>
      <c r="KPW2" s="42"/>
      <c r="KPX2" s="42"/>
      <c r="KPY2" s="42"/>
      <c r="KPZ2" s="42"/>
      <c r="KQA2" s="42"/>
      <c r="KQB2" s="42"/>
      <c r="KQC2" s="42"/>
      <c r="KQD2" s="42"/>
      <c r="KQE2" s="42"/>
      <c r="KQF2" s="42"/>
      <c r="KQG2" s="42"/>
      <c r="KQH2" s="42"/>
      <c r="KQI2" s="42"/>
      <c r="KQJ2" s="42"/>
      <c r="KQK2" s="42"/>
      <c r="KQL2" s="42"/>
      <c r="KQM2" s="42"/>
      <c r="KQN2" s="42"/>
      <c r="KQO2" s="42"/>
      <c r="KQP2" s="42"/>
      <c r="KQQ2" s="42"/>
      <c r="KQR2" s="42"/>
      <c r="KQS2" s="42"/>
      <c r="KQT2" s="42"/>
      <c r="KQU2" s="42"/>
      <c r="KQV2" s="42"/>
      <c r="KQW2" s="42"/>
      <c r="KQX2" s="42"/>
      <c r="KQY2" s="42"/>
      <c r="KQZ2" s="42"/>
      <c r="KRA2" s="42"/>
      <c r="KRB2" s="42"/>
      <c r="KRC2" s="42"/>
      <c r="KRD2" s="42"/>
      <c r="KRE2" s="42"/>
      <c r="KRF2" s="42"/>
      <c r="KRG2" s="42"/>
      <c r="KRH2" s="42"/>
      <c r="KRI2" s="42"/>
      <c r="KRJ2" s="42"/>
      <c r="KRK2" s="42"/>
      <c r="KRL2" s="42"/>
      <c r="KRM2" s="42"/>
      <c r="KRN2" s="42"/>
      <c r="KRO2" s="42"/>
      <c r="KRP2" s="42"/>
      <c r="KRQ2" s="42"/>
      <c r="KRR2" s="42"/>
      <c r="KRS2" s="42"/>
      <c r="KRT2" s="42"/>
      <c r="KRU2" s="42"/>
      <c r="KRV2" s="42"/>
      <c r="KRW2" s="42"/>
      <c r="KRX2" s="42"/>
      <c r="KRY2" s="42"/>
      <c r="KRZ2" s="42"/>
      <c r="KSA2" s="42"/>
      <c r="KSB2" s="42"/>
      <c r="KSC2" s="42"/>
      <c r="KSD2" s="42"/>
      <c r="KSE2" s="42"/>
      <c r="KSF2" s="42"/>
      <c r="KSG2" s="42"/>
      <c r="KSH2" s="42"/>
      <c r="KSI2" s="42"/>
      <c r="KSJ2" s="42"/>
      <c r="KSK2" s="42"/>
      <c r="KSL2" s="42"/>
      <c r="KSM2" s="42"/>
      <c r="KSN2" s="42"/>
      <c r="KSO2" s="42"/>
      <c r="KSP2" s="42"/>
      <c r="KSQ2" s="42"/>
      <c r="KSR2" s="42"/>
      <c r="KSS2" s="42"/>
      <c r="KST2" s="42"/>
      <c r="KSU2" s="42"/>
      <c r="KSV2" s="42"/>
      <c r="KSW2" s="42"/>
      <c r="KSX2" s="42"/>
      <c r="KSY2" s="42"/>
      <c r="KSZ2" s="42"/>
      <c r="KTA2" s="42"/>
      <c r="KTB2" s="42"/>
      <c r="KTC2" s="42"/>
      <c r="KTD2" s="42"/>
      <c r="KTE2" s="42"/>
      <c r="KTF2" s="42"/>
      <c r="KTG2" s="42"/>
      <c r="KTH2" s="42"/>
      <c r="KTI2" s="42"/>
      <c r="KTJ2" s="42"/>
      <c r="KTK2" s="42"/>
      <c r="KTL2" s="42"/>
      <c r="KTM2" s="42"/>
      <c r="KTN2" s="42"/>
      <c r="KTO2" s="42"/>
      <c r="KTP2" s="42"/>
      <c r="KTQ2" s="42"/>
      <c r="KTR2" s="42"/>
      <c r="KTS2" s="42"/>
      <c r="KTT2" s="42"/>
      <c r="KTU2" s="42"/>
      <c r="KTV2" s="42"/>
      <c r="KTW2" s="42"/>
      <c r="KTX2" s="42"/>
      <c r="KTY2" s="42"/>
      <c r="KTZ2" s="42"/>
      <c r="KUA2" s="42"/>
      <c r="KUB2" s="42"/>
      <c r="KUC2" s="42"/>
      <c r="KUD2" s="42"/>
      <c r="KUE2" s="42"/>
      <c r="KUF2" s="42"/>
      <c r="KUG2" s="42"/>
      <c r="KUH2" s="42"/>
      <c r="KUI2" s="42"/>
      <c r="KUJ2" s="42"/>
      <c r="KUK2" s="42"/>
      <c r="KUL2" s="42"/>
      <c r="KUM2" s="42"/>
      <c r="KUN2" s="42"/>
      <c r="KUO2" s="42"/>
      <c r="KUP2" s="42"/>
      <c r="KUQ2" s="42"/>
      <c r="KUR2" s="42"/>
      <c r="KUS2" s="42"/>
      <c r="KUT2" s="42"/>
      <c r="KUU2" s="42"/>
      <c r="KUV2" s="42"/>
      <c r="KUW2" s="42"/>
      <c r="KUX2" s="42"/>
      <c r="KUY2" s="42"/>
      <c r="KUZ2" s="42"/>
      <c r="KVA2" s="42"/>
      <c r="KVB2" s="42"/>
      <c r="KVC2" s="42"/>
      <c r="KVD2" s="42"/>
      <c r="KVE2" s="42"/>
      <c r="KVF2" s="42"/>
      <c r="KVG2" s="42"/>
      <c r="KVH2" s="42"/>
      <c r="KVI2" s="42"/>
      <c r="KVJ2" s="42"/>
      <c r="KVK2" s="42"/>
      <c r="KVL2" s="42"/>
      <c r="KVM2" s="42"/>
      <c r="KVN2" s="42"/>
      <c r="KVO2" s="42"/>
      <c r="KVP2" s="42"/>
      <c r="KVQ2" s="42"/>
      <c r="KVR2" s="42"/>
      <c r="KVS2" s="42"/>
      <c r="KVT2" s="42"/>
      <c r="KVU2" s="42"/>
      <c r="KVV2" s="42"/>
      <c r="KVW2" s="42"/>
      <c r="KVX2" s="42"/>
      <c r="KVY2" s="42"/>
      <c r="KVZ2" s="42"/>
      <c r="KWA2" s="42"/>
      <c r="KWB2" s="42"/>
      <c r="KWC2" s="42"/>
      <c r="KWD2" s="42"/>
      <c r="KWE2" s="42"/>
      <c r="KWF2" s="42"/>
      <c r="KWG2" s="42"/>
      <c r="KWH2" s="42"/>
      <c r="KWI2" s="42"/>
      <c r="KWJ2" s="42"/>
      <c r="KWK2" s="42"/>
      <c r="KWL2" s="42"/>
      <c r="KWM2" s="42"/>
      <c r="KWN2" s="42"/>
      <c r="KWO2" s="42"/>
      <c r="KWP2" s="42"/>
      <c r="KWQ2" s="42"/>
      <c r="KWR2" s="42"/>
      <c r="KWS2" s="42"/>
      <c r="KWT2" s="42"/>
      <c r="KWU2" s="42"/>
      <c r="KWV2" s="42"/>
      <c r="KWW2" s="42"/>
      <c r="KWX2" s="42"/>
      <c r="KWY2" s="42"/>
      <c r="KWZ2" s="42"/>
      <c r="KXA2" s="42"/>
      <c r="KXB2" s="42"/>
      <c r="KXC2" s="42"/>
      <c r="KXD2" s="42"/>
      <c r="KXE2" s="42"/>
      <c r="KXF2" s="42"/>
      <c r="KXG2" s="42"/>
      <c r="KXH2" s="42"/>
      <c r="KXI2" s="42"/>
      <c r="KXJ2" s="42"/>
      <c r="KXK2" s="42"/>
      <c r="KXL2" s="42"/>
      <c r="KXM2" s="42"/>
      <c r="KXN2" s="42"/>
      <c r="KXO2" s="42"/>
      <c r="KXP2" s="42"/>
      <c r="KXQ2" s="42"/>
      <c r="KXR2" s="42"/>
      <c r="KXS2" s="42"/>
      <c r="KXT2" s="42"/>
      <c r="KXU2" s="42"/>
      <c r="KXV2" s="42"/>
      <c r="KXW2" s="42"/>
      <c r="KXX2" s="42"/>
      <c r="KXY2" s="42"/>
      <c r="KXZ2" s="42"/>
      <c r="KYA2" s="42"/>
      <c r="KYB2" s="42"/>
      <c r="KYC2" s="42"/>
      <c r="KYD2" s="42"/>
      <c r="KYE2" s="42"/>
      <c r="KYF2" s="42"/>
      <c r="KYG2" s="42"/>
      <c r="KYH2" s="42"/>
      <c r="KYI2" s="42"/>
      <c r="KYJ2" s="42"/>
      <c r="KYK2" s="42"/>
      <c r="KYL2" s="42"/>
      <c r="KYM2" s="42"/>
      <c r="KYN2" s="42"/>
      <c r="KYO2" s="42"/>
      <c r="KYP2" s="42"/>
      <c r="KYQ2" s="42"/>
      <c r="KYR2" s="42"/>
      <c r="KYS2" s="42"/>
      <c r="KYT2" s="42"/>
      <c r="KYU2" s="42"/>
      <c r="KYV2" s="42"/>
      <c r="KYW2" s="42"/>
      <c r="KYX2" s="42"/>
      <c r="KYY2" s="42"/>
      <c r="KYZ2" s="42"/>
      <c r="KZA2" s="42"/>
      <c r="KZB2" s="42"/>
      <c r="KZC2" s="42"/>
      <c r="KZD2" s="42"/>
      <c r="KZE2" s="42"/>
      <c r="KZF2" s="42"/>
      <c r="KZG2" s="42"/>
      <c r="KZH2" s="42"/>
      <c r="KZI2" s="42"/>
      <c r="KZJ2" s="42"/>
      <c r="KZK2" s="42"/>
      <c r="KZL2" s="42"/>
      <c r="KZM2" s="42"/>
      <c r="KZN2" s="42"/>
      <c r="KZO2" s="42"/>
      <c r="KZP2" s="42"/>
      <c r="KZQ2" s="42"/>
      <c r="KZR2" s="42"/>
      <c r="KZS2" s="42"/>
      <c r="KZT2" s="42"/>
      <c r="KZU2" s="42"/>
      <c r="KZV2" s="42"/>
      <c r="KZW2" s="42"/>
      <c r="KZX2" s="42"/>
      <c r="KZY2" s="42"/>
      <c r="KZZ2" s="42"/>
      <c r="LAA2" s="42"/>
      <c r="LAB2" s="42"/>
      <c r="LAC2" s="42"/>
      <c r="LAD2" s="42"/>
      <c r="LAE2" s="42"/>
      <c r="LAF2" s="42"/>
      <c r="LAG2" s="42"/>
      <c r="LAH2" s="42"/>
      <c r="LAI2" s="42"/>
      <c r="LAJ2" s="42"/>
      <c r="LAK2" s="42"/>
      <c r="LAL2" s="42"/>
      <c r="LAM2" s="42"/>
      <c r="LAN2" s="42"/>
      <c r="LAO2" s="42"/>
      <c r="LAP2" s="42"/>
      <c r="LAQ2" s="42"/>
      <c r="LAR2" s="42"/>
      <c r="LAS2" s="42"/>
      <c r="LAT2" s="42"/>
      <c r="LAU2" s="42"/>
      <c r="LAV2" s="42"/>
      <c r="LAW2" s="42"/>
      <c r="LAX2" s="42"/>
      <c r="LAY2" s="42"/>
      <c r="LAZ2" s="42"/>
      <c r="LBA2" s="42"/>
      <c r="LBB2" s="42"/>
      <c r="LBC2" s="42"/>
      <c r="LBD2" s="42"/>
      <c r="LBE2" s="42"/>
      <c r="LBF2" s="42"/>
      <c r="LBG2" s="42"/>
      <c r="LBH2" s="42"/>
      <c r="LBI2" s="42"/>
      <c r="LBJ2" s="42"/>
      <c r="LBK2" s="42"/>
      <c r="LBL2" s="42"/>
      <c r="LBM2" s="42"/>
      <c r="LBN2" s="42"/>
      <c r="LBO2" s="42"/>
      <c r="LBP2" s="42"/>
      <c r="LBQ2" s="42"/>
      <c r="LBR2" s="42"/>
      <c r="LBS2" s="42"/>
      <c r="LBT2" s="42"/>
      <c r="LBU2" s="42"/>
      <c r="LBV2" s="42"/>
      <c r="LBW2" s="42"/>
      <c r="LBX2" s="42"/>
      <c r="LBY2" s="42"/>
      <c r="LBZ2" s="42"/>
      <c r="LCA2" s="42"/>
      <c r="LCB2" s="42"/>
      <c r="LCC2" s="42"/>
      <c r="LCD2" s="42"/>
      <c r="LCE2" s="42"/>
      <c r="LCF2" s="42"/>
      <c r="LCG2" s="42"/>
      <c r="LCH2" s="42"/>
      <c r="LCI2" s="42"/>
      <c r="LCJ2" s="42"/>
      <c r="LCK2" s="42"/>
      <c r="LCL2" s="42"/>
      <c r="LCM2" s="42"/>
      <c r="LCN2" s="42"/>
      <c r="LCO2" s="42"/>
      <c r="LCP2" s="42"/>
      <c r="LCQ2" s="42"/>
      <c r="LCR2" s="42"/>
      <c r="LCS2" s="42"/>
      <c r="LCT2" s="42"/>
      <c r="LCU2" s="42"/>
      <c r="LCV2" s="42"/>
      <c r="LCW2" s="42"/>
      <c r="LCX2" s="42"/>
      <c r="LCY2" s="42"/>
      <c r="LCZ2" s="42"/>
      <c r="LDA2" s="42"/>
      <c r="LDB2" s="42"/>
      <c r="LDC2" s="42"/>
      <c r="LDD2" s="42"/>
      <c r="LDE2" s="42"/>
      <c r="LDF2" s="42"/>
      <c r="LDG2" s="42"/>
      <c r="LDH2" s="42"/>
      <c r="LDI2" s="42"/>
      <c r="LDJ2" s="42"/>
      <c r="LDK2" s="42"/>
      <c r="LDL2" s="42"/>
      <c r="LDM2" s="42"/>
      <c r="LDN2" s="42"/>
      <c r="LDO2" s="42"/>
      <c r="LDP2" s="42"/>
      <c r="LDQ2" s="42"/>
      <c r="LDR2" s="42"/>
      <c r="LDS2" s="42"/>
      <c r="LDT2" s="42"/>
      <c r="LDU2" s="42"/>
      <c r="LDV2" s="42"/>
      <c r="LDW2" s="42"/>
      <c r="LDX2" s="42"/>
      <c r="LDY2" s="42"/>
      <c r="LDZ2" s="42"/>
      <c r="LEA2" s="42"/>
      <c r="LEB2" s="42"/>
      <c r="LEC2" s="42"/>
      <c r="LED2" s="42"/>
      <c r="LEE2" s="42"/>
      <c r="LEF2" s="42"/>
      <c r="LEG2" s="42"/>
      <c r="LEH2" s="42"/>
      <c r="LEI2" s="42"/>
      <c r="LEJ2" s="42"/>
      <c r="LEK2" s="42"/>
      <c r="LEL2" s="42"/>
      <c r="LEM2" s="42"/>
      <c r="LEN2" s="42"/>
      <c r="LEO2" s="42"/>
      <c r="LEP2" s="42"/>
      <c r="LEQ2" s="42"/>
      <c r="LER2" s="42"/>
      <c r="LES2" s="42"/>
      <c r="LET2" s="42"/>
      <c r="LEU2" s="42"/>
      <c r="LEV2" s="42"/>
      <c r="LEW2" s="42"/>
      <c r="LEX2" s="42"/>
      <c r="LEY2" s="42"/>
      <c r="LEZ2" s="42"/>
      <c r="LFA2" s="42"/>
      <c r="LFB2" s="42"/>
      <c r="LFC2" s="42"/>
      <c r="LFD2" s="42"/>
      <c r="LFE2" s="42"/>
      <c r="LFF2" s="42"/>
      <c r="LFG2" s="42"/>
      <c r="LFH2" s="42"/>
      <c r="LFI2" s="42"/>
      <c r="LFJ2" s="42"/>
      <c r="LFK2" s="42"/>
      <c r="LFL2" s="42"/>
      <c r="LFM2" s="42"/>
      <c r="LFN2" s="42"/>
      <c r="LFO2" s="42"/>
      <c r="LFP2" s="42"/>
      <c r="LFQ2" s="42"/>
      <c r="LFR2" s="42"/>
      <c r="LFS2" s="42"/>
      <c r="LFT2" s="42"/>
      <c r="LFU2" s="42"/>
      <c r="LFV2" s="42"/>
      <c r="LFW2" s="42"/>
      <c r="LFX2" s="42"/>
      <c r="LFY2" s="42"/>
      <c r="LFZ2" s="42"/>
      <c r="LGA2" s="42"/>
      <c r="LGB2" s="42"/>
      <c r="LGC2" s="42"/>
      <c r="LGD2" s="42"/>
      <c r="LGE2" s="42"/>
      <c r="LGF2" s="42"/>
      <c r="LGG2" s="42"/>
      <c r="LGH2" s="42"/>
      <c r="LGI2" s="42"/>
      <c r="LGJ2" s="42"/>
      <c r="LGK2" s="42"/>
      <c r="LGL2" s="42"/>
      <c r="LGM2" s="42"/>
      <c r="LGN2" s="42"/>
      <c r="LGO2" s="42"/>
      <c r="LGP2" s="42"/>
      <c r="LGQ2" s="42"/>
      <c r="LGR2" s="42"/>
      <c r="LGS2" s="42"/>
      <c r="LGT2" s="42"/>
      <c r="LGU2" s="42"/>
      <c r="LGV2" s="42"/>
      <c r="LGW2" s="42"/>
      <c r="LGX2" s="42"/>
      <c r="LGY2" s="42"/>
      <c r="LGZ2" s="42"/>
      <c r="LHA2" s="42"/>
      <c r="LHB2" s="42"/>
      <c r="LHC2" s="42"/>
      <c r="LHD2" s="42"/>
      <c r="LHE2" s="42"/>
      <c r="LHF2" s="42"/>
      <c r="LHG2" s="42"/>
      <c r="LHH2" s="42"/>
      <c r="LHI2" s="42"/>
      <c r="LHJ2" s="42"/>
      <c r="LHK2" s="42"/>
      <c r="LHL2" s="42"/>
      <c r="LHM2" s="42"/>
      <c r="LHN2" s="42"/>
      <c r="LHO2" s="42"/>
      <c r="LHP2" s="42"/>
      <c r="LHQ2" s="42"/>
      <c r="LHR2" s="42"/>
      <c r="LHS2" s="42"/>
      <c r="LHT2" s="42"/>
      <c r="LHU2" s="42"/>
      <c r="LHV2" s="42"/>
      <c r="LHW2" s="42"/>
      <c r="LHX2" s="42"/>
      <c r="LHY2" s="42"/>
      <c r="LHZ2" s="42"/>
      <c r="LIA2" s="42"/>
      <c r="LIB2" s="42"/>
      <c r="LIC2" s="42"/>
      <c r="LID2" s="42"/>
      <c r="LIE2" s="42"/>
      <c r="LIF2" s="42"/>
      <c r="LIG2" s="42"/>
      <c r="LIH2" s="42"/>
      <c r="LII2" s="42"/>
      <c r="LIJ2" s="42"/>
      <c r="LIK2" s="42"/>
      <c r="LIL2" s="42"/>
      <c r="LIM2" s="42"/>
      <c r="LIN2" s="42"/>
      <c r="LIO2" s="42"/>
      <c r="LIP2" s="42"/>
      <c r="LIQ2" s="42"/>
      <c r="LIR2" s="42"/>
      <c r="LIS2" s="42"/>
      <c r="LIT2" s="42"/>
      <c r="LIU2" s="42"/>
      <c r="LIV2" s="42"/>
      <c r="LIW2" s="42"/>
      <c r="LIX2" s="42"/>
      <c r="LIY2" s="42"/>
      <c r="LIZ2" s="42"/>
      <c r="LJA2" s="42"/>
      <c r="LJB2" s="42"/>
      <c r="LJC2" s="42"/>
      <c r="LJD2" s="42"/>
      <c r="LJE2" s="42"/>
      <c r="LJF2" s="42"/>
      <c r="LJG2" s="42"/>
      <c r="LJH2" s="42"/>
      <c r="LJI2" s="42"/>
      <c r="LJJ2" s="42"/>
      <c r="LJK2" s="42"/>
      <c r="LJL2" s="42"/>
      <c r="LJM2" s="42"/>
      <c r="LJN2" s="42"/>
      <c r="LJO2" s="42"/>
      <c r="LJP2" s="42"/>
      <c r="LJQ2" s="42"/>
      <c r="LJR2" s="42"/>
      <c r="LJS2" s="42"/>
      <c r="LJT2" s="42"/>
      <c r="LJU2" s="42"/>
      <c r="LJV2" s="42"/>
      <c r="LJW2" s="42"/>
      <c r="LJX2" s="42"/>
      <c r="LJY2" s="42"/>
      <c r="LJZ2" s="42"/>
      <c r="LKA2" s="42"/>
      <c r="LKB2" s="42"/>
      <c r="LKC2" s="42"/>
      <c r="LKD2" s="42"/>
      <c r="LKE2" s="42"/>
      <c r="LKF2" s="42"/>
      <c r="LKG2" s="42"/>
      <c r="LKH2" s="42"/>
      <c r="LKI2" s="42"/>
      <c r="LKJ2" s="42"/>
      <c r="LKK2" s="42"/>
      <c r="LKL2" s="42"/>
      <c r="LKM2" s="42"/>
      <c r="LKN2" s="42"/>
      <c r="LKO2" s="42"/>
      <c r="LKP2" s="42"/>
      <c r="LKQ2" s="42"/>
      <c r="LKR2" s="42"/>
      <c r="LKS2" s="42"/>
      <c r="LKT2" s="42"/>
      <c r="LKU2" s="42"/>
      <c r="LKV2" s="42"/>
      <c r="LKW2" s="42"/>
      <c r="LKX2" s="42"/>
      <c r="LKY2" s="42"/>
      <c r="LKZ2" s="42"/>
      <c r="LLA2" s="42"/>
      <c r="LLB2" s="42"/>
      <c r="LLC2" s="42"/>
      <c r="LLD2" s="42"/>
      <c r="LLE2" s="42"/>
      <c r="LLF2" s="42"/>
      <c r="LLG2" s="42"/>
      <c r="LLH2" s="42"/>
      <c r="LLI2" s="42"/>
      <c r="LLJ2" s="42"/>
      <c r="LLK2" s="42"/>
      <c r="LLL2" s="42"/>
      <c r="LLM2" s="42"/>
      <c r="LLN2" s="42"/>
      <c r="LLO2" s="42"/>
      <c r="LLP2" s="42"/>
      <c r="LLQ2" s="42"/>
      <c r="LLR2" s="42"/>
      <c r="LLS2" s="42"/>
      <c r="LLT2" s="42"/>
      <c r="LLU2" s="42"/>
      <c r="LLV2" s="42"/>
      <c r="LLW2" s="42"/>
      <c r="LLX2" s="42"/>
      <c r="LLY2" s="42"/>
      <c r="LLZ2" s="42"/>
      <c r="LMA2" s="42"/>
      <c r="LMB2" s="42"/>
      <c r="LMC2" s="42"/>
      <c r="LMD2" s="42"/>
      <c r="LME2" s="42"/>
      <c r="LMF2" s="42"/>
      <c r="LMG2" s="42"/>
      <c r="LMH2" s="42"/>
      <c r="LMI2" s="42"/>
      <c r="LMJ2" s="42"/>
      <c r="LMK2" s="42"/>
      <c r="LML2" s="42"/>
      <c r="LMM2" s="42"/>
      <c r="LMN2" s="42"/>
      <c r="LMO2" s="42"/>
      <c r="LMP2" s="42"/>
      <c r="LMQ2" s="42"/>
      <c r="LMR2" s="42"/>
      <c r="LMS2" s="42"/>
      <c r="LMT2" s="42"/>
      <c r="LMU2" s="42"/>
      <c r="LMV2" s="42"/>
      <c r="LMW2" s="42"/>
      <c r="LMX2" s="42"/>
      <c r="LMY2" s="42"/>
      <c r="LMZ2" s="42"/>
      <c r="LNA2" s="42"/>
      <c r="LNB2" s="42"/>
      <c r="LNC2" s="42"/>
      <c r="LND2" s="42"/>
      <c r="LNE2" s="42"/>
      <c r="LNF2" s="42"/>
      <c r="LNG2" s="42"/>
      <c r="LNH2" s="42"/>
      <c r="LNI2" s="42"/>
      <c r="LNJ2" s="42"/>
      <c r="LNK2" s="42"/>
      <c r="LNL2" s="42"/>
      <c r="LNM2" s="42"/>
      <c r="LNN2" s="42"/>
      <c r="LNO2" s="42"/>
      <c r="LNP2" s="42"/>
      <c r="LNQ2" s="42"/>
      <c r="LNR2" s="42"/>
      <c r="LNS2" s="42"/>
      <c r="LNT2" s="42"/>
      <c r="LNU2" s="42"/>
      <c r="LNV2" s="42"/>
      <c r="LNW2" s="42"/>
      <c r="LNX2" s="42"/>
      <c r="LNY2" s="42"/>
      <c r="LNZ2" s="42"/>
      <c r="LOA2" s="42"/>
      <c r="LOB2" s="42"/>
      <c r="LOC2" s="42"/>
      <c r="LOD2" s="42"/>
      <c r="LOE2" s="42"/>
      <c r="LOF2" s="42"/>
      <c r="LOG2" s="42"/>
      <c r="LOH2" s="42"/>
      <c r="LOI2" s="42"/>
      <c r="LOJ2" s="42"/>
      <c r="LOK2" s="42"/>
      <c r="LOL2" s="42"/>
      <c r="LOM2" s="42"/>
      <c r="LON2" s="42"/>
      <c r="LOO2" s="42"/>
      <c r="LOP2" s="42"/>
      <c r="LOQ2" s="42"/>
      <c r="LOR2" s="42"/>
      <c r="LOS2" s="42"/>
      <c r="LOT2" s="42"/>
      <c r="LOU2" s="42"/>
      <c r="LOV2" s="42"/>
      <c r="LOW2" s="42"/>
      <c r="LOX2" s="42"/>
      <c r="LOY2" s="42"/>
      <c r="LOZ2" s="42"/>
      <c r="LPA2" s="42"/>
      <c r="LPB2" s="42"/>
      <c r="LPC2" s="42"/>
      <c r="LPD2" s="42"/>
      <c r="LPE2" s="42"/>
      <c r="LPF2" s="42"/>
      <c r="LPG2" s="42"/>
      <c r="LPH2" s="42"/>
      <c r="LPI2" s="42"/>
      <c r="LPJ2" s="42"/>
      <c r="LPK2" s="42"/>
      <c r="LPL2" s="42"/>
      <c r="LPM2" s="42"/>
      <c r="LPN2" s="42"/>
      <c r="LPO2" s="42"/>
      <c r="LPP2" s="42"/>
      <c r="LPQ2" s="42"/>
      <c r="LPR2" s="42"/>
      <c r="LPS2" s="42"/>
      <c r="LPT2" s="42"/>
      <c r="LPU2" s="42"/>
      <c r="LPV2" s="42"/>
      <c r="LPW2" s="42"/>
      <c r="LPX2" s="42"/>
      <c r="LPY2" s="42"/>
      <c r="LPZ2" s="42"/>
      <c r="LQA2" s="42"/>
      <c r="LQB2" s="42"/>
      <c r="LQC2" s="42"/>
      <c r="LQD2" s="42"/>
      <c r="LQE2" s="42"/>
      <c r="LQF2" s="42"/>
      <c r="LQG2" s="42"/>
      <c r="LQH2" s="42"/>
      <c r="LQI2" s="42"/>
      <c r="LQJ2" s="42"/>
      <c r="LQK2" s="42"/>
      <c r="LQL2" s="42"/>
      <c r="LQM2" s="42"/>
      <c r="LQN2" s="42"/>
      <c r="LQO2" s="42"/>
      <c r="LQP2" s="42"/>
      <c r="LQQ2" s="42"/>
      <c r="LQR2" s="42"/>
      <c r="LQS2" s="42"/>
      <c r="LQT2" s="42"/>
      <c r="LQU2" s="42"/>
      <c r="LQV2" s="42"/>
      <c r="LQW2" s="42"/>
      <c r="LQX2" s="42"/>
      <c r="LQY2" s="42"/>
      <c r="LQZ2" s="42"/>
      <c r="LRA2" s="42"/>
      <c r="LRB2" s="42"/>
      <c r="LRC2" s="42"/>
      <c r="LRD2" s="42"/>
      <c r="LRE2" s="42"/>
      <c r="LRF2" s="42"/>
      <c r="LRG2" s="42"/>
      <c r="LRH2" s="42"/>
      <c r="LRI2" s="42"/>
      <c r="LRJ2" s="42"/>
      <c r="LRK2" s="42"/>
      <c r="LRL2" s="42"/>
      <c r="LRM2" s="42"/>
      <c r="LRN2" s="42"/>
      <c r="LRO2" s="42"/>
      <c r="LRP2" s="42"/>
      <c r="LRQ2" s="42"/>
      <c r="LRR2" s="42"/>
      <c r="LRS2" s="42"/>
      <c r="LRT2" s="42"/>
      <c r="LRU2" s="42"/>
      <c r="LRV2" s="42"/>
      <c r="LRW2" s="42"/>
      <c r="LRX2" s="42"/>
      <c r="LRY2" s="42"/>
      <c r="LRZ2" s="42"/>
      <c r="LSA2" s="42"/>
      <c r="LSB2" s="42"/>
      <c r="LSC2" s="42"/>
      <c r="LSD2" s="42"/>
      <c r="LSE2" s="42"/>
      <c r="LSF2" s="42"/>
      <c r="LSG2" s="42"/>
      <c r="LSH2" s="42"/>
      <c r="LSI2" s="42"/>
      <c r="LSJ2" s="42"/>
      <c r="LSK2" s="42"/>
      <c r="LSL2" s="42"/>
      <c r="LSM2" s="42"/>
      <c r="LSN2" s="42"/>
      <c r="LSO2" s="42"/>
      <c r="LSP2" s="42"/>
      <c r="LSQ2" s="42"/>
      <c r="LSR2" s="42"/>
      <c r="LSS2" s="42"/>
      <c r="LST2" s="42"/>
      <c r="LSU2" s="42"/>
      <c r="LSV2" s="42"/>
      <c r="LSW2" s="42"/>
      <c r="LSX2" s="42"/>
      <c r="LSY2" s="42"/>
      <c r="LSZ2" s="42"/>
      <c r="LTA2" s="42"/>
      <c r="LTB2" s="42"/>
      <c r="LTC2" s="42"/>
      <c r="LTD2" s="42"/>
      <c r="LTE2" s="42"/>
      <c r="LTF2" s="42"/>
      <c r="LTG2" s="42"/>
      <c r="LTH2" s="42"/>
      <c r="LTI2" s="42"/>
      <c r="LTJ2" s="42"/>
      <c r="LTK2" s="42"/>
      <c r="LTL2" s="42"/>
      <c r="LTM2" s="42"/>
      <c r="LTN2" s="42"/>
      <c r="LTO2" s="42"/>
      <c r="LTP2" s="42"/>
      <c r="LTQ2" s="42"/>
      <c r="LTR2" s="42"/>
      <c r="LTS2" s="42"/>
      <c r="LTT2" s="42"/>
      <c r="LTU2" s="42"/>
      <c r="LTV2" s="42"/>
      <c r="LTW2" s="42"/>
      <c r="LTX2" s="42"/>
      <c r="LTY2" s="42"/>
      <c r="LTZ2" s="42"/>
      <c r="LUA2" s="42"/>
      <c r="LUB2" s="42"/>
      <c r="LUC2" s="42"/>
      <c r="LUD2" s="42"/>
      <c r="LUE2" s="42"/>
      <c r="LUF2" s="42"/>
      <c r="LUG2" s="42"/>
      <c r="LUH2" s="42"/>
      <c r="LUI2" s="42"/>
      <c r="LUJ2" s="42"/>
      <c r="LUK2" s="42"/>
      <c r="LUL2" s="42"/>
      <c r="LUM2" s="42"/>
      <c r="LUN2" s="42"/>
      <c r="LUO2" s="42"/>
      <c r="LUP2" s="42"/>
      <c r="LUQ2" s="42"/>
      <c r="LUR2" s="42"/>
      <c r="LUS2" s="42"/>
      <c r="LUT2" s="42"/>
      <c r="LUU2" s="42"/>
      <c r="LUV2" s="42"/>
      <c r="LUW2" s="42"/>
      <c r="LUX2" s="42"/>
      <c r="LUY2" s="42"/>
      <c r="LUZ2" s="42"/>
      <c r="LVA2" s="42"/>
      <c r="LVB2" s="42"/>
      <c r="LVC2" s="42"/>
      <c r="LVD2" s="42"/>
      <c r="LVE2" s="42"/>
      <c r="LVF2" s="42"/>
      <c r="LVG2" s="42"/>
      <c r="LVH2" s="42"/>
      <c r="LVI2" s="42"/>
      <c r="LVJ2" s="42"/>
      <c r="LVK2" s="42"/>
      <c r="LVL2" s="42"/>
      <c r="LVM2" s="42"/>
      <c r="LVN2" s="42"/>
      <c r="LVO2" s="42"/>
      <c r="LVP2" s="42"/>
      <c r="LVQ2" s="42"/>
      <c r="LVR2" s="42"/>
      <c r="LVS2" s="42"/>
      <c r="LVT2" s="42"/>
      <c r="LVU2" s="42"/>
      <c r="LVV2" s="42"/>
      <c r="LVW2" s="42"/>
      <c r="LVX2" s="42"/>
      <c r="LVY2" s="42"/>
      <c r="LVZ2" s="42"/>
      <c r="LWA2" s="42"/>
      <c r="LWB2" s="42"/>
      <c r="LWC2" s="42"/>
      <c r="LWD2" s="42"/>
      <c r="LWE2" s="42"/>
      <c r="LWF2" s="42"/>
      <c r="LWG2" s="42"/>
      <c r="LWH2" s="42"/>
      <c r="LWI2" s="42"/>
      <c r="LWJ2" s="42"/>
      <c r="LWK2" s="42"/>
      <c r="LWL2" s="42"/>
      <c r="LWM2" s="42"/>
      <c r="LWN2" s="42"/>
      <c r="LWO2" s="42"/>
      <c r="LWP2" s="42"/>
      <c r="LWQ2" s="42"/>
      <c r="LWR2" s="42"/>
      <c r="LWS2" s="42"/>
      <c r="LWT2" s="42"/>
      <c r="LWU2" s="42"/>
      <c r="LWV2" s="42"/>
      <c r="LWW2" s="42"/>
      <c r="LWX2" s="42"/>
      <c r="LWY2" s="42"/>
      <c r="LWZ2" s="42"/>
      <c r="LXA2" s="42"/>
      <c r="LXB2" s="42"/>
      <c r="LXC2" s="42"/>
      <c r="LXD2" s="42"/>
      <c r="LXE2" s="42"/>
      <c r="LXF2" s="42"/>
      <c r="LXG2" s="42"/>
      <c r="LXH2" s="42"/>
      <c r="LXI2" s="42"/>
      <c r="LXJ2" s="42"/>
      <c r="LXK2" s="42"/>
      <c r="LXL2" s="42"/>
      <c r="LXM2" s="42"/>
      <c r="LXN2" s="42"/>
      <c r="LXO2" s="42"/>
      <c r="LXP2" s="42"/>
      <c r="LXQ2" s="42"/>
      <c r="LXR2" s="42"/>
      <c r="LXS2" s="42"/>
      <c r="LXT2" s="42"/>
      <c r="LXU2" s="42"/>
      <c r="LXV2" s="42"/>
      <c r="LXW2" s="42"/>
      <c r="LXX2" s="42"/>
      <c r="LXY2" s="42"/>
      <c r="LXZ2" s="42"/>
      <c r="LYA2" s="42"/>
      <c r="LYB2" s="42"/>
      <c r="LYC2" s="42"/>
      <c r="LYD2" s="42"/>
      <c r="LYE2" s="42"/>
      <c r="LYF2" s="42"/>
      <c r="LYG2" s="42"/>
      <c r="LYH2" s="42"/>
      <c r="LYI2" s="42"/>
      <c r="LYJ2" s="42"/>
      <c r="LYK2" s="42"/>
      <c r="LYL2" s="42"/>
      <c r="LYM2" s="42"/>
      <c r="LYN2" s="42"/>
      <c r="LYO2" s="42"/>
      <c r="LYP2" s="42"/>
      <c r="LYQ2" s="42"/>
      <c r="LYR2" s="42"/>
      <c r="LYS2" s="42"/>
      <c r="LYT2" s="42"/>
      <c r="LYU2" s="42"/>
      <c r="LYV2" s="42"/>
      <c r="LYW2" s="42"/>
      <c r="LYX2" s="42"/>
      <c r="LYY2" s="42"/>
      <c r="LYZ2" s="42"/>
      <c r="LZA2" s="42"/>
      <c r="LZB2" s="42"/>
      <c r="LZC2" s="42"/>
      <c r="LZD2" s="42"/>
      <c r="LZE2" s="42"/>
      <c r="LZF2" s="42"/>
      <c r="LZG2" s="42"/>
      <c r="LZH2" s="42"/>
      <c r="LZI2" s="42"/>
      <c r="LZJ2" s="42"/>
      <c r="LZK2" s="42"/>
      <c r="LZL2" s="42"/>
      <c r="LZM2" s="42"/>
      <c r="LZN2" s="42"/>
      <c r="LZO2" s="42"/>
      <c r="LZP2" s="42"/>
      <c r="LZQ2" s="42"/>
      <c r="LZR2" s="42"/>
      <c r="LZS2" s="42"/>
      <c r="LZT2" s="42"/>
      <c r="LZU2" s="42"/>
      <c r="LZV2" s="42"/>
      <c r="LZW2" s="42"/>
      <c r="LZX2" s="42"/>
      <c r="LZY2" s="42"/>
      <c r="LZZ2" s="42"/>
      <c r="MAA2" s="42"/>
      <c r="MAB2" s="42"/>
      <c r="MAC2" s="42"/>
      <c r="MAD2" s="42"/>
      <c r="MAE2" s="42"/>
      <c r="MAF2" s="42"/>
      <c r="MAG2" s="42"/>
      <c r="MAH2" s="42"/>
      <c r="MAI2" s="42"/>
      <c r="MAJ2" s="42"/>
      <c r="MAK2" s="42"/>
      <c r="MAL2" s="42"/>
      <c r="MAM2" s="42"/>
      <c r="MAN2" s="42"/>
      <c r="MAO2" s="42"/>
      <c r="MAP2" s="42"/>
      <c r="MAQ2" s="42"/>
      <c r="MAR2" s="42"/>
      <c r="MAS2" s="42"/>
      <c r="MAT2" s="42"/>
      <c r="MAU2" s="42"/>
      <c r="MAV2" s="42"/>
      <c r="MAW2" s="42"/>
      <c r="MAX2" s="42"/>
      <c r="MAY2" s="42"/>
      <c r="MAZ2" s="42"/>
      <c r="MBA2" s="42"/>
      <c r="MBB2" s="42"/>
      <c r="MBC2" s="42"/>
      <c r="MBD2" s="42"/>
      <c r="MBE2" s="42"/>
      <c r="MBF2" s="42"/>
      <c r="MBG2" s="42"/>
      <c r="MBH2" s="42"/>
      <c r="MBI2" s="42"/>
      <c r="MBJ2" s="42"/>
      <c r="MBK2" s="42"/>
      <c r="MBL2" s="42"/>
      <c r="MBM2" s="42"/>
      <c r="MBN2" s="42"/>
      <c r="MBO2" s="42"/>
      <c r="MBP2" s="42"/>
      <c r="MBQ2" s="42"/>
      <c r="MBR2" s="42"/>
      <c r="MBS2" s="42"/>
      <c r="MBT2" s="42"/>
      <c r="MBU2" s="42"/>
      <c r="MBV2" s="42"/>
      <c r="MBW2" s="42"/>
      <c r="MBX2" s="42"/>
      <c r="MBY2" s="42"/>
      <c r="MBZ2" s="42"/>
      <c r="MCA2" s="42"/>
      <c r="MCB2" s="42"/>
      <c r="MCC2" s="42"/>
      <c r="MCD2" s="42"/>
      <c r="MCE2" s="42"/>
      <c r="MCF2" s="42"/>
      <c r="MCG2" s="42"/>
      <c r="MCH2" s="42"/>
      <c r="MCI2" s="42"/>
      <c r="MCJ2" s="42"/>
      <c r="MCK2" s="42"/>
      <c r="MCL2" s="42"/>
      <c r="MCM2" s="42"/>
      <c r="MCN2" s="42"/>
      <c r="MCO2" s="42"/>
      <c r="MCP2" s="42"/>
      <c r="MCQ2" s="42"/>
      <c r="MCR2" s="42"/>
      <c r="MCS2" s="42"/>
      <c r="MCT2" s="42"/>
      <c r="MCU2" s="42"/>
      <c r="MCV2" s="42"/>
      <c r="MCW2" s="42"/>
      <c r="MCX2" s="42"/>
      <c r="MCY2" s="42"/>
      <c r="MCZ2" s="42"/>
      <c r="MDA2" s="42"/>
      <c r="MDB2" s="42"/>
      <c r="MDC2" s="42"/>
      <c r="MDD2" s="42"/>
      <c r="MDE2" s="42"/>
      <c r="MDF2" s="42"/>
      <c r="MDG2" s="42"/>
      <c r="MDH2" s="42"/>
      <c r="MDI2" s="42"/>
      <c r="MDJ2" s="42"/>
      <c r="MDK2" s="42"/>
      <c r="MDL2" s="42"/>
      <c r="MDM2" s="42"/>
      <c r="MDN2" s="42"/>
      <c r="MDO2" s="42"/>
      <c r="MDP2" s="42"/>
      <c r="MDQ2" s="42"/>
      <c r="MDR2" s="42"/>
      <c r="MDS2" s="42"/>
      <c r="MDT2" s="42"/>
      <c r="MDU2" s="42"/>
      <c r="MDV2" s="42"/>
      <c r="MDW2" s="42"/>
      <c r="MDX2" s="42"/>
      <c r="MDY2" s="42"/>
      <c r="MDZ2" s="42"/>
      <c r="MEA2" s="42"/>
      <c r="MEB2" s="42"/>
      <c r="MEC2" s="42"/>
      <c r="MED2" s="42"/>
      <c r="MEE2" s="42"/>
      <c r="MEF2" s="42"/>
      <c r="MEG2" s="42"/>
      <c r="MEH2" s="42"/>
      <c r="MEI2" s="42"/>
      <c r="MEJ2" s="42"/>
      <c r="MEK2" s="42"/>
      <c r="MEL2" s="42"/>
      <c r="MEM2" s="42"/>
      <c r="MEN2" s="42"/>
      <c r="MEO2" s="42"/>
      <c r="MEP2" s="42"/>
      <c r="MEQ2" s="42"/>
      <c r="MER2" s="42"/>
      <c r="MES2" s="42"/>
      <c r="MET2" s="42"/>
      <c r="MEU2" s="42"/>
      <c r="MEV2" s="42"/>
      <c r="MEW2" s="42"/>
      <c r="MEX2" s="42"/>
      <c r="MEY2" s="42"/>
      <c r="MEZ2" s="42"/>
      <c r="MFA2" s="42"/>
      <c r="MFB2" s="42"/>
      <c r="MFC2" s="42"/>
      <c r="MFD2" s="42"/>
      <c r="MFE2" s="42"/>
      <c r="MFF2" s="42"/>
      <c r="MFG2" s="42"/>
      <c r="MFH2" s="42"/>
      <c r="MFI2" s="42"/>
      <c r="MFJ2" s="42"/>
      <c r="MFK2" s="42"/>
      <c r="MFL2" s="42"/>
      <c r="MFM2" s="42"/>
      <c r="MFN2" s="42"/>
      <c r="MFO2" s="42"/>
      <c r="MFP2" s="42"/>
      <c r="MFQ2" s="42"/>
      <c r="MFR2" s="42"/>
      <c r="MFS2" s="42"/>
      <c r="MFT2" s="42"/>
      <c r="MFU2" s="42"/>
      <c r="MFV2" s="42"/>
      <c r="MFW2" s="42"/>
      <c r="MFX2" s="42"/>
      <c r="MFY2" s="42"/>
      <c r="MFZ2" s="42"/>
      <c r="MGA2" s="42"/>
      <c r="MGB2" s="42"/>
      <c r="MGC2" s="42"/>
      <c r="MGD2" s="42"/>
      <c r="MGE2" s="42"/>
      <c r="MGF2" s="42"/>
      <c r="MGG2" s="42"/>
      <c r="MGH2" s="42"/>
      <c r="MGI2" s="42"/>
      <c r="MGJ2" s="42"/>
      <c r="MGK2" s="42"/>
      <c r="MGL2" s="42"/>
      <c r="MGM2" s="42"/>
      <c r="MGN2" s="42"/>
      <c r="MGO2" s="42"/>
      <c r="MGP2" s="42"/>
      <c r="MGQ2" s="42"/>
      <c r="MGR2" s="42"/>
      <c r="MGS2" s="42"/>
      <c r="MGT2" s="42"/>
      <c r="MGU2" s="42"/>
      <c r="MGV2" s="42"/>
      <c r="MGW2" s="42"/>
      <c r="MGX2" s="42"/>
      <c r="MGY2" s="42"/>
      <c r="MGZ2" s="42"/>
      <c r="MHA2" s="42"/>
      <c r="MHB2" s="42"/>
      <c r="MHC2" s="42"/>
      <c r="MHD2" s="42"/>
      <c r="MHE2" s="42"/>
      <c r="MHF2" s="42"/>
      <c r="MHG2" s="42"/>
      <c r="MHH2" s="42"/>
      <c r="MHI2" s="42"/>
      <c r="MHJ2" s="42"/>
      <c r="MHK2" s="42"/>
      <c r="MHL2" s="42"/>
      <c r="MHM2" s="42"/>
      <c r="MHN2" s="42"/>
      <c r="MHO2" s="42"/>
      <c r="MHP2" s="42"/>
      <c r="MHQ2" s="42"/>
      <c r="MHR2" s="42"/>
      <c r="MHS2" s="42"/>
      <c r="MHT2" s="42"/>
      <c r="MHU2" s="42"/>
      <c r="MHV2" s="42"/>
      <c r="MHW2" s="42"/>
      <c r="MHX2" s="42"/>
      <c r="MHY2" s="42"/>
      <c r="MHZ2" s="42"/>
      <c r="MIA2" s="42"/>
      <c r="MIB2" s="42"/>
      <c r="MIC2" s="42"/>
      <c r="MID2" s="42"/>
      <c r="MIE2" s="42"/>
      <c r="MIF2" s="42"/>
      <c r="MIG2" s="42"/>
      <c r="MIH2" s="42"/>
      <c r="MII2" s="42"/>
      <c r="MIJ2" s="42"/>
      <c r="MIK2" s="42"/>
      <c r="MIL2" s="42"/>
      <c r="MIM2" s="42"/>
      <c r="MIN2" s="42"/>
      <c r="MIO2" s="42"/>
      <c r="MIP2" s="42"/>
      <c r="MIQ2" s="42"/>
      <c r="MIR2" s="42"/>
      <c r="MIS2" s="42"/>
      <c r="MIT2" s="42"/>
      <c r="MIU2" s="42"/>
      <c r="MIV2" s="42"/>
      <c r="MIW2" s="42"/>
      <c r="MIX2" s="42"/>
      <c r="MIY2" s="42"/>
      <c r="MIZ2" s="42"/>
      <c r="MJA2" s="42"/>
      <c r="MJB2" s="42"/>
      <c r="MJC2" s="42"/>
      <c r="MJD2" s="42"/>
      <c r="MJE2" s="42"/>
      <c r="MJF2" s="42"/>
      <c r="MJG2" s="42"/>
      <c r="MJH2" s="42"/>
      <c r="MJI2" s="42"/>
      <c r="MJJ2" s="42"/>
      <c r="MJK2" s="42"/>
      <c r="MJL2" s="42"/>
      <c r="MJM2" s="42"/>
      <c r="MJN2" s="42"/>
      <c r="MJO2" s="42"/>
      <c r="MJP2" s="42"/>
      <c r="MJQ2" s="42"/>
      <c r="MJR2" s="42"/>
      <c r="MJS2" s="42"/>
      <c r="MJT2" s="42"/>
      <c r="MJU2" s="42"/>
      <c r="MJV2" s="42"/>
      <c r="MJW2" s="42"/>
      <c r="MJX2" s="42"/>
      <c r="MJY2" s="42"/>
      <c r="MJZ2" s="42"/>
      <c r="MKA2" s="42"/>
      <c r="MKB2" s="42"/>
      <c r="MKC2" s="42"/>
      <c r="MKD2" s="42"/>
      <c r="MKE2" s="42"/>
      <c r="MKF2" s="42"/>
      <c r="MKG2" s="42"/>
      <c r="MKH2" s="42"/>
      <c r="MKI2" s="42"/>
      <c r="MKJ2" s="42"/>
      <c r="MKK2" s="42"/>
      <c r="MKL2" s="42"/>
      <c r="MKM2" s="42"/>
      <c r="MKN2" s="42"/>
      <c r="MKO2" s="42"/>
      <c r="MKP2" s="42"/>
      <c r="MKQ2" s="42"/>
      <c r="MKR2" s="42"/>
      <c r="MKS2" s="42"/>
      <c r="MKT2" s="42"/>
      <c r="MKU2" s="42"/>
      <c r="MKV2" s="42"/>
      <c r="MKW2" s="42"/>
      <c r="MKX2" s="42"/>
      <c r="MKY2" s="42"/>
      <c r="MKZ2" s="42"/>
      <c r="MLA2" s="42"/>
      <c r="MLB2" s="42"/>
      <c r="MLC2" s="42"/>
      <c r="MLD2" s="42"/>
      <c r="MLE2" s="42"/>
      <c r="MLF2" s="42"/>
      <c r="MLG2" s="42"/>
      <c r="MLH2" s="42"/>
      <c r="MLI2" s="42"/>
      <c r="MLJ2" s="42"/>
      <c r="MLK2" s="42"/>
      <c r="MLL2" s="42"/>
      <c r="MLM2" s="42"/>
      <c r="MLN2" s="42"/>
      <c r="MLO2" s="42"/>
      <c r="MLP2" s="42"/>
      <c r="MLQ2" s="42"/>
      <c r="MLR2" s="42"/>
      <c r="MLS2" s="42"/>
      <c r="MLT2" s="42"/>
      <c r="MLU2" s="42"/>
      <c r="MLV2" s="42"/>
      <c r="MLW2" s="42"/>
      <c r="MLX2" s="42"/>
      <c r="MLY2" s="42"/>
      <c r="MLZ2" s="42"/>
      <c r="MMA2" s="42"/>
      <c r="MMB2" s="42"/>
      <c r="MMC2" s="42"/>
      <c r="MMD2" s="42"/>
      <c r="MME2" s="42"/>
      <c r="MMF2" s="42"/>
      <c r="MMG2" s="42"/>
      <c r="MMH2" s="42"/>
      <c r="MMI2" s="42"/>
      <c r="MMJ2" s="42"/>
      <c r="MMK2" s="42"/>
      <c r="MML2" s="42"/>
      <c r="MMM2" s="42"/>
      <c r="MMN2" s="42"/>
      <c r="MMO2" s="42"/>
      <c r="MMP2" s="42"/>
      <c r="MMQ2" s="42"/>
      <c r="MMR2" s="42"/>
      <c r="MMS2" s="42"/>
      <c r="MMT2" s="42"/>
      <c r="MMU2" s="42"/>
      <c r="MMV2" s="42"/>
      <c r="MMW2" s="42"/>
      <c r="MMX2" s="42"/>
      <c r="MMY2" s="42"/>
      <c r="MMZ2" s="42"/>
      <c r="MNA2" s="42"/>
      <c r="MNB2" s="42"/>
      <c r="MNC2" s="42"/>
      <c r="MND2" s="42"/>
      <c r="MNE2" s="42"/>
      <c r="MNF2" s="42"/>
      <c r="MNG2" s="42"/>
      <c r="MNH2" s="42"/>
      <c r="MNI2" s="42"/>
      <c r="MNJ2" s="42"/>
      <c r="MNK2" s="42"/>
      <c r="MNL2" s="42"/>
      <c r="MNM2" s="42"/>
      <c r="MNN2" s="42"/>
      <c r="MNO2" s="42"/>
      <c r="MNP2" s="42"/>
      <c r="MNQ2" s="42"/>
      <c r="MNR2" s="42"/>
      <c r="MNS2" s="42"/>
      <c r="MNT2" s="42"/>
      <c r="MNU2" s="42"/>
      <c r="MNV2" s="42"/>
      <c r="MNW2" s="42"/>
      <c r="MNX2" s="42"/>
      <c r="MNY2" s="42"/>
      <c r="MNZ2" s="42"/>
      <c r="MOA2" s="42"/>
      <c r="MOB2" s="42"/>
      <c r="MOC2" s="42"/>
      <c r="MOD2" s="42"/>
      <c r="MOE2" s="42"/>
      <c r="MOF2" s="42"/>
      <c r="MOG2" s="42"/>
      <c r="MOH2" s="42"/>
      <c r="MOI2" s="42"/>
      <c r="MOJ2" s="42"/>
      <c r="MOK2" s="42"/>
      <c r="MOL2" s="42"/>
      <c r="MOM2" s="42"/>
      <c r="MON2" s="42"/>
      <c r="MOO2" s="42"/>
      <c r="MOP2" s="42"/>
      <c r="MOQ2" s="42"/>
      <c r="MOR2" s="42"/>
      <c r="MOS2" s="42"/>
      <c r="MOT2" s="42"/>
      <c r="MOU2" s="42"/>
      <c r="MOV2" s="42"/>
      <c r="MOW2" s="42"/>
      <c r="MOX2" s="42"/>
      <c r="MOY2" s="42"/>
      <c r="MOZ2" s="42"/>
      <c r="MPA2" s="42"/>
      <c r="MPB2" s="42"/>
      <c r="MPC2" s="42"/>
      <c r="MPD2" s="42"/>
      <c r="MPE2" s="42"/>
      <c r="MPF2" s="42"/>
      <c r="MPG2" s="42"/>
      <c r="MPH2" s="42"/>
      <c r="MPI2" s="42"/>
      <c r="MPJ2" s="42"/>
      <c r="MPK2" s="42"/>
      <c r="MPL2" s="42"/>
      <c r="MPM2" s="42"/>
      <c r="MPN2" s="42"/>
      <c r="MPO2" s="42"/>
      <c r="MPP2" s="42"/>
      <c r="MPQ2" s="42"/>
      <c r="MPR2" s="42"/>
      <c r="MPS2" s="42"/>
      <c r="MPT2" s="42"/>
      <c r="MPU2" s="42"/>
      <c r="MPV2" s="42"/>
      <c r="MPW2" s="42"/>
      <c r="MPX2" s="42"/>
      <c r="MPY2" s="42"/>
      <c r="MPZ2" s="42"/>
      <c r="MQA2" s="42"/>
      <c r="MQB2" s="42"/>
      <c r="MQC2" s="42"/>
      <c r="MQD2" s="42"/>
      <c r="MQE2" s="42"/>
      <c r="MQF2" s="42"/>
      <c r="MQG2" s="42"/>
      <c r="MQH2" s="42"/>
      <c r="MQI2" s="42"/>
      <c r="MQJ2" s="42"/>
      <c r="MQK2" s="42"/>
      <c r="MQL2" s="42"/>
      <c r="MQM2" s="42"/>
      <c r="MQN2" s="42"/>
      <c r="MQO2" s="42"/>
      <c r="MQP2" s="42"/>
      <c r="MQQ2" s="42"/>
      <c r="MQR2" s="42"/>
      <c r="MQS2" s="42"/>
      <c r="MQT2" s="42"/>
      <c r="MQU2" s="42"/>
      <c r="MQV2" s="42"/>
      <c r="MQW2" s="42"/>
      <c r="MQX2" s="42"/>
      <c r="MQY2" s="42"/>
      <c r="MQZ2" s="42"/>
      <c r="MRA2" s="42"/>
      <c r="MRB2" s="42"/>
      <c r="MRC2" s="42"/>
      <c r="MRD2" s="42"/>
      <c r="MRE2" s="42"/>
      <c r="MRF2" s="42"/>
      <c r="MRG2" s="42"/>
      <c r="MRH2" s="42"/>
      <c r="MRI2" s="42"/>
      <c r="MRJ2" s="42"/>
      <c r="MRK2" s="42"/>
      <c r="MRL2" s="42"/>
      <c r="MRM2" s="42"/>
      <c r="MRN2" s="42"/>
      <c r="MRO2" s="42"/>
      <c r="MRP2" s="42"/>
      <c r="MRQ2" s="42"/>
      <c r="MRR2" s="42"/>
      <c r="MRS2" s="42"/>
      <c r="MRT2" s="42"/>
      <c r="MRU2" s="42"/>
      <c r="MRV2" s="42"/>
      <c r="MRW2" s="42"/>
      <c r="MRX2" s="42"/>
      <c r="MRY2" s="42"/>
      <c r="MRZ2" s="42"/>
      <c r="MSA2" s="42"/>
      <c r="MSB2" s="42"/>
      <c r="MSC2" s="42"/>
      <c r="MSD2" s="42"/>
      <c r="MSE2" s="42"/>
      <c r="MSF2" s="42"/>
      <c r="MSG2" s="42"/>
      <c r="MSH2" s="42"/>
      <c r="MSI2" s="42"/>
      <c r="MSJ2" s="42"/>
      <c r="MSK2" s="42"/>
      <c r="MSL2" s="42"/>
      <c r="MSM2" s="42"/>
      <c r="MSN2" s="42"/>
      <c r="MSO2" s="42"/>
      <c r="MSP2" s="42"/>
      <c r="MSQ2" s="42"/>
      <c r="MSR2" s="42"/>
      <c r="MSS2" s="42"/>
      <c r="MST2" s="42"/>
      <c r="MSU2" s="42"/>
      <c r="MSV2" s="42"/>
      <c r="MSW2" s="42"/>
      <c r="MSX2" s="42"/>
      <c r="MSY2" s="42"/>
      <c r="MSZ2" s="42"/>
      <c r="MTA2" s="42"/>
      <c r="MTB2" s="42"/>
      <c r="MTC2" s="42"/>
      <c r="MTD2" s="42"/>
      <c r="MTE2" s="42"/>
      <c r="MTF2" s="42"/>
      <c r="MTG2" s="42"/>
      <c r="MTH2" s="42"/>
      <c r="MTI2" s="42"/>
      <c r="MTJ2" s="42"/>
      <c r="MTK2" s="42"/>
      <c r="MTL2" s="42"/>
      <c r="MTM2" s="42"/>
      <c r="MTN2" s="42"/>
      <c r="MTO2" s="42"/>
      <c r="MTP2" s="42"/>
      <c r="MTQ2" s="42"/>
      <c r="MTR2" s="42"/>
      <c r="MTS2" s="42"/>
      <c r="MTT2" s="42"/>
      <c r="MTU2" s="42"/>
      <c r="MTV2" s="42"/>
      <c r="MTW2" s="42"/>
      <c r="MTX2" s="42"/>
      <c r="MTY2" s="42"/>
      <c r="MTZ2" s="42"/>
      <c r="MUA2" s="42"/>
      <c r="MUB2" s="42"/>
      <c r="MUC2" s="42"/>
      <c r="MUD2" s="42"/>
      <c r="MUE2" s="42"/>
      <c r="MUF2" s="42"/>
      <c r="MUG2" s="42"/>
      <c r="MUH2" s="42"/>
      <c r="MUI2" s="42"/>
      <c r="MUJ2" s="42"/>
      <c r="MUK2" s="42"/>
      <c r="MUL2" s="42"/>
      <c r="MUM2" s="42"/>
      <c r="MUN2" s="42"/>
      <c r="MUO2" s="42"/>
      <c r="MUP2" s="42"/>
      <c r="MUQ2" s="42"/>
      <c r="MUR2" s="42"/>
      <c r="MUS2" s="42"/>
      <c r="MUT2" s="42"/>
      <c r="MUU2" s="42"/>
      <c r="MUV2" s="42"/>
      <c r="MUW2" s="42"/>
      <c r="MUX2" s="42"/>
      <c r="MUY2" s="42"/>
      <c r="MUZ2" s="42"/>
      <c r="MVA2" s="42"/>
      <c r="MVB2" s="42"/>
      <c r="MVC2" s="42"/>
      <c r="MVD2" s="42"/>
      <c r="MVE2" s="42"/>
      <c r="MVF2" s="42"/>
      <c r="MVG2" s="42"/>
      <c r="MVH2" s="42"/>
      <c r="MVI2" s="42"/>
      <c r="MVJ2" s="42"/>
      <c r="MVK2" s="42"/>
      <c r="MVL2" s="42"/>
      <c r="MVM2" s="42"/>
      <c r="MVN2" s="42"/>
      <c r="MVO2" s="42"/>
      <c r="MVP2" s="42"/>
      <c r="MVQ2" s="42"/>
      <c r="MVR2" s="42"/>
      <c r="MVS2" s="42"/>
      <c r="MVT2" s="42"/>
      <c r="MVU2" s="42"/>
      <c r="MVV2" s="42"/>
      <c r="MVW2" s="42"/>
      <c r="MVX2" s="42"/>
      <c r="MVY2" s="42"/>
      <c r="MVZ2" s="42"/>
      <c r="MWA2" s="42"/>
      <c r="MWB2" s="42"/>
      <c r="MWC2" s="42"/>
      <c r="MWD2" s="42"/>
      <c r="MWE2" s="42"/>
      <c r="MWF2" s="42"/>
      <c r="MWG2" s="42"/>
      <c r="MWH2" s="42"/>
      <c r="MWI2" s="42"/>
      <c r="MWJ2" s="42"/>
      <c r="MWK2" s="42"/>
      <c r="MWL2" s="42"/>
      <c r="MWM2" s="42"/>
      <c r="MWN2" s="42"/>
      <c r="MWO2" s="42"/>
      <c r="MWP2" s="42"/>
      <c r="MWQ2" s="42"/>
      <c r="MWR2" s="42"/>
      <c r="MWS2" s="42"/>
      <c r="MWT2" s="42"/>
      <c r="MWU2" s="42"/>
      <c r="MWV2" s="42"/>
      <c r="MWW2" s="42"/>
      <c r="MWX2" s="42"/>
      <c r="MWY2" s="42"/>
      <c r="MWZ2" s="42"/>
      <c r="MXA2" s="42"/>
      <c r="MXB2" s="42"/>
      <c r="MXC2" s="42"/>
      <c r="MXD2" s="42"/>
      <c r="MXE2" s="42"/>
      <c r="MXF2" s="42"/>
      <c r="MXG2" s="42"/>
      <c r="MXH2" s="42"/>
      <c r="MXI2" s="42"/>
      <c r="MXJ2" s="42"/>
      <c r="MXK2" s="42"/>
      <c r="MXL2" s="42"/>
      <c r="MXM2" s="42"/>
      <c r="MXN2" s="42"/>
      <c r="MXO2" s="42"/>
      <c r="MXP2" s="42"/>
      <c r="MXQ2" s="42"/>
      <c r="MXR2" s="42"/>
      <c r="MXS2" s="42"/>
      <c r="MXT2" s="42"/>
      <c r="MXU2" s="42"/>
      <c r="MXV2" s="42"/>
      <c r="MXW2" s="42"/>
      <c r="MXX2" s="42"/>
      <c r="MXY2" s="42"/>
      <c r="MXZ2" s="42"/>
      <c r="MYA2" s="42"/>
      <c r="MYB2" s="42"/>
      <c r="MYC2" s="42"/>
      <c r="MYD2" s="42"/>
      <c r="MYE2" s="42"/>
      <c r="MYF2" s="42"/>
      <c r="MYG2" s="42"/>
      <c r="MYH2" s="42"/>
      <c r="MYI2" s="42"/>
      <c r="MYJ2" s="42"/>
      <c r="MYK2" s="42"/>
      <c r="MYL2" s="42"/>
      <c r="MYM2" s="42"/>
      <c r="MYN2" s="42"/>
      <c r="MYO2" s="42"/>
      <c r="MYP2" s="42"/>
      <c r="MYQ2" s="42"/>
      <c r="MYR2" s="42"/>
      <c r="MYS2" s="42"/>
      <c r="MYT2" s="42"/>
      <c r="MYU2" s="42"/>
      <c r="MYV2" s="42"/>
      <c r="MYW2" s="42"/>
      <c r="MYX2" s="42"/>
      <c r="MYY2" s="42"/>
      <c r="MYZ2" s="42"/>
      <c r="MZA2" s="42"/>
      <c r="MZB2" s="42"/>
      <c r="MZC2" s="42"/>
      <c r="MZD2" s="42"/>
      <c r="MZE2" s="42"/>
      <c r="MZF2" s="42"/>
      <c r="MZG2" s="42"/>
      <c r="MZH2" s="42"/>
      <c r="MZI2" s="42"/>
      <c r="MZJ2" s="42"/>
      <c r="MZK2" s="42"/>
      <c r="MZL2" s="42"/>
      <c r="MZM2" s="42"/>
      <c r="MZN2" s="42"/>
      <c r="MZO2" s="42"/>
      <c r="MZP2" s="42"/>
      <c r="MZQ2" s="42"/>
      <c r="MZR2" s="42"/>
      <c r="MZS2" s="42"/>
      <c r="MZT2" s="42"/>
      <c r="MZU2" s="42"/>
      <c r="MZV2" s="42"/>
      <c r="MZW2" s="42"/>
      <c r="MZX2" s="42"/>
      <c r="MZY2" s="42"/>
      <c r="MZZ2" s="42"/>
      <c r="NAA2" s="42"/>
      <c r="NAB2" s="42"/>
      <c r="NAC2" s="42"/>
      <c r="NAD2" s="42"/>
      <c r="NAE2" s="42"/>
      <c r="NAF2" s="42"/>
      <c r="NAG2" s="42"/>
      <c r="NAH2" s="42"/>
      <c r="NAI2" s="42"/>
      <c r="NAJ2" s="42"/>
      <c r="NAK2" s="42"/>
      <c r="NAL2" s="42"/>
      <c r="NAM2" s="42"/>
      <c r="NAN2" s="42"/>
      <c r="NAO2" s="42"/>
      <c r="NAP2" s="42"/>
      <c r="NAQ2" s="42"/>
      <c r="NAR2" s="42"/>
      <c r="NAS2" s="42"/>
      <c r="NAT2" s="42"/>
      <c r="NAU2" s="42"/>
      <c r="NAV2" s="42"/>
      <c r="NAW2" s="42"/>
      <c r="NAX2" s="42"/>
      <c r="NAY2" s="42"/>
      <c r="NAZ2" s="42"/>
      <c r="NBA2" s="42"/>
      <c r="NBB2" s="42"/>
      <c r="NBC2" s="42"/>
      <c r="NBD2" s="42"/>
      <c r="NBE2" s="42"/>
      <c r="NBF2" s="42"/>
      <c r="NBG2" s="42"/>
      <c r="NBH2" s="42"/>
      <c r="NBI2" s="42"/>
      <c r="NBJ2" s="42"/>
      <c r="NBK2" s="42"/>
      <c r="NBL2" s="42"/>
      <c r="NBM2" s="42"/>
      <c r="NBN2" s="42"/>
      <c r="NBO2" s="42"/>
      <c r="NBP2" s="42"/>
      <c r="NBQ2" s="42"/>
      <c r="NBR2" s="42"/>
      <c r="NBS2" s="42"/>
      <c r="NBT2" s="42"/>
      <c r="NBU2" s="42"/>
      <c r="NBV2" s="42"/>
      <c r="NBW2" s="42"/>
      <c r="NBX2" s="42"/>
      <c r="NBY2" s="42"/>
      <c r="NBZ2" s="42"/>
      <c r="NCA2" s="42"/>
      <c r="NCB2" s="42"/>
      <c r="NCC2" s="42"/>
      <c r="NCD2" s="42"/>
      <c r="NCE2" s="42"/>
      <c r="NCF2" s="42"/>
      <c r="NCG2" s="42"/>
      <c r="NCH2" s="42"/>
      <c r="NCI2" s="42"/>
      <c r="NCJ2" s="42"/>
      <c r="NCK2" s="42"/>
      <c r="NCL2" s="42"/>
      <c r="NCM2" s="42"/>
      <c r="NCN2" s="42"/>
      <c r="NCO2" s="42"/>
      <c r="NCP2" s="42"/>
      <c r="NCQ2" s="42"/>
      <c r="NCR2" s="42"/>
      <c r="NCS2" s="42"/>
      <c r="NCT2" s="42"/>
      <c r="NCU2" s="42"/>
      <c r="NCV2" s="42"/>
      <c r="NCW2" s="42"/>
      <c r="NCX2" s="42"/>
      <c r="NCY2" s="42"/>
      <c r="NCZ2" s="42"/>
      <c r="NDA2" s="42"/>
      <c r="NDB2" s="42"/>
      <c r="NDC2" s="42"/>
      <c r="NDD2" s="42"/>
      <c r="NDE2" s="42"/>
      <c r="NDF2" s="42"/>
      <c r="NDG2" s="42"/>
      <c r="NDH2" s="42"/>
      <c r="NDI2" s="42"/>
      <c r="NDJ2" s="42"/>
      <c r="NDK2" s="42"/>
      <c r="NDL2" s="42"/>
      <c r="NDM2" s="42"/>
      <c r="NDN2" s="42"/>
      <c r="NDO2" s="42"/>
      <c r="NDP2" s="42"/>
      <c r="NDQ2" s="42"/>
      <c r="NDR2" s="42"/>
      <c r="NDS2" s="42"/>
      <c r="NDT2" s="42"/>
      <c r="NDU2" s="42"/>
      <c r="NDV2" s="42"/>
      <c r="NDW2" s="42"/>
      <c r="NDX2" s="42"/>
      <c r="NDY2" s="42"/>
      <c r="NDZ2" s="42"/>
      <c r="NEA2" s="42"/>
      <c r="NEB2" s="42"/>
      <c r="NEC2" s="42"/>
      <c r="NED2" s="42"/>
      <c r="NEE2" s="42"/>
      <c r="NEF2" s="42"/>
      <c r="NEG2" s="42"/>
      <c r="NEH2" s="42"/>
      <c r="NEI2" s="42"/>
      <c r="NEJ2" s="42"/>
      <c r="NEK2" s="42"/>
      <c r="NEL2" s="42"/>
      <c r="NEM2" s="42"/>
      <c r="NEN2" s="42"/>
      <c r="NEO2" s="42"/>
      <c r="NEP2" s="42"/>
      <c r="NEQ2" s="42"/>
      <c r="NER2" s="42"/>
      <c r="NES2" s="42"/>
      <c r="NET2" s="42"/>
      <c r="NEU2" s="42"/>
      <c r="NEV2" s="42"/>
      <c r="NEW2" s="42"/>
      <c r="NEX2" s="42"/>
      <c r="NEY2" s="42"/>
      <c r="NEZ2" s="42"/>
      <c r="NFA2" s="42"/>
      <c r="NFB2" s="42"/>
      <c r="NFC2" s="42"/>
      <c r="NFD2" s="42"/>
      <c r="NFE2" s="42"/>
      <c r="NFF2" s="42"/>
      <c r="NFG2" s="42"/>
      <c r="NFH2" s="42"/>
      <c r="NFI2" s="42"/>
      <c r="NFJ2" s="42"/>
      <c r="NFK2" s="42"/>
      <c r="NFL2" s="42"/>
      <c r="NFM2" s="42"/>
      <c r="NFN2" s="42"/>
      <c r="NFO2" s="42"/>
      <c r="NFP2" s="42"/>
      <c r="NFQ2" s="42"/>
      <c r="NFR2" s="42"/>
      <c r="NFS2" s="42"/>
      <c r="NFT2" s="42"/>
      <c r="NFU2" s="42"/>
      <c r="NFV2" s="42"/>
      <c r="NFW2" s="42"/>
      <c r="NFX2" s="42"/>
      <c r="NFY2" s="42"/>
      <c r="NFZ2" s="42"/>
      <c r="NGA2" s="42"/>
      <c r="NGB2" s="42"/>
      <c r="NGC2" s="42"/>
      <c r="NGD2" s="42"/>
      <c r="NGE2" s="42"/>
      <c r="NGF2" s="42"/>
      <c r="NGG2" s="42"/>
      <c r="NGH2" s="42"/>
      <c r="NGI2" s="42"/>
      <c r="NGJ2" s="42"/>
      <c r="NGK2" s="42"/>
      <c r="NGL2" s="42"/>
      <c r="NGM2" s="42"/>
      <c r="NGN2" s="42"/>
      <c r="NGO2" s="42"/>
      <c r="NGP2" s="42"/>
      <c r="NGQ2" s="42"/>
      <c r="NGR2" s="42"/>
      <c r="NGS2" s="42"/>
      <c r="NGT2" s="42"/>
      <c r="NGU2" s="42"/>
      <c r="NGV2" s="42"/>
      <c r="NGW2" s="42"/>
      <c r="NGX2" s="42"/>
      <c r="NGY2" s="42"/>
      <c r="NGZ2" s="42"/>
      <c r="NHA2" s="42"/>
      <c r="NHB2" s="42"/>
      <c r="NHC2" s="42"/>
      <c r="NHD2" s="42"/>
      <c r="NHE2" s="42"/>
      <c r="NHF2" s="42"/>
      <c r="NHG2" s="42"/>
      <c r="NHH2" s="42"/>
      <c r="NHI2" s="42"/>
      <c r="NHJ2" s="42"/>
      <c r="NHK2" s="42"/>
      <c r="NHL2" s="42"/>
      <c r="NHM2" s="42"/>
      <c r="NHN2" s="42"/>
      <c r="NHO2" s="42"/>
      <c r="NHP2" s="42"/>
      <c r="NHQ2" s="42"/>
      <c r="NHR2" s="42"/>
      <c r="NHS2" s="42"/>
      <c r="NHT2" s="42"/>
      <c r="NHU2" s="42"/>
      <c r="NHV2" s="42"/>
      <c r="NHW2" s="42"/>
      <c r="NHX2" s="42"/>
      <c r="NHY2" s="42"/>
      <c r="NHZ2" s="42"/>
      <c r="NIA2" s="42"/>
      <c r="NIB2" s="42"/>
      <c r="NIC2" s="42"/>
      <c r="NID2" s="42"/>
      <c r="NIE2" s="42"/>
      <c r="NIF2" s="42"/>
      <c r="NIG2" s="42"/>
      <c r="NIH2" s="42"/>
      <c r="NII2" s="42"/>
      <c r="NIJ2" s="42"/>
      <c r="NIK2" s="42"/>
      <c r="NIL2" s="42"/>
      <c r="NIM2" s="42"/>
      <c r="NIN2" s="42"/>
      <c r="NIO2" s="42"/>
      <c r="NIP2" s="42"/>
      <c r="NIQ2" s="42"/>
      <c r="NIR2" s="42"/>
      <c r="NIS2" s="42"/>
      <c r="NIT2" s="42"/>
      <c r="NIU2" s="42"/>
      <c r="NIV2" s="42"/>
      <c r="NIW2" s="42"/>
      <c r="NIX2" s="42"/>
      <c r="NIY2" s="42"/>
      <c r="NIZ2" s="42"/>
      <c r="NJA2" s="42"/>
      <c r="NJB2" s="42"/>
      <c r="NJC2" s="42"/>
      <c r="NJD2" s="42"/>
      <c r="NJE2" s="42"/>
      <c r="NJF2" s="42"/>
      <c r="NJG2" s="42"/>
      <c r="NJH2" s="42"/>
      <c r="NJI2" s="42"/>
      <c r="NJJ2" s="42"/>
      <c r="NJK2" s="42"/>
      <c r="NJL2" s="42"/>
      <c r="NJM2" s="42"/>
      <c r="NJN2" s="42"/>
      <c r="NJO2" s="42"/>
      <c r="NJP2" s="42"/>
      <c r="NJQ2" s="42"/>
      <c r="NJR2" s="42"/>
      <c r="NJS2" s="42"/>
      <c r="NJT2" s="42"/>
      <c r="NJU2" s="42"/>
      <c r="NJV2" s="42"/>
      <c r="NJW2" s="42"/>
      <c r="NJX2" s="42"/>
      <c r="NJY2" s="42"/>
      <c r="NJZ2" s="42"/>
      <c r="NKA2" s="42"/>
      <c r="NKB2" s="42"/>
      <c r="NKC2" s="42"/>
      <c r="NKD2" s="42"/>
      <c r="NKE2" s="42"/>
      <c r="NKF2" s="42"/>
      <c r="NKG2" s="42"/>
      <c r="NKH2" s="42"/>
      <c r="NKI2" s="42"/>
      <c r="NKJ2" s="42"/>
      <c r="NKK2" s="42"/>
      <c r="NKL2" s="42"/>
      <c r="NKM2" s="42"/>
      <c r="NKN2" s="42"/>
      <c r="NKO2" s="42"/>
      <c r="NKP2" s="42"/>
      <c r="NKQ2" s="42"/>
      <c r="NKR2" s="42"/>
      <c r="NKS2" s="42"/>
      <c r="NKT2" s="42"/>
      <c r="NKU2" s="42"/>
      <c r="NKV2" s="42"/>
      <c r="NKW2" s="42"/>
      <c r="NKX2" s="42"/>
      <c r="NKY2" s="42"/>
      <c r="NKZ2" s="42"/>
      <c r="NLA2" s="42"/>
      <c r="NLB2" s="42"/>
      <c r="NLC2" s="42"/>
      <c r="NLD2" s="42"/>
      <c r="NLE2" s="42"/>
      <c r="NLF2" s="42"/>
      <c r="NLG2" s="42"/>
      <c r="NLH2" s="42"/>
      <c r="NLI2" s="42"/>
      <c r="NLJ2" s="42"/>
      <c r="NLK2" s="42"/>
      <c r="NLL2" s="42"/>
      <c r="NLM2" s="42"/>
      <c r="NLN2" s="42"/>
      <c r="NLO2" s="42"/>
      <c r="NLP2" s="42"/>
      <c r="NLQ2" s="42"/>
      <c r="NLR2" s="42"/>
      <c r="NLS2" s="42"/>
      <c r="NLT2" s="42"/>
      <c r="NLU2" s="42"/>
      <c r="NLV2" s="42"/>
      <c r="NLW2" s="42"/>
      <c r="NLX2" s="42"/>
      <c r="NLY2" s="42"/>
      <c r="NLZ2" s="42"/>
      <c r="NMA2" s="42"/>
      <c r="NMB2" s="42"/>
      <c r="NMC2" s="42"/>
      <c r="NMD2" s="42"/>
      <c r="NME2" s="42"/>
      <c r="NMF2" s="42"/>
      <c r="NMG2" s="42"/>
      <c r="NMH2" s="42"/>
      <c r="NMI2" s="42"/>
      <c r="NMJ2" s="42"/>
      <c r="NMK2" s="42"/>
      <c r="NML2" s="42"/>
      <c r="NMM2" s="42"/>
      <c r="NMN2" s="42"/>
      <c r="NMO2" s="42"/>
      <c r="NMP2" s="42"/>
      <c r="NMQ2" s="42"/>
      <c r="NMR2" s="42"/>
      <c r="NMS2" s="42"/>
      <c r="NMT2" s="42"/>
      <c r="NMU2" s="42"/>
      <c r="NMV2" s="42"/>
      <c r="NMW2" s="42"/>
      <c r="NMX2" s="42"/>
      <c r="NMY2" s="42"/>
      <c r="NMZ2" s="42"/>
      <c r="NNA2" s="42"/>
      <c r="NNB2" s="42"/>
      <c r="NNC2" s="42"/>
      <c r="NND2" s="42"/>
      <c r="NNE2" s="42"/>
      <c r="NNF2" s="42"/>
      <c r="NNG2" s="42"/>
      <c r="NNH2" s="42"/>
      <c r="NNI2" s="42"/>
      <c r="NNJ2" s="42"/>
      <c r="NNK2" s="42"/>
      <c r="NNL2" s="42"/>
      <c r="NNM2" s="42"/>
      <c r="NNN2" s="42"/>
      <c r="NNO2" s="42"/>
      <c r="NNP2" s="42"/>
      <c r="NNQ2" s="42"/>
      <c r="NNR2" s="42"/>
      <c r="NNS2" s="42"/>
      <c r="NNT2" s="42"/>
      <c r="NNU2" s="42"/>
      <c r="NNV2" s="42"/>
      <c r="NNW2" s="42"/>
      <c r="NNX2" s="42"/>
      <c r="NNY2" s="42"/>
      <c r="NNZ2" s="42"/>
      <c r="NOA2" s="42"/>
      <c r="NOB2" s="42"/>
      <c r="NOC2" s="42"/>
      <c r="NOD2" s="42"/>
      <c r="NOE2" s="42"/>
      <c r="NOF2" s="42"/>
      <c r="NOG2" s="42"/>
      <c r="NOH2" s="42"/>
      <c r="NOI2" s="42"/>
      <c r="NOJ2" s="42"/>
      <c r="NOK2" s="42"/>
      <c r="NOL2" s="42"/>
      <c r="NOM2" s="42"/>
      <c r="NON2" s="42"/>
      <c r="NOO2" s="42"/>
      <c r="NOP2" s="42"/>
      <c r="NOQ2" s="42"/>
      <c r="NOR2" s="42"/>
      <c r="NOS2" s="42"/>
      <c r="NOT2" s="42"/>
      <c r="NOU2" s="42"/>
      <c r="NOV2" s="42"/>
      <c r="NOW2" s="42"/>
      <c r="NOX2" s="42"/>
      <c r="NOY2" s="42"/>
      <c r="NOZ2" s="42"/>
      <c r="NPA2" s="42"/>
      <c r="NPB2" s="42"/>
      <c r="NPC2" s="42"/>
      <c r="NPD2" s="42"/>
      <c r="NPE2" s="42"/>
      <c r="NPF2" s="42"/>
      <c r="NPG2" s="42"/>
      <c r="NPH2" s="42"/>
      <c r="NPI2" s="42"/>
      <c r="NPJ2" s="42"/>
      <c r="NPK2" s="42"/>
      <c r="NPL2" s="42"/>
      <c r="NPM2" s="42"/>
      <c r="NPN2" s="42"/>
      <c r="NPO2" s="42"/>
      <c r="NPP2" s="42"/>
      <c r="NPQ2" s="42"/>
      <c r="NPR2" s="42"/>
      <c r="NPS2" s="42"/>
      <c r="NPT2" s="42"/>
      <c r="NPU2" s="42"/>
      <c r="NPV2" s="42"/>
      <c r="NPW2" s="42"/>
      <c r="NPX2" s="42"/>
      <c r="NPY2" s="42"/>
      <c r="NPZ2" s="42"/>
      <c r="NQA2" s="42"/>
      <c r="NQB2" s="42"/>
      <c r="NQC2" s="42"/>
      <c r="NQD2" s="42"/>
      <c r="NQE2" s="42"/>
      <c r="NQF2" s="42"/>
      <c r="NQG2" s="42"/>
      <c r="NQH2" s="42"/>
      <c r="NQI2" s="42"/>
      <c r="NQJ2" s="42"/>
      <c r="NQK2" s="42"/>
      <c r="NQL2" s="42"/>
      <c r="NQM2" s="42"/>
      <c r="NQN2" s="42"/>
      <c r="NQO2" s="42"/>
      <c r="NQP2" s="42"/>
      <c r="NQQ2" s="42"/>
      <c r="NQR2" s="42"/>
      <c r="NQS2" s="42"/>
      <c r="NQT2" s="42"/>
      <c r="NQU2" s="42"/>
      <c r="NQV2" s="42"/>
      <c r="NQW2" s="42"/>
      <c r="NQX2" s="42"/>
      <c r="NQY2" s="42"/>
      <c r="NQZ2" s="42"/>
      <c r="NRA2" s="42"/>
      <c r="NRB2" s="42"/>
      <c r="NRC2" s="42"/>
      <c r="NRD2" s="42"/>
      <c r="NRE2" s="42"/>
      <c r="NRF2" s="42"/>
      <c r="NRG2" s="42"/>
      <c r="NRH2" s="42"/>
      <c r="NRI2" s="42"/>
      <c r="NRJ2" s="42"/>
      <c r="NRK2" s="42"/>
      <c r="NRL2" s="42"/>
      <c r="NRM2" s="42"/>
      <c r="NRN2" s="42"/>
      <c r="NRO2" s="42"/>
      <c r="NRP2" s="42"/>
      <c r="NRQ2" s="42"/>
      <c r="NRR2" s="42"/>
      <c r="NRS2" s="42"/>
      <c r="NRT2" s="42"/>
      <c r="NRU2" s="42"/>
      <c r="NRV2" s="42"/>
      <c r="NRW2" s="42"/>
      <c r="NRX2" s="42"/>
      <c r="NRY2" s="42"/>
      <c r="NRZ2" s="42"/>
      <c r="NSA2" s="42"/>
      <c r="NSB2" s="42"/>
      <c r="NSC2" s="42"/>
      <c r="NSD2" s="42"/>
      <c r="NSE2" s="42"/>
      <c r="NSF2" s="42"/>
      <c r="NSG2" s="42"/>
      <c r="NSH2" s="42"/>
      <c r="NSI2" s="42"/>
      <c r="NSJ2" s="42"/>
      <c r="NSK2" s="42"/>
      <c r="NSL2" s="42"/>
      <c r="NSM2" s="42"/>
      <c r="NSN2" s="42"/>
      <c r="NSO2" s="42"/>
      <c r="NSP2" s="42"/>
      <c r="NSQ2" s="42"/>
      <c r="NSR2" s="42"/>
      <c r="NSS2" s="42"/>
      <c r="NST2" s="42"/>
      <c r="NSU2" s="42"/>
      <c r="NSV2" s="42"/>
      <c r="NSW2" s="42"/>
      <c r="NSX2" s="42"/>
      <c r="NSY2" s="42"/>
      <c r="NSZ2" s="42"/>
      <c r="NTA2" s="42"/>
      <c r="NTB2" s="42"/>
      <c r="NTC2" s="42"/>
      <c r="NTD2" s="42"/>
      <c r="NTE2" s="42"/>
      <c r="NTF2" s="42"/>
      <c r="NTG2" s="42"/>
      <c r="NTH2" s="42"/>
      <c r="NTI2" s="42"/>
      <c r="NTJ2" s="42"/>
      <c r="NTK2" s="42"/>
      <c r="NTL2" s="42"/>
      <c r="NTM2" s="42"/>
      <c r="NTN2" s="42"/>
      <c r="NTO2" s="42"/>
      <c r="NTP2" s="42"/>
      <c r="NTQ2" s="42"/>
      <c r="NTR2" s="42"/>
      <c r="NTS2" s="42"/>
      <c r="NTT2" s="42"/>
      <c r="NTU2" s="42"/>
      <c r="NTV2" s="42"/>
      <c r="NTW2" s="42"/>
      <c r="NTX2" s="42"/>
      <c r="NTY2" s="42"/>
      <c r="NTZ2" s="42"/>
      <c r="NUA2" s="42"/>
      <c r="NUB2" s="42"/>
      <c r="NUC2" s="42"/>
      <c r="NUD2" s="42"/>
      <c r="NUE2" s="42"/>
      <c r="NUF2" s="42"/>
      <c r="NUG2" s="42"/>
      <c r="NUH2" s="42"/>
      <c r="NUI2" s="42"/>
      <c r="NUJ2" s="42"/>
      <c r="NUK2" s="42"/>
      <c r="NUL2" s="42"/>
      <c r="NUM2" s="42"/>
      <c r="NUN2" s="42"/>
      <c r="NUO2" s="42"/>
      <c r="NUP2" s="42"/>
      <c r="NUQ2" s="42"/>
      <c r="NUR2" s="42"/>
      <c r="NUS2" s="42"/>
      <c r="NUT2" s="42"/>
      <c r="NUU2" s="42"/>
      <c r="NUV2" s="42"/>
      <c r="NUW2" s="42"/>
      <c r="NUX2" s="42"/>
      <c r="NUY2" s="42"/>
      <c r="NUZ2" s="42"/>
      <c r="NVA2" s="42"/>
      <c r="NVB2" s="42"/>
      <c r="NVC2" s="42"/>
      <c r="NVD2" s="42"/>
      <c r="NVE2" s="42"/>
      <c r="NVF2" s="42"/>
      <c r="NVG2" s="42"/>
      <c r="NVH2" s="42"/>
      <c r="NVI2" s="42"/>
      <c r="NVJ2" s="42"/>
      <c r="NVK2" s="42"/>
      <c r="NVL2" s="42"/>
      <c r="NVM2" s="42"/>
      <c r="NVN2" s="42"/>
      <c r="NVO2" s="42"/>
      <c r="NVP2" s="42"/>
      <c r="NVQ2" s="42"/>
      <c r="NVR2" s="42"/>
      <c r="NVS2" s="42"/>
      <c r="NVT2" s="42"/>
      <c r="NVU2" s="42"/>
      <c r="NVV2" s="42"/>
      <c r="NVW2" s="42"/>
      <c r="NVX2" s="42"/>
      <c r="NVY2" s="42"/>
      <c r="NVZ2" s="42"/>
      <c r="NWA2" s="42"/>
      <c r="NWB2" s="42"/>
      <c r="NWC2" s="42"/>
      <c r="NWD2" s="42"/>
      <c r="NWE2" s="42"/>
      <c r="NWF2" s="42"/>
      <c r="NWG2" s="42"/>
      <c r="NWH2" s="42"/>
      <c r="NWI2" s="42"/>
      <c r="NWJ2" s="42"/>
      <c r="NWK2" s="42"/>
      <c r="NWL2" s="42"/>
      <c r="NWM2" s="42"/>
      <c r="NWN2" s="42"/>
      <c r="NWO2" s="42"/>
      <c r="NWP2" s="42"/>
      <c r="NWQ2" s="42"/>
      <c r="NWR2" s="42"/>
      <c r="NWS2" s="42"/>
      <c r="NWT2" s="42"/>
      <c r="NWU2" s="42"/>
      <c r="NWV2" s="42"/>
      <c r="NWW2" s="42"/>
      <c r="NWX2" s="42"/>
      <c r="NWY2" s="42"/>
      <c r="NWZ2" s="42"/>
      <c r="NXA2" s="42"/>
      <c r="NXB2" s="42"/>
      <c r="NXC2" s="42"/>
      <c r="NXD2" s="42"/>
      <c r="NXE2" s="42"/>
      <c r="NXF2" s="42"/>
      <c r="NXG2" s="42"/>
      <c r="NXH2" s="42"/>
      <c r="NXI2" s="42"/>
      <c r="NXJ2" s="42"/>
      <c r="NXK2" s="42"/>
      <c r="NXL2" s="42"/>
      <c r="NXM2" s="42"/>
      <c r="NXN2" s="42"/>
      <c r="NXO2" s="42"/>
      <c r="NXP2" s="42"/>
      <c r="NXQ2" s="42"/>
      <c r="NXR2" s="42"/>
      <c r="NXS2" s="42"/>
      <c r="NXT2" s="42"/>
      <c r="NXU2" s="42"/>
      <c r="NXV2" s="42"/>
      <c r="NXW2" s="42"/>
      <c r="NXX2" s="42"/>
      <c r="NXY2" s="42"/>
      <c r="NXZ2" s="42"/>
      <c r="NYA2" s="42"/>
      <c r="NYB2" s="42"/>
      <c r="NYC2" s="42"/>
      <c r="NYD2" s="42"/>
      <c r="NYE2" s="42"/>
      <c r="NYF2" s="42"/>
      <c r="NYG2" s="42"/>
      <c r="NYH2" s="42"/>
      <c r="NYI2" s="42"/>
      <c r="NYJ2" s="42"/>
      <c r="NYK2" s="42"/>
      <c r="NYL2" s="42"/>
      <c r="NYM2" s="42"/>
      <c r="NYN2" s="42"/>
      <c r="NYO2" s="42"/>
      <c r="NYP2" s="42"/>
      <c r="NYQ2" s="42"/>
      <c r="NYR2" s="42"/>
      <c r="NYS2" s="42"/>
      <c r="NYT2" s="42"/>
      <c r="NYU2" s="42"/>
      <c r="NYV2" s="42"/>
      <c r="NYW2" s="42"/>
      <c r="NYX2" s="42"/>
      <c r="NYY2" s="42"/>
      <c r="NYZ2" s="42"/>
      <c r="NZA2" s="42"/>
      <c r="NZB2" s="42"/>
      <c r="NZC2" s="42"/>
      <c r="NZD2" s="42"/>
      <c r="NZE2" s="42"/>
      <c r="NZF2" s="42"/>
      <c r="NZG2" s="42"/>
      <c r="NZH2" s="42"/>
      <c r="NZI2" s="42"/>
      <c r="NZJ2" s="42"/>
      <c r="NZK2" s="42"/>
      <c r="NZL2" s="42"/>
      <c r="NZM2" s="42"/>
      <c r="NZN2" s="42"/>
      <c r="NZO2" s="42"/>
      <c r="NZP2" s="42"/>
      <c r="NZQ2" s="42"/>
      <c r="NZR2" s="42"/>
      <c r="NZS2" s="42"/>
      <c r="NZT2" s="42"/>
      <c r="NZU2" s="42"/>
      <c r="NZV2" s="42"/>
      <c r="NZW2" s="42"/>
      <c r="NZX2" s="42"/>
      <c r="NZY2" s="42"/>
      <c r="NZZ2" s="42"/>
      <c r="OAA2" s="42"/>
      <c r="OAB2" s="42"/>
      <c r="OAC2" s="42"/>
      <c r="OAD2" s="42"/>
      <c r="OAE2" s="42"/>
      <c r="OAF2" s="42"/>
      <c r="OAG2" s="42"/>
      <c r="OAH2" s="42"/>
      <c r="OAI2" s="42"/>
      <c r="OAJ2" s="42"/>
      <c r="OAK2" s="42"/>
      <c r="OAL2" s="42"/>
      <c r="OAM2" s="42"/>
      <c r="OAN2" s="42"/>
      <c r="OAO2" s="42"/>
      <c r="OAP2" s="42"/>
      <c r="OAQ2" s="42"/>
      <c r="OAR2" s="42"/>
      <c r="OAS2" s="42"/>
      <c r="OAT2" s="42"/>
      <c r="OAU2" s="42"/>
      <c r="OAV2" s="42"/>
      <c r="OAW2" s="42"/>
      <c r="OAX2" s="42"/>
      <c r="OAY2" s="42"/>
      <c r="OAZ2" s="42"/>
      <c r="OBA2" s="42"/>
      <c r="OBB2" s="42"/>
      <c r="OBC2" s="42"/>
      <c r="OBD2" s="42"/>
      <c r="OBE2" s="42"/>
      <c r="OBF2" s="42"/>
      <c r="OBG2" s="42"/>
      <c r="OBH2" s="42"/>
      <c r="OBI2" s="42"/>
      <c r="OBJ2" s="42"/>
      <c r="OBK2" s="42"/>
      <c r="OBL2" s="42"/>
      <c r="OBM2" s="42"/>
      <c r="OBN2" s="42"/>
      <c r="OBO2" s="42"/>
      <c r="OBP2" s="42"/>
      <c r="OBQ2" s="42"/>
      <c r="OBR2" s="42"/>
      <c r="OBS2" s="42"/>
      <c r="OBT2" s="42"/>
      <c r="OBU2" s="42"/>
      <c r="OBV2" s="42"/>
      <c r="OBW2" s="42"/>
      <c r="OBX2" s="42"/>
      <c r="OBY2" s="42"/>
      <c r="OBZ2" s="42"/>
      <c r="OCA2" s="42"/>
      <c r="OCB2" s="42"/>
      <c r="OCC2" s="42"/>
      <c r="OCD2" s="42"/>
      <c r="OCE2" s="42"/>
      <c r="OCF2" s="42"/>
      <c r="OCG2" s="42"/>
      <c r="OCH2" s="42"/>
      <c r="OCI2" s="42"/>
      <c r="OCJ2" s="42"/>
      <c r="OCK2" s="42"/>
      <c r="OCL2" s="42"/>
      <c r="OCM2" s="42"/>
      <c r="OCN2" s="42"/>
      <c r="OCO2" s="42"/>
      <c r="OCP2" s="42"/>
      <c r="OCQ2" s="42"/>
      <c r="OCR2" s="42"/>
      <c r="OCS2" s="42"/>
      <c r="OCT2" s="42"/>
      <c r="OCU2" s="42"/>
      <c r="OCV2" s="42"/>
      <c r="OCW2" s="42"/>
      <c r="OCX2" s="42"/>
      <c r="OCY2" s="42"/>
      <c r="OCZ2" s="42"/>
      <c r="ODA2" s="42"/>
      <c r="ODB2" s="42"/>
      <c r="ODC2" s="42"/>
      <c r="ODD2" s="42"/>
      <c r="ODE2" s="42"/>
      <c r="ODF2" s="42"/>
      <c r="ODG2" s="42"/>
      <c r="ODH2" s="42"/>
      <c r="ODI2" s="42"/>
      <c r="ODJ2" s="42"/>
      <c r="ODK2" s="42"/>
      <c r="ODL2" s="42"/>
      <c r="ODM2" s="42"/>
      <c r="ODN2" s="42"/>
      <c r="ODO2" s="42"/>
      <c r="ODP2" s="42"/>
      <c r="ODQ2" s="42"/>
      <c r="ODR2" s="42"/>
      <c r="ODS2" s="42"/>
      <c r="ODT2" s="42"/>
      <c r="ODU2" s="42"/>
      <c r="ODV2" s="42"/>
      <c r="ODW2" s="42"/>
      <c r="ODX2" s="42"/>
      <c r="ODY2" s="42"/>
      <c r="ODZ2" s="42"/>
      <c r="OEA2" s="42"/>
      <c r="OEB2" s="42"/>
      <c r="OEC2" s="42"/>
      <c r="OED2" s="42"/>
      <c r="OEE2" s="42"/>
      <c r="OEF2" s="42"/>
      <c r="OEG2" s="42"/>
      <c r="OEH2" s="42"/>
      <c r="OEI2" s="42"/>
      <c r="OEJ2" s="42"/>
      <c r="OEK2" s="42"/>
      <c r="OEL2" s="42"/>
      <c r="OEM2" s="42"/>
      <c r="OEN2" s="42"/>
      <c r="OEO2" s="42"/>
      <c r="OEP2" s="42"/>
      <c r="OEQ2" s="42"/>
      <c r="OER2" s="42"/>
      <c r="OES2" s="42"/>
      <c r="OET2" s="42"/>
      <c r="OEU2" s="42"/>
      <c r="OEV2" s="42"/>
      <c r="OEW2" s="42"/>
      <c r="OEX2" s="42"/>
      <c r="OEY2" s="42"/>
      <c r="OEZ2" s="42"/>
      <c r="OFA2" s="42"/>
      <c r="OFB2" s="42"/>
      <c r="OFC2" s="42"/>
      <c r="OFD2" s="42"/>
      <c r="OFE2" s="42"/>
      <c r="OFF2" s="42"/>
      <c r="OFG2" s="42"/>
      <c r="OFH2" s="42"/>
      <c r="OFI2" s="42"/>
      <c r="OFJ2" s="42"/>
      <c r="OFK2" s="42"/>
      <c r="OFL2" s="42"/>
      <c r="OFM2" s="42"/>
      <c r="OFN2" s="42"/>
      <c r="OFO2" s="42"/>
      <c r="OFP2" s="42"/>
      <c r="OFQ2" s="42"/>
      <c r="OFR2" s="42"/>
      <c r="OFS2" s="42"/>
      <c r="OFT2" s="42"/>
      <c r="OFU2" s="42"/>
      <c r="OFV2" s="42"/>
      <c r="OFW2" s="42"/>
      <c r="OFX2" s="42"/>
      <c r="OFY2" s="42"/>
      <c r="OFZ2" s="42"/>
      <c r="OGA2" s="42"/>
      <c r="OGB2" s="42"/>
      <c r="OGC2" s="42"/>
      <c r="OGD2" s="42"/>
      <c r="OGE2" s="42"/>
      <c r="OGF2" s="42"/>
      <c r="OGG2" s="42"/>
      <c r="OGH2" s="42"/>
      <c r="OGI2" s="42"/>
      <c r="OGJ2" s="42"/>
      <c r="OGK2" s="42"/>
      <c r="OGL2" s="42"/>
      <c r="OGM2" s="42"/>
      <c r="OGN2" s="42"/>
      <c r="OGO2" s="42"/>
      <c r="OGP2" s="42"/>
      <c r="OGQ2" s="42"/>
      <c r="OGR2" s="42"/>
      <c r="OGS2" s="42"/>
      <c r="OGT2" s="42"/>
      <c r="OGU2" s="42"/>
      <c r="OGV2" s="42"/>
      <c r="OGW2" s="42"/>
      <c r="OGX2" s="42"/>
      <c r="OGY2" s="42"/>
      <c r="OGZ2" s="42"/>
      <c r="OHA2" s="42"/>
      <c r="OHB2" s="42"/>
      <c r="OHC2" s="42"/>
      <c r="OHD2" s="42"/>
      <c r="OHE2" s="42"/>
      <c r="OHF2" s="42"/>
      <c r="OHG2" s="42"/>
      <c r="OHH2" s="42"/>
      <c r="OHI2" s="42"/>
      <c r="OHJ2" s="42"/>
      <c r="OHK2" s="42"/>
      <c r="OHL2" s="42"/>
      <c r="OHM2" s="42"/>
      <c r="OHN2" s="42"/>
      <c r="OHO2" s="42"/>
      <c r="OHP2" s="42"/>
      <c r="OHQ2" s="42"/>
      <c r="OHR2" s="42"/>
      <c r="OHS2" s="42"/>
      <c r="OHT2" s="42"/>
      <c r="OHU2" s="42"/>
      <c r="OHV2" s="42"/>
      <c r="OHW2" s="42"/>
      <c r="OHX2" s="42"/>
      <c r="OHY2" s="42"/>
      <c r="OHZ2" s="42"/>
      <c r="OIA2" s="42"/>
      <c r="OIB2" s="42"/>
      <c r="OIC2" s="42"/>
      <c r="OID2" s="42"/>
      <c r="OIE2" s="42"/>
      <c r="OIF2" s="42"/>
      <c r="OIG2" s="42"/>
      <c r="OIH2" s="42"/>
      <c r="OII2" s="42"/>
      <c r="OIJ2" s="42"/>
      <c r="OIK2" s="42"/>
      <c r="OIL2" s="42"/>
      <c r="OIM2" s="42"/>
      <c r="OIN2" s="42"/>
      <c r="OIO2" s="42"/>
      <c r="OIP2" s="42"/>
      <c r="OIQ2" s="42"/>
      <c r="OIR2" s="42"/>
      <c r="OIS2" s="42"/>
      <c r="OIT2" s="42"/>
      <c r="OIU2" s="42"/>
      <c r="OIV2" s="42"/>
      <c r="OIW2" s="42"/>
      <c r="OIX2" s="42"/>
      <c r="OIY2" s="42"/>
      <c r="OIZ2" s="42"/>
      <c r="OJA2" s="42"/>
      <c r="OJB2" s="42"/>
      <c r="OJC2" s="42"/>
      <c r="OJD2" s="42"/>
      <c r="OJE2" s="42"/>
      <c r="OJF2" s="42"/>
      <c r="OJG2" s="42"/>
      <c r="OJH2" s="42"/>
      <c r="OJI2" s="42"/>
      <c r="OJJ2" s="42"/>
      <c r="OJK2" s="42"/>
      <c r="OJL2" s="42"/>
      <c r="OJM2" s="42"/>
      <c r="OJN2" s="42"/>
      <c r="OJO2" s="42"/>
      <c r="OJP2" s="42"/>
      <c r="OJQ2" s="42"/>
      <c r="OJR2" s="42"/>
      <c r="OJS2" s="42"/>
      <c r="OJT2" s="42"/>
      <c r="OJU2" s="42"/>
      <c r="OJV2" s="42"/>
      <c r="OJW2" s="42"/>
      <c r="OJX2" s="42"/>
      <c r="OJY2" s="42"/>
      <c r="OJZ2" s="42"/>
      <c r="OKA2" s="42"/>
      <c r="OKB2" s="42"/>
      <c r="OKC2" s="42"/>
      <c r="OKD2" s="42"/>
      <c r="OKE2" s="42"/>
      <c r="OKF2" s="42"/>
      <c r="OKG2" s="42"/>
      <c r="OKH2" s="42"/>
      <c r="OKI2" s="42"/>
      <c r="OKJ2" s="42"/>
      <c r="OKK2" s="42"/>
      <c r="OKL2" s="42"/>
      <c r="OKM2" s="42"/>
      <c r="OKN2" s="42"/>
      <c r="OKO2" s="42"/>
      <c r="OKP2" s="42"/>
      <c r="OKQ2" s="42"/>
      <c r="OKR2" s="42"/>
      <c r="OKS2" s="42"/>
      <c r="OKT2" s="42"/>
      <c r="OKU2" s="42"/>
      <c r="OKV2" s="42"/>
      <c r="OKW2" s="42"/>
      <c r="OKX2" s="42"/>
      <c r="OKY2" s="42"/>
      <c r="OKZ2" s="42"/>
      <c r="OLA2" s="42"/>
      <c r="OLB2" s="42"/>
      <c r="OLC2" s="42"/>
      <c r="OLD2" s="42"/>
      <c r="OLE2" s="42"/>
      <c r="OLF2" s="42"/>
      <c r="OLG2" s="42"/>
      <c r="OLH2" s="42"/>
      <c r="OLI2" s="42"/>
      <c r="OLJ2" s="42"/>
      <c r="OLK2" s="42"/>
      <c r="OLL2" s="42"/>
      <c r="OLM2" s="42"/>
      <c r="OLN2" s="42"/>
      <c r="OLO2" s="42"/>
      <c r="OLP2" s="42"/>
      <c r="OLQ2" s="42"/>
      <c r="OLR2" s="42"/>
      <c r="OLS2" s="42"/>
      <c r="OLT2" s="42"/>
      <c r="OLU2" s="42"/>
      <c r="OLV2" s="42"/>
      <c r="OLW2" s="42"/>
      <c r="OLX2" s="42"/>
      <c r="OLY2" s="42"/>
      <c r="OLZ2" s="42"/>
      <c r="OMA2" s="42"/>
      <c r="OMB2" s="42"/>
      <c r="OMC2" s="42"/>
      <c r="OMD2" s="42"/>
      <c r="OME2" s="42"/>
      <c r="OMF2" s="42"/>
      <c r="OMG2" s="42"/>
      <c r="OMH2" s="42"/>
      <c r="OMI2" s="42"/>
      <c r="OMJ2" s="42"/>
      <c r="OMK2" s="42"/>
      <c r="OML2" s="42"/>
      <c r="OMM2" s="42"/>
      <c r="OMN2" s="42"/>
      <c r="OMO2" s="42"/>
      <c r="OMP2" s="42"/>
      <c r="OMQ2" s="42"/>
      <c r="OMR2" s="42"/>
      <c r="OMS2" s="42"/>
      <c r="OMT2" s="42"/>
      <c r="OMU2" s="42"/>
      <c r="OMV2" s="42"/>
      <c r="OMW2" s="42"/>
      <c r="OMX2" s="42"/>
      <c r="OMY2" s="42"/>
      <c r="OMZ2" s="42"/>
      <c r="ONA2" s="42"/>
      <c r="ONB2" s="42"/>
      <c r="ONC2" s="42"/>
      <c r="OND2" s="42"/>
      <c r="ONE2" s="42"/>
      <c r="ONF2" s="42"/>
      <c r="ONG2" s="42"/>
      <c r="ONH2" s="42"/>
      <c r="ONI2" s="42"/>
      <c r="ONJ2" s="42"/>
      <c r="ONK2" s="42"/>
      <c r="ONL2" s="42"/>
      <c r="ONM2" s="42"/>
      <c r="ONN2" s="42"/>
      <c r="ONO2" s="42"/>
      <c r="ONP2" s="42"/>
      <c r="ONQ2" s="42"/>
      <c r="ONR2" s="42"/>
      <c r="ONS2" s="42"/>
      <c r="ONT2" s="42"/>
      <c r="ONU2" s="42"/>
      <c r="ONV2" s="42"/>
      <c r="ONW2" s="42"/>
      <c r="ONX2" s="42"/>
      <c r="ONY2" s="42"/>
      <c r="ONZ2" s="42"/>
      <c r="OOA2" s="42"/>
      <c r="OOB2" s="42"/>
      <c r="OOC2" s="42"/>
      <c r="OOD2" s="42"/>
      <c r="OOE2" s="42"/>
      <c r="OOF2" s="42"/>
      <c r="OOG2" s="42"/>
      <c r="OOH2" s="42"/>
      <c r="OOI2" s="42"/>
      <c r="OOJ2" s="42"/>
      <c r="OOK2" s="42"/>
      <c r="OOL2" s="42"/>
      <c r="OOM2" s="42"/>
      <c r="OON2" s="42"/>
      <c r="OOO2" s="42"/>
      <c r="OOP2" s="42"/>
      <c r="OOQ2" s="42"/>
      <c r="OOR2" s="42"/>
      <c r="OOS2" s="42"/>
      <c r="OOT2" s="42"/>
      <c r="OOU2" s="42"/>
      <c r="OOV2" s="42"/>
      <c r="OOW2" s="42"/>
      <c r="OOX2" s="42"/>
      <c r="OOY2" s="42"/>
      <c r="OOZ2" s="42"/>
      <c r="OPA2" s="42"/>
      <c r="OPB2" s="42"/>
      <c r="OPC2" s="42"/>
      <c r="OPD2" s="42"/>
      <c r="OPE2" s="42"/>
      <c r="OPF2" s="42"/>
      <c r="OPG2" s="42"/>
      <c r="OPH2" s="42"/>
      <c r="OPI2" s="42"/>
      <c r="OPJ2" s="42"/>
      <c r="OPK2" s="42"/>
      <c r="OPL2" s="42"/>
      <c r="OPM2" s="42"/>
      <c r="OPN2" s="42"/>
      <c r="OPO2" s="42"/>
      <c r="OPP2" s="42"/>
      <c r="OPQ2" s="42"/>
      <c r="OPR2" s="42"/>
      <c r="OPS2" s="42"/>
      <c r="OPT2" s="42"/>
      <c r="OPU2" s="42"/>
      <c r="OPV2" s="42"/>
      <c r="OPW2" s="42"/>
      <c r="OPX2" s="42"/>
      <c r="OPY2" s="42"/>
      <c r="OPZ2" s="42"/>
      <c r="OQA2" s="42"/>
      <c r="OQB2" s="42"/>
      <c r="OQC2" s="42"/>
      <c r="OQD2" s="42"/>
      <c r="OQE2" s="42"/>
      <c r="OQF2" s="42"/>
      <c r="OQG2" s="42"/>
      <c r="OQH2" s="42"/>
      <c r="OQI2" s="42"/>
      <c r="OQJ2" s="42"/>
      <c r="OQK2" s="42"/>
      <c r="OQL2" s="42"/>
      <c r="OQM2" s="42"/>
      <c r="OQN2" s="42"/>
      <c r="OQO2" s="42"/>
      <c r="OQP2" s="42"/>
      <c r="OQQ2" s="42"/>
      <c r="OQR2" s="42"/>
      <c r="OQS2" s="42"/>
      <c r="OQT2" s="42"/>
      <c r="OQU2" s="42"/>
      <c r="OQV2" s="42"/>
      <c r="OQW2" s="42"/>
      <c r="OQX2" s="42"/>
      <c r="OQY2" s="42"/>
      <c r="OQZ2" s="42"/>
      <c r="ORA2" s="42"/>
      <c r="ORB2" s="42"/>
      <c r="ORC2" s="42"/>
      <c r="ORD2" s="42"/>
      <c r="ORE2" s="42"/>
      <c r="ORF2" s="42"/>
      <c r="ORG2" s="42"/>
      <c r="ORH2" s="42"/>
      <c r="ORI2" s="42"/>
      <c r="ORJ2" s="42"/>
      <c r="ORK2" s="42"/>
      <c r="ORL2" s="42"/>
      <c r="ORM2" s="42"/>
      <c r="ORN2" s="42"/>
      <c r="ORO2" s="42"/>
      <c r="ORP2" s="42"/>
      <c r="ORQ2" s="42"/>
      <c r="ORR2" s="42"/>
      <c r="ORS2" s="42"/>
      <c r="ORT2" s="42"/>
      <c r="ORU2" s="42"/>
      <c r="ORV2" s="42"/>
      <c r="ORW2" s="42"/>
      <c r="ORX2" s="42"/>
      <c r="ORY2" s="42"/>
      <c r="ORZ2" s="42"/>
      <c r="OSA2" s="42"/>
      <c r="OSB2" s="42"/>
      <c r="OSC2" s="42"/>
      <c r="OSD2" s="42"/>
      <c r="OSE2" s="42"/>
      <c r="OSF2" s="42"/>
      <c r="OSG2" s="42"/>
      <c r="OSH2" s="42"/>
      <c r="OSI2" s="42"/>
      <c r="OSJ2" s="42"/>
      <c r="OSK2" s="42"/>
      <c r="OSL2" s="42"/>
      <c r="OSM2" s="42"/>
      <c r="OSN2" s="42"/>
      <c r="OSO2" s="42"/>
      <c r="OSP2" s="42"/>
      <c r="OSQ2" s="42"/>
      <c r="OSR2" s="42"/>
      <c r="OSS2" s="42"/>
      <c r="OST2" s="42"/>
      <c r="OSU2" s="42"/>
      <c r="OSV2" s="42"/>
      <c r="OSW2" s="42"/>
      <c r="OSX2" s="42"/>
      <c r="OSY2" s="42"/>
      <c r="OSZ2" s="42"/>
      <c r="OTA2" s="42"/>
      <c r="OTB2" s="42"/>
      <c r="OTC2" s="42"/>
      <c r="OTD2" s="42"/>
      <c r="OTE2" s="42"/>
      <c r="OTF2" s="42"/>
      <c r="OTG2" s="42"/>
      <c r="OTH2" s="42"/>
      <c r="OTI2" s="42"/>
      <c r="OTJ2" s="42"/>
      <c r="OTK2" s="42"/>
      <c r="OTL2" s="42"/>
      <c r="OTM2" s="42"/>
      <c r="OTN2" s="42"/>
      <c r="OTO2" s="42"/>
      <c r="OTP2" s="42"/>
      <c r="OTQ2" s="42"/>
      <c r="OTR2" s="42"/>
      <c r="OTS2" s="42"/>
      <c r="OTT2" s="42"/>
      <c r="OTU2" s="42"/>
      <c r="OTV2" s="42"/>
      <c r="OTW2" s="42"/>
      <c r="OTX2" s="42"/>
      <c r="OTY2" s="42"/>
      <c r="OTZ2" s="42"/>
      <c r="OUA2" s="42"/>
      <c r="OUB2" s="42"/>
      <c r="OUC2" s="42"/>
      <c r="OUD2" s="42"/>
      <c r="OUE2" s="42"/>
      <c r="OUF2" s="42"/>
      <c r="OUG2" s="42"/>
      <c r="OUH2" s="42"/>
      <c r="OUI2" s="42"/>
      <c r="OUJ2" s="42"/>
      <c r="OUK2" s="42"/>
      <c r="OUL2" s="42"/>
      <c r="OUM2" s="42"/>
      <c r="OUN2" s="42"/>
      <c r="OUO2" s="42"/>
      <c r="OUP2" s="42"/>
      <c r="OUQ2" s="42"/>
      <c r="OUR2" s="42"/>
      <c r="OUS2" s="42"/>
      <c r="OUT2" s="42"/>
      <c r="OUU2" s="42"/>
      <c r="OUV2" s="42"/>
      <c r="OUW2" s="42"/>
      <c r="OUX2" s="42"/>
      <c r="OUY2" s="42"/>
      <c r="OUZ2" s="42"/>
      <c r="OVA2" s="42"/>
      <c r="OVB2" s="42"/>
      <c r="OVC2" s="42"/>
      <c r="OVD2" s="42"/>
      <c r="OVE2" s="42"/>
      <c r="OVF2" s="42"/>
      <c r="OVG2" s="42"/>
      <c r="OVH2" s="42"/>
      <c r="OVI2" s="42"/>
      <c r="OVJ2" s="42"/>
      <c r="OVK2" s="42"/>
      <c r="OVL2" s="42"/>
      <c r="OVM2" s="42"/>
      <c r="OVN2" s="42"/>
      <c r="OVO2" s="42"/>
      <c r="OVP2" s="42"/>
      <c r="OVQ2" s="42"/>
      <c r="OVR2" s="42"/>
      <c r="OVS2" s="42"/>
      <c r="OVT2" s="42"/>
      <c r="OVU2" s="42"/>
      <c r="OVV2" s="42"/>
      <c r="OVW2" s="42"/>
      <c r="OVX2" s="42"/>
      <c r="OVY2" s="42"/>
      <c r="OVZ2" s="42"/>
      <c r="OWA2" s="42"/>
      <c r="OWB2" s="42"/>
      <c r="OWC2" s="42"/>
      <c r="OWD2" s="42"/>
      <c r="OWE2" s="42"/>
      <c r="OWF2" s="42"/>
      <c r="OWG2" s="42"/>
      <c r="OWH2" s="42"/>
      <c r="OWI2" s="42"/>
      <c r="OWJ2" s="42"/>
      <c r="OWK2" s="42"/>
      <c r="OWL2" s="42"/>
      <c r="OWM2" s="42"/>
      <c r="OWN2" s="42"/>
      <c r="OWO2" s="42"/>
      <c r="OWP2" s="42"/>
      <c r="OWQ2" s="42"/>
      <c r="OWR2" s="42"/>
      <c r="OWS2" s="42"/>
      <c r="OWT2" s="42"/>
      <c r="OWU2" s="42"/>
      <c r="OWV2" s="42"/>
      <c r="OWW2" s="42"/>
      <c r="OWX2" s="42"/>
      <c r="OWY2" s="42"/>
      <c r="OWZ2" s="42"/>
      <c r="OXA2" s="42"/>
      <c r="OXB2" s="42"/>
      <c r="OXC2" s="42"/>
      <c r="OXD2" s="42"/>
      <c r="OXE2" s="42"/>
      <c r="OXF2" s="42"/>
      <c r="OXG2" s="42"/>
      <c r="OXH2" s="42"/>
      <c r="OXI2" s="42"/>
      <c r="OXJ2" s="42"/>
      <c r="OXK2" s="42"/>
      <c r="OXL2" s="42"/>
      <c r="OXM2" s="42"/>
      <c r="OXN2" s="42"/>
      <c r="OXO2" s="42"/>
      <c r="OXP2" s="42"/>
      <c r="OXQ2" s="42"/>
      <c r="OXR2" s="42"/>
      <c r="OXS2" s="42"/>
      <c r="OXT2" s="42"/>
      <c r="OXU2" s="42"/>
      <c r="OXV2" s="42"/>
      <c r="OXW2" s="42"/>
      <c r="OXX2" s="42"/>
      <c r="OXY2" s="42"/>
      <c r="OXZ2" s="42"/>
      <c r="OYA2" s="42"/>
      <c r="OYB2" s="42"/>
      <c r="OYC2" s="42"/>
      <c r="OYD2" s="42"/>
      <c r="OYE2" s="42"/>
      <c r="OYF2" s="42"/>
      <c r="OYG2" s="42"/>
      <c r="OYH2" s="42"/>
      <c r="OYI2" s="42"/>
      <c r="OYJ2" s="42"/>
      <c r="OYK2" s="42"/>
      <c r="OYL2" s="42"/>
      <c r="OYM2" s="42"/>
      <c r="OYN2" s="42"/>
      <c r="OYO2" s="42"/>
      <c r="OYP2" s="42"/>
      <c r="OYQ2" s="42"/>
      <c r="OYR2" s="42"/>
      <c r="OYS2" s="42"/>
      <c r="OYT2" s="42"/>
      <c r="OYU2" s="42"/>
      <c r="OYV2" s="42"/>
      <c r="OYW2" s="42"/>
      <c r="OYX2" s="42"/>
      <c r="OYY2" s="42"/>
      <c r="OYZ2" s="42"/>
      <c r="OZA2" s="42"/>
      <c r="OZB2" s="42"/>
      <c r="OZC2" s="42"/>
      <c r="OZD2" s="42"/>
      <c r="OZE2" s="42"/>
      <c r="OZF2" s="42"/>
      <c r="OZG2" s="42"/>
      <c r="OZH2" s="42"/>
      <c r="OZI2" s="42"/>
      <c r="OZJ2" s="42"/>
      <c r="OZK2" s="42"/>
      <c r="OZL2" s="42"/>
      <c r="OZM2" s="42"/>
      <c r="OZN2" s="42"/>
      <c r="OZO2" s="42"/>
      <c r="OZP2" s="42"/>
      <c r="OZQ2" s="42"/>
      <c r="OZR2" s="42"/>
      <c r="OZS2" s="42"/>
      <c r="OZT2" s="42"/>
      <c r="OZU2" s="42"/>
      <c r="OZV2" s="42"/>
      <c r="OZW2" s="42"/>
      <c r="OZX2" s="42"/>
      <c r="OZY2" s="42"/>
      <c r="OZZ2" s="42"/>
      <c r="PAA2" s="42"/>
      <c r="PAB2" s="42"/>
      <c r="PAC2" s="42"/>
      <c r="PAD2" s="42"/>
      <c r="PAE2" s="42"/>
      <c r="PAF2" s="42"/>
      <c r="PAG2" s="42"/>
      <c r="PAH2" s="42"/>
      <c r="PAI2" s="42"/>
      <c r="PAJ2" s="42"/>
      <c r="PAK2" s="42"/>
      <c r="PAL2" s="42"/>
      <c r="PAM2" s="42"/>
      <c r="PAN2" s="42"/>
      <c r="PAO2" s="42"/>
      <c r="PAP2" s="42"/>
      <c r="PAQ2" s="42"/>
      <c r="PAR2" s="42"/>
      <c r="PAS2" s="42"/>
      <c r="PAT2" s="42"/>
      <c r="PAU2" s="42"/>
      <c r="PAV2" s="42"/>
      <c r="PAW2" s="42"/>
      <c r="PAX2" s="42"/>
      <c r="PAY2" s="42"/>
      <c r="PAZ2" s="42"/>
      <c r="PBA2" s="42"/>
      <c r="PBB2" s="42"/>
      <c r="PBC2" s="42"/>
      <c r="PBD2" s="42"/>
      <c r="PBE2" s="42"/>
      <c r="PBF2" s="42"/>
      <c r="PBG2" s="42"/>
      <c r="PBH2" s="42"/>
      <c r="PBI2" s="42"/>
      <c r="PBJ2" s="42"/>
      <c r="PBK2" s="42"/>
      <c r="PBL2" s="42"/>
      <c r="PBM2" s="42"/>
      <c r="PBN2" s="42"/>
      <c r="PBO2" s="42"/>
      <c r="PBP2" s="42"/>
      <c r="PBQ2" s="42"/>
      <c r="PBR2" s="42"/>
      <c r="PBS2" s="42"/>
      <c r="PBT2" s="42"/>
      <c r="PBU2" s="42"/>
      <c r="PBV2" s="42"/>
      <c r="PBW2" s="42"/>
      <c r="PBX2" s="42"/>
      <c r="PBY2" s="42"/>
      <c r="PBZ2" s="42"/>
      <c r="PCA2" s="42"/>
      <c r="PCB2" s="42"/>
      <c r="PCC2" s="42"/>
      <c r="PCD2" s="42"/>
      <c r="PCE2" s="42"/>
      <c r="PCF2" s="42"/>
      <c r="PCG2" s="42"/>
      <c r="PCH2" s="42"/>
      <c r="PCI2" s="42"/>
      <c r="PCJ2" s="42"/>
      <c r="PCK2" s="42"/>
      <c r="PCL2" s="42"/>
      <c r="PCM2" s="42"/>
      <c r="PCN2" s="42"/>
      <c r="PCO2" s="42"/>
      <c r="PCP2" s="42"/>
      <c r="PCQ2" s="42"/>
      <c r="PCR2" s="42"/>
      <c r="PCS2" s="42"/>
      <c r="PCT2" s="42"/>
      <c r="PCU2" s="42"/>
      <c r="PCV2" s="42"/>
      <c r="PCW2" s="42"/>
      <c r="PCX2" s="42"/>
      <c r="PCY2" s="42"/>
      <c r="PCZ2" s="42"/>
      <c r="PDA2" s="42"/>
      <c r="PDB2" s="42"/>
      <c r="PDC2" s="42"/>
      <c r="PDD2" s="42"/>
      <c r="PDE2" s="42"/>
      <c r="PDF2" s="42"/>
      <c r="PDG2" s="42"/>
      <c r="PDH2" s="42"/>
      <c r="PDI2" s="42"/>
      <c r="PDJ2" s="42"/>
      <c r="PDK2" s="42"/>
      <c r="PDL2" s="42"/>
      <c r="PDM2" s="42"/>
      <c r="PDN2" s="42"/>
      <c r="PDO2" s="42"/>
      <c r="PDP2" s="42"/>
      <c r="PDQ2" s="42"/>
      <c r="PDR2" s="42"/>
      <c r="PDS2" s="42"/>
      <c r="PDT2" s="42"/>
      <c r="PDU2" s="42"/>
      <c r="PDV2" s="42"/>
      <c r="PDW2" s="42"/>
      <c r="PDX2" s="42"/>
      <c r="PDY2" s="42"/>
      <c r="PDZ2" s="42"/>
      <c r="PEA2" s="42"/>
      <c r="PEB2" s="42"/>
      <c r="PEC2" s="42"/>
      <c r="PED2" s="42"/>
      <c r="PEE2" s="42"/>
      <c r="PEF2" s="42"/>
      <c r="PEG2" s="42"/>
      <c r="PEH2" s="42"/>
      <c r="PEI2" s="42"/>
      <c r="PEJ2" s="42"/>
      <c r="PEK2" s="42"/>
      <c r="PEL2" s="42"/>
      <c r="PEM2" s="42"/>
      <c r="PEN2" s="42"/>
      <c r="PEO2" s="42"/>
      <c r="PEP2" s="42"/>
      <c r="PEQ2" s="42"/>
      <c r="PER2" s="42"/>
      <c r="PES2" s="42"/>
      <c r="PET2" s="42"/>
      <c r="PEU2" s="42"/>
      <c r="PEV2" s="42"/>
      <c r="PEW2" s="42"/>
      <c r="PEX2" s="42"/>
      <c r="PEY2" s="42"/>
      <c r="PEZ2" s="42"/>
      <c r="PFA2" s="42"/>
      <c r="PFB2" s="42"/>
      <c r="PFC2" s="42"/>
      <c r="PFD2" s="42"/>
      <c r="PFE2" s="42"/>
      <c r="PFF2" s="42"/>
      <c r="PFG2" s="42"/>
      <c r="PFH2" s="42"/>
      <c r="PFI2" s="42"/>
      <c r="PFJ2" s="42"/>
      <c r="PFK2" s="42"/>
      <c r="PFL2" s="42"/>
      <c r="PFM2" s="42"/>
      <c r="PFN2" s="42"/>
      <c r="PFO2" s="42"/>
      <c r="PFP2" s="42"/>
      <c r="PFQ2" s="42"/>
      <c r="PFR2" s="42"/>
      <c r="PFS2" s="42"/>
      <c r="PFT2" s="42"/>
      <c r="PFU2" s="42"/>
      <c r="PFV2" s="42"/>
      <c r="PFW2" s="42"/>
      <c r="PFX2" s="42"/>
      <c r="PFY2" s="42"/>
      <c r="PFZ2" s="42"/>
      <c r="PGA2" s="42"/>
      <c r="PGB2" s="42"/>
      <c r="PGC2" s="42"/>
      <c r="PGD2" s="42"/>
      <c r="PGE2" s="42"/>
      <c r="PGF2" s="42"/>
      <c r="PGG2" s="42"/>
      <c r="PGH2" s="42"/>
      <c r="PGI2" s="42"/>
      <c r="PGJ2" s="42"/>
      <c r="PGK2" s="42"/>
      <c r="PGL2" s="42"/>
      <c r="PGM2" s="42"/>
      <c r="PGN2" s="42"/>
      <c r="PGO2" s="42"/>
      <c r="PGP2" s="42"/>
      <c r="PGQ2" s="42"/>
      <c r="PGR2" s="42"/>
      <c r="PGS2" s="42"/>
      <c r="PGT2" s="42"/>
      <c r="PGU2" s="42"/>
      <c r="PGV2" s="42"/>
      <c r="PGW2" s="42"/>
      <c r="PGX2" s="42"/>
      <c r="PGY2" s="42"/>
      <c r="PGZ2" s="42"/>
      <c r="PHA2" s="42"/>
      <c r="PHB2" s="42"/>
      <c r="PHC2" s="42"/>
      <c r="PHD2" s="42"/>
      <c r="PHE2" s="42"/>
      <c r="PHF2" s="42"/>
      <c r="PHG2" s="42"/>
      <c r="PHH2" s="42"/>
      <c r="PHI2" s="42"/>
      <c r="PHJ2" s="42"/>
      <c r="PHK2" s="42"/>
      <c r="PHL2" s="42"/>
      <c r="PHM2" s="42"/>
      <c r="PHN2" s="42"/>
      <c r="PHO2" s="42"/>
      <c r="PHP2" s="42"/>
      <c r="PHQ2" s="42"/>
      <c r="PHR2" s="42"/>
      <c r="PHS2" s="42"/>
      <c r="PHT2" s="42"/>
      <c r="PHU2" s="42"/>
      <c r="PHV2" s="42"/>
      <c r="PHW2" s="42"/>
      <c r="PHX2" s="42"/>
      <c r="PHY2" s="42"/>
      <c r="PHZ2" s="42"/>
      <c r="PIA2" s="42"/>
      <c r="PIB2" s="42"/>
      <c r="PIC2" s="42"/>
      <c r="PID2" s="42"/>
      <c r="PIE2" s="42"/>
      <c r="PIF2" s="42"/>
      <c r="PIG2" s="42"/>
      <c r="PIH2" s="42"/>
      <c r="PII2" s="42"/>
      <c r="PIJ2" s="42"/>
      <c r="PIK2" s="42"/>
      <c r="PIL2" s="42"/>
      <c r="PIM2" s="42"/>
      <c r="PIN2" s="42"/>
      <c r="PIO2" s="42"/>
      <c r="PIP2" s="42"/>
      <c r="PIQ2" s="42"/>
      <c r="PIR2" s="42"/>
      <c r="PIS2" s="42"/>
      <c r="PIT2" s="42"/>
      <c r="PIU2" s="42"/>
      <c r="PIV2" s="42"/>
      <c r="PIW2" s="42"/>
      <c r="PIX2" s="42"/>
      <c r="PIY2" s="42"/>
      <c r="PIZ2" s="42"/>
      <c r="PJA2" s="42"/>
      <c r="PJB2" s="42"/>
      <c r="PJC2" s="42"/>
      <c r="PJD2" s="42"/>
      <c r="PJE2" s="42"/>
      <c r="PJF2" s="42"/>
      <c r="PJG2" s="42"/>
      <c r="PJH2" s="42"/>
      <c r="PJI2" s="42"/>
      <c r="PJJ2" s="42"/>
      <c r="PJK2" s="42"/>
      <c r="PJL2" s="42"/>
      <c r="PJM2" s="42"/>
      <c r="PJN2" s="42"/>
      <c r="PJO2" s="42"/>
      <c r="PJP2" s="42"/>
      <c r="PJQ2" s="42"/>
      <c r="PJR2" s="42"/>
      <c r="PJS2" s="42"/>
      <c r="PJT2" s="42"/>
      <c r="PJU2" s="42"/>
      <c r="PJV2" s="42"/>
      <c r="PJW2" s="42"/>
      <c r="PJX2" s="42"/>
      <c r="PJY2" s="42"/>
      <c r="PJZ2" s="42"/>
      <c r="PKA2" s="42"/>
      <c r="PKB2" s="42"/>
      <c r="PKC2" s="42"/>
      <c r="PKD2" s="42"/>
      <c r="PKE2" s="42"/>
      <c r="PKF2" s="42"/>
      <c r="PKG2" s="42"/>
      <c r="PKH2" s="42"/>
      <c r="PKI2" s="42"/>
      <c r="PKJ2" s="42"/>
      <c r="PKK2" s="42"/>
      <c r="PKL2" s="42"/>
      <c r="PKM2" s="42"/>
      <c r="PKN2" s="42"/>
      <c r="PKO2" s="42"/>
      <c r="PKP2" s="42"/>
      <c r="PKQ2" s="42"/>
      <c r="PKR2" s="42"/>
      <c r="PKS2" s="42"/>
      <c r="PKT2" s="42"/>
      <c r="PKU2" s="42"/>
      <c r="PKV2" s="42"/>
      <c r="PKW2" s="42"/>
      <c r="PKX2" s="42"/>
      <c r="PKY2" s="42"/>
      <c r="PKZ2" s="42"/>
      <c r="PLA2" s="42"/>
      <c r="PLB2" s="42"/>
      <c r="PLC2" s="42"/>
      <c r="PLD2" s="42"/>
      <c r="PLE2" s="42"/>
      <c r="PLF2" s="42"/>
      <c r="PLG2" s="42"/>
      <c r="PLH2" s="42"/>
      <c r="PLI2" s="42"/>
      <c r="PLJ2" s="42"/>
      <c r="PLK2" s="42"/>
      <c r="PLL2" s="42"/>
      <c r="PLM2" s="42"/>
      <c r="PLN2" s="42"/>
      <c r="PLO2" s="42"/>
      <c r="PLP2" s="42"/>
      <c r="PLQ2" s="42"/>
      <c r="PLR2" s="42"/>
      <c r="PLS2" s="42"/>
      <c r="PLT2" s="42"/>
      <c r="PLU2" s="42"/>
      <c r="PLV2" s="42"/>
      <c r="PLW2" s="42"/>
      <c r="PLX2" s="42"/>
      <c r="PLY2" s="42"/>
      <c r="PLZ2" s="42"/>
      <c r="PMA2" s="42"/>
      <c r="PMB2" s="42"/>
      <c r="PMC2" s="42"/>
      <c r="PMD2" s="42"/>
      <c r="PME2" s="42"/>
      <c r="PMF2" s="42"/>
      <c r="PMG2" s="42"/>
      <c r="PMH2" s="42"/>
      <c r="PMI2" s="42"/>
      <c r="PMJ2" s="42"/>
      <c r="PMK2" s="42"/>
      <c r="PML2" s="42"/>
      <c r="PMM2" s="42"/>
      <c r="PMN2" s="42"/>
      <c r="PMO2" s="42"/>
      <c r="PMP2" s="42"/>
      <c r="PMQ2" s="42"/>
      <c r="PMR2" s="42"/>
      <c r="PMS2" s="42"/>
      <c r="PMT2" s="42"/>
      <c r="PMU2" s="42"/>
      <c r="PMV2" s="42"/>
      <c r="PMW2" s="42"/>
      <c r="PMX2" s="42"/>
      <c r="PMY2" s="42"/>
      <c r="PMZ2" s="42"/>
      <c r="PNA2" s="42"/>
      <c r="PNB2" s="42"/>
      <c r="PNC2" s="42"/>
      <c r="PND2" s="42"/>
      <c r="PNE2" s="42"/>
      <c r="PNF2" s="42"/>
      <c r="PNG2" s="42"/>
      <c r="PNH2" s="42"/>
      <c r="PNI2" s="42"/>
      <c r="PNJ2" s="42"/>
      <c r="PNK2" s="42"/>
      <c r="PNL2" s="42"/>
      <c r="PNM2" s="42"/>
      <c r="PNN2" s="42"/>
      <c r="PNO2" s="42"/>
      <c r="PNP2" s="42"/>
      <c r="PNQ2" s="42"/>
      <c r="PNR2" s="42"/>
      <c r="PNS2" s="42"/>
      <c r="PNT2" s="42"/>
      <c r="PNU2" s="42"/>
      <c r="PNV2" s="42"/>
      <c r="PNW2" s="42"/>
      <c r="PNX2" s="42"/>
      <c r="PNY2" s="42"/>
      <c r="PNZ2" s="42"/>
      <c r="POA2" s="42"/>
      <c r="POB2" s="42"/>
      <c r="POC2" s="42"/>
      <c r="POD2" s="42"/>
      <c r="POE2" s="42"/>
      <c r="POF2" s="42"/>
      <c r="POG2" s="42"/>
      <c r="POH2" s="42"/>
      <c r="POI2" s="42"/>
      <c r="POJ2" s="42"/>
      <c r="POK2" s="42"/>
      <c r="POL2" s="42"/>
      <c r="POM2" s="42"/>
      <c r="PON2" s="42"/>
      <c r="POO2" s="42"/>
      <c r="POP2" s="42"/>
      <c r="POQ2" s="42"/>
      <c r="POR2" s="42"/>
      <c r="POS2" s="42"/>
      <c r="POT2" s="42"/>
      <c r="POU2" s="42"/>
      <c r="POV2" s="42"/>
      <c r="POW2" s="42"/>
      <c r="POX2" s="42"/>
      <c r="POY2" s="42"/>
      <c r="POZ2" s="42"/>
      <c r="PPA2" s="42"/>
      <c r="PPB2" s="42"/>
      <c r="PPC2" s="42"/>
      <c r="PPD2" s="42"/>
      <c r="PPE2" s="42"/>
      <c r="PPF2" s="42"/>
      <c r="PPG2" s="42"/>
      <c r="PPH2" s="42"/>
      <c r="PPI2" s="42"/>
      <c r="PPJ2" s="42"/>
      <c r="PPK2" s="42"/>
      <c r="PPL2" s="42"/>
      <c r="PPM2" s="42"/>
      <c r="PPN2" s="42"/>
      <c r="PPO2" s="42"/>
      <c r="PPP2" s="42"/>
      <c r="PPQ2" s="42"/>
      <c r="PPR2" s="42"/>
      <c r="PPS2" s="42"/>
      <c r="PPT2" s="42"/>
      <c r="PPU2" s="42"/>
      <c r="PPV2" s="42"/>
      <c r="PPW2" s="42"/>
      <c r="PPX2" s="42"/>
      <c r="PPY2" s="42"/>
      <c r="PPZ2" s="42"/>
      <c r="PQA2" s="42"/>
      <c r="PQB2" s="42"/>
      <c r="PQC2" s="42"/>
      <c r="PQD2" s="42"/>
      <c r="PQE2" s="42"/>
      <c r="PQF2" s="42"/>
      <c r="PQG2" s="42"/>
      <c r="PQH2" s="42"/>
      <c r="PQI2" s="42"/>
      <c r="PQJ2" s="42"/>
      <c r="PQK2" s="42"/>
      <c r="PQL2" s="42"/>
      <c r="PQM2" s="42"/>
      <c r="PQN2" s="42"/>
      <c r="PQO2" s="42"/>
      <c r="PQP2" s="42"/>
      <c r="PQQ2" s="42"/>
      <c r="PQR2" s="42"/>
      <c r="PQS2" s="42"/>
      <c r="PQT2" s="42"/>
      <c r="PQU2" s="42"/>
      <c r="PQV2" s="42"/>
      <c r="PQW2" s="42"/>
      <c r="PQX2" s="42"/>
      <c r="PQY2" s="42"/>
      <c r="PQZ2" s="42"/>
      <c r="PRA2" s="42"/>
      <c r="PRB2" s="42"/>
      <c r="PRC2" s="42"/>
      <c r="PRD2" s="42"/>
      <c r="PRE2" s="42"/>
      <c r="PRF2" s="42"/>
      <c r="PRG2" s="42"/>
      <c r="PRH2" s="42"/>
      <c r="PRI2" s="42"/>
      <c r="PRJ2" s="42"/>
      <c r="PRK2" s="42"/>
      <c r="PRL2" s="42"/>
      <c r="PRM2" s="42"/>
      <c r="PRN2" s="42"/>
      <c r="PRO2" s="42"/>
      <c r="PRP2" s="42"/>
      <c r="PRQ2" s="42"/>
      <c r="PRR2" s="42"/>
      <c r="PRS2" s="42"/>
      <c r="PRT2" s="42"/>
      <c r="PRU2" s="42"/>
      <c r="PRV2" s="42"/>
      <c r="PRW2" s="42"/>
      <c r="PRX2" s="42"/>
      <c r="PRY2" s="42"/>
      <c r="PRZ2" s="42"/>
      <c r="PSA2" s="42"/>
      <c r="PSB2" s="42"/>
      <c r="PSC2" s="42"/>
      <c r="PSD2" s="42"/>
      <c r="PSE2" s="42"/>
      <c r="PSF2" s="42"/>
      <c r="PSG2" s="42"/>
      <c r="PSH2" s="42"/>
      <c r="PSI2" s="42"/>
      <c r="PSJ2" s="42"/>
      <c r="PSK2" s="42"/>
      <c r="PSL2" s="42"/>
      <c r="PSM2" s="42"/>
      <c r="PSN2" s="42"/>
      <c r="PSO2" s="42"/>
      <c r="PSP2" s="42"/>
      <c r="PSQ2" s="42"/>
      <c r="PSR2" s="42"/>
      <c r="PSS2" s="42"/>
      <c r="PST2" s="42"/>
      <c r="PSU2" s="42"/>
      <c r="PSV2" s="42"/>
      <c r="PSW2" s="42"/>
      <c r="PSX2" s="42"/>
      <c r="PSY2" s="42"/>
      <c r="PSZ2" s="42"/>
      <c r="PTA2" s="42"/>
      <c r="PTB2" s="42"/>
      <c r="PTC2" s="42"/>
      <c r="PTD2" s="42"/>
      <c r="PTE2" s="42"/>
      <c r="PTF2" s="42"/>
      <c r="PTG2" s="42"/>
      <c r="PTH2" s="42"/>
      <c r="PTI2" s="42"/>
      <c r="PTJ2" s="42"/>
      <c r="PTK2" s="42"/>
      <c r="PTL2" s="42"/>
      <c r="PTM2" s="42"/>
      <c r="PTN2" s="42"/>
      <c r="PTO2" s="42"/>
      <c r="PTP2" s="42"/>
      <c r="PTQ2" s="42"/>
      <c r="PTR2" s="42"/>
      <c r="PTS2" s="42"/>
      <c r="PTT2" s="42"/>
      <c r="PTU2" s="42"/>
      <c r="PTV2" s="42"/>
      <c r="PTW2" s="42"/>
      <c r="PTX2" s="42"/>
      <c r="PTY2" s="42"/>
      <c r="PTZ2" s="42"/>
      <c r="PUA2" s="42"/>
      <c r="PUB2" s="42"/>
      <c r="PUC2" s="42"/>
      <c r="PUD2" s="42"/>
      <c r="PUE2" s="42"/>
      <c r="PUF2" s="42"/>
      <c r="PUG2" s="42"/>
      <c r="PUH2" s="42"/>
      <c r="PUI2" s="42"/>
      <c r="PUJ2" s="42"/>
      <c r="PUK2" s="42"/>
      <c r="PUL2" s="42"/>
      <c r="PUM2" s="42"/>
      <c r="PUN2" s="42"/>
      <c r="PUO2" s="42"/>
      <c r="PUP2" s="42"/>
      <c r="PUQ2" s="42"/>
      <c r="PUR2" s="42"/>
      <c r="PUS2" s="42"/>
      <c r="PUT2" s="42"/>
      <c r="PUU2" s="42"/>
      <c r="PUV2" s="42"/>
      <c r="PUW2" s="42"/>
      <c r="PUX2" s="42"/>
      <c r="PUY2" s="42"/>
      <c r="PUZ2" s="42"/>
      <c r="PVA2" s="42"/>
      <c r="PVB2" s="42"/>
      <c r="PVC2" s="42"/>
      <c r="PVD2" s="42"/>
      <c r="PVE2" s="42"/>
      <c r="PVF2" s="42"/>
      <c r="PVG2" s="42"/>
      <c r="PVH2" s="42"/>
      <c r="PVI2" s="42"/>
      <c r="PVJ2" s="42"/>
      <c r="PVK2" s="42"/>
      <c r="PVL2" s="42"/>
      <c r="PVM2" s="42"/>
      <c r="PVN2" s="42"/>
      <c r="PVO2" s="42"/>
      <c r="PVP2" s="42"/>
      <c r="PVQ2" s="42"/>
      <c r="PVR2" s="42"/>
      <c r="PVS2" s="42"/>
      <c r="PVT2" s="42"/>
      <c r="PVU2" s="42"/>
      <c r="PVV2" s="42"/>
      <c r="PVW2" s="42"/>
      <c r="PVX2" s="42"/>
      <c r="PVY2" s="42"/>
      <c r="PVZ2" s="42"/>
      <c r="PWA2" s="42"/>
      <c r="PWB2" s="42"/>
      <c r="PWC2" s="42"/>
      <c r="PWD2" s="42"/>
      <c r="PWE2" s="42"/>
      <c r="PWF2" s="42"/>
      <c r="PWG2" s="42"/>
      <c r="PWH2" s="42"/>
      <c r="PWI2" s="42"/>
      <c r="PWJ2" s="42"/>
      <c r="PWK2" s="42"/>
      <c r="PWL2" s="42"/>
      <c r="PWM2" s="42"/>
      <c r="PWN2" s="42"/>
      <c r="PWO2" s="42"/>
      <c r="PWP2" s="42"/>
      <c r="PWQ2" s="42"/>
      <c r="PWR2" s="42"/>
      <c r="PWS2" s="42"/>
      <c r="PWT2" s="42"/>
      <c r="PWU2" s="42"/>
      <c r="PWV2" s="42"/>
      <c r="PWW2" s="42"/>
      <c r="PWX2" s="42"/>
      <c r="PWY2" s="42"/>
      <c r="PWZ2" s="42"/>
      <c r="PXA2" s="42"/>
      <c r="PXB2" s="42"/>
      <c r="PXC2" s="42"/>
      <c r="PXD2" s="42"/>
      <c r="PXE2" s="42"/>
      <c r="PXF2" s="42"/>
      <c r="PXG2" s="42"/>
      <c r="PXH2" s="42"/>
      <c r="PXI2" s="42"/>
      <c r="PXJ2" s="42"/>
      <c r="PXK2" s="42"/>
      <c r="PXL2" s="42"/>
      <c r="PXM2" s="42"/>
      <c r="PXN2" s="42"/>
      <c r="PXO2" s="42"/>
      <c r="PXP2" s="42"/>
      <c r="PXQ2" s="42"/>
      <c r="PXR2" s="42"/>
      <c r="PXS2" s="42"/>
      <c r="PXT2" s="42"/>
      <c r="PXU2" s="42"/>
      <c r="PXV2" s="42"/>
      <c r="PXW2" s="42"/>
      <c r="PXX2" s="42"/>
      <c r="PXY2" s="42"/>
      <c r="PXZ2" s="42"/>
      <c r="PYA2" s="42"/>
      <c r="PYB2" s="42"/>
      <c r="PYC2" s="42"/>
      <c r="PYD2" s="42"/>
      <c r="PYE2" s="42"/>
      <c r="PYF2" s="42"/>
      <c r="PYG2" s="42"/>
      <c r="PYH2" s="42"/>
      <c r="PYI2" s="42"/>
      <c r="PYJ2" s="42"/>
      <c r="PYK2" s="42"/>
      <c r="PYL2" s="42"/>
      <c r="PYM2" s="42"/>
      <c r="PYN2" s="42"/>
      <c r="PYO2" s="42"/>
      <c r="PYP2" s="42"/>
      <c r="PYQ2" s="42"/>
      <c r="PYR2" s="42"/>
      <c r="PYS2" s="42"/>
      <c r="PYT2" s="42"/>
      <c r="PYU2" s="42"/>
      <c r="PYV2" s="42"/>
      <c r="PYW2" s="42"/>
      <c r="PYX2" s="42"/>
      <c r="PYY2" s="42"/>
      <c r="PYZ2" s="42"/>
      <c r="PZA2" s="42"/>
      <c r="PZB2" s="42"/>
      <c r="PZC2" s="42"/>
      <c r="PZD2" s="42"/>
      <c r="PZE2" s="42"/>
      <c r="PZF2" s="42"/>
      <c r="PZG2" s="42"/>
      <c r="PZH2" s="42"/>
      <c r="PZI2" s="42"/>
      <c r="PZJ2" s="42"/>
      <c r="PZK2" s="42"/>
      <c r="PZL2" s="42"/>
      <c r="PZM2" s="42"/>
      <c r="PZN2" s="42"/>
      <c r="PZO2" s="42"/>
      <c r="PZP2" s="42"/>
      <c r="PZQ2" s="42"/>
      <c r="PZR2" s="42"/>
      <c r="PZS2" s="42"/>
      <c r="PZT2" s="42"/>
      <c r="PZU2" s="42"/>
      <c r="PZV2" s="42"/>
      <c r="PZW2" s="42"/>
      <c r="PZX2" s="42"/>
      <c r="PZY2" s="42"/>
      <c r="PZZ2" s="42"/>
      <c r="QAA2" s="42"/>
      <c r="QAB2" s="42"/>
      <c r="QAC2" s="42"/>
      <c r="QAD2" s="42"/>
      <c r="QAE2" s="42"/>
      <c r="QAF2" s="42"/>
      <c r="QAG2" s="42"/>
      <c r="QAH2" s="42"/>
      <c r="QAI2" s="42"/>
      <c r="QAJ2" s="42"/>
      <c r="QAK2" s="42"/>
      <c r="QAL2" s="42"/>
      <c r="QAM2" s="42"/>
      <c r="QAN2" s="42"/>
      <c r="QAO2" s="42"/>
      <c r="QAP2" s="42"/>
      <c r="QAQ2" s="42"/>
      <c r="QAR2" s="42"/>
      <c r="QAS2" s="42"/>
      <c r="QAT2" s="42"/>
      <c r="QAU2" s="42"/>
      <c r="QAV2" s="42"/>
      <c r="QAW2" s="42"/>
      <c r="QAX2" s="42"/>
      <c r="QAY2" s="42"/>
      <c r="QAZ2" s="42"/>
      <c r="QBA2" s="42"/>
      <c r="QBB2" s="42"/>
      <c r="QBC2" s="42"/>
      <c r="QBD2" s="42"/>
      <c r="QBE2" s="42"/>
      <c r="QBF2" s="42"/>
      <c r="QBG2" s="42"/>
      <c r="QBH2" s="42"/>
      <c r="QBI2" s="42"/>
      <c r="QBJ2" s="42"/>
      <c r="QBK2" s="42"/>
      <c r="QBL2" s="42"/>
      <c r="QBM2" s="42"/>
      <c r="QBN2" s="42"/>
      <c r="QBO2" s="42"/>
      <c r="QBP2" s="42"/>
      <c r="QBQ2" s="42"/>
      <c r="QBR2" s="42"/>
      <c r="QBS2" s="42"/>
      <c r="QBT2" s="42"/>
      <c r="QBU2" s="42"/>
      <c r="QBV2" s="42"/>
      <c r="QBW2" s="42"/>
      <c r="QBX2" s="42"/>
      <c r="QBY2" s="42"/>
      <c r="QBZ2" s="42"/>
      <c r="QCA2" s="42"/>
      <c r="QCB2" s="42"/>
      <c r="QCC2" s="42"/>
      <c r="QCD2" s="42"/>
      <c r="QCE2" s="42"/>
      <c r="QCF2" s="42"/>
      <c r="QCG2" s="42"/>
      <c r="QCH2" s="42"/>
      <c r="QCI2" s="42"/>
      <c r="QCJ2" s="42"/>
      <c r="QCK2" s="42"/>
      <c r="QCL2" s="42"/>
      <c r="QCM2" s="42"/>
      <c r="QCN2" s="42"/>
      <c r="QCO2" s="42"/>
      <c r="QCP2" s="42"/>
      <c r="QCQ2" s="42"/>
      <c r="QCR2" s="42"/>
      <c r="QCS2" s="42"/>
      <c r="QCT2" s="42"/>
      <c r="QCU2" s="42"/>
      <c r="QCV2" s="42"/>
      <c r="QCW2" s="42"/>
      <c r="QCX2" s="42"/>
      <c r="QCY2" s="42"/>
      <c r="QCZ2" s="42"/>
      <c r="QDA2" s="42"/>
      <c r="QDB2" s="42"/>
      <c r="QDC2" s="42"/>
      <c r="QDD2" s="42"/>
      <c r="QDE2" s="42"/>
      <c r="QDF2" s="42"/>
      <c r="QDG2" s="42"/>
      <c r="QDH2" s="42"/>
      <c r="QDI2" s="42"/>
      <c r="QDJ2" s="42"/>
      <c r="QDK2" s="42"/>
      <c r="QDL2" s="42"/>
      <c r="QDM2" s="42"/>
      <c r="QDN2" s="42"/>
      <c r="QDO2" s="42"/>
      <c r="QDP2" s="42"/>
      <c r="QDQ2" s="42"/>
      <c r="QDR2" s="42"/>
      <c r="QDS2" s="42"/>
      <c r="QDT2" s="42"/>
      <c r="QDU2" s="42"/>
      <c r="QDV2" s="42"/>
      <c r="QDW2" s="42"/>
      <c r="QDX2" s="42"/>
      <c r="QDY2" s="42"/>
      <c r="QDZ2" s="42"/>
      <c r="QEA2" s="42"/>
      <c r="QEB2" s="42"/>
      <c r="QEC2" s="42"/>
      <c r="QED2" s="42"/>
      <c r="QEE2" s="42"/>
      <c r="QEF2" s="42"/>
      <c r="QEG2" s="42"/>
      <c r="QEH2" s="42"/>
      <c r="QEI2" s="42"/>
      <c r="QEJ2" s="42"/>
      <c r="QEK2" s="42"/>
      <c r="QEL2" s="42"/>
      <c r="QEM2" s="42"/>
      <c r="QEN2" s="42"/>
      <c r="QEO2" s="42"/>
      <c r="QEP2" s="42"/>
      <c r="QEQ2" s="42"/>
      <c r="QER2" s="42"/>
      <c r="QES2" s="42"/>
      <c r="QET2" s="42"/>
      <c r="QEU2" s="42"/>
      <c r="QEV2" s="42"/>
      <c r="QEW2" s="42"/>
      <c r="QEX2" s="42"/>
      <c r="QEY2" s="42"/>
      <c r="QEZ2" s="42"/>
      <c r="QFA2" s="42"/>
      <c r="QFB2" s="42"/>
      <c r="QFC2" s="42"/>
      <c r="QFD2" s="42"/>
      <c r="QFE2" s="42"/>
      <c r="QFF2" s="42"/>
      <c r="QFG2" s="42"/>
      <c r="QFH2" s="42"/>
      <c r="QFI2" s="42"/>
      <c r="QFJ2" s="42"/>
      <c r="QFK2" s="42"/>
      <c r="QFL2" s="42"/>
      <c r="QFM2" s="42"/>
      <c r="QFN2" s="42"/>
      <c r="QFO2" s="42"/>
      <c r="QFP2" s="42"/>
      <c r="QFQ2" s="42"/>
      <c r="QFR2" s="42"/>
      <c r="QFS2" s="42"/>
      <c r="QFT2" s="42"/>
      <c r="QFU2" s="42"/>
      <c r="QFV2" s="42"/>
      <c r="QFW2" s="42"/>
      <c r="QFX2" s="42"/>
      <c r="QFY2" s="42"/>
      <c r="QFZ2" s="42"/>
      <c r="QGA2" s="42"/>
      <c r="QGB2" s="42"/>
      <c r="QGC2" s="42"/>
      <c r="QGD2" s="42"/>
      <c r="QGE2" s="42"/>
      <c r="QGF2" s="42"/>
      <c r="QGG2" s="42"/>
      <c r="QGH2" s="42"/>
      <c r="QGI2" s="42"/>
      <c r="QGJ2" s="42"/>
      <c r="QGK2" s="42"/>
      <c r="QGL2" s="42"/>
      <c r="QGM2" s="42"/>
      <c r="QGN2" s="42"/>
      <c r="QGO2" s="42"/>
      <c r="QGP2" s="42"/>
      <c r="QGQ2" s="42"/>
      <c r="QGR2" s="42"/>
      <c r="QGS2" s="42"/>
      <c r="QGT2" s="42"/>
      <c r="QGU2" s="42"/>
      <c r="QGV2" s="42"/>
      <c r="QGW2" s="42"/>
      <c r="QGX2" s="42"/>
      <c r="QGY2" s="42"/>
      <c r="QGZ2" s="42"/>
      <c r="QHA2" s="42"/>
      <c r="QHB2" s="42"/>
      <c r="QHC2" s="42"/>
      <c r="QHD2" s="42"/>
      <c r="QHE2" s="42"/>
      <c r="QHF2" s="42"/>
      <c r="QHG2" s="42"/>
      <c r="QHH2" s="42"/>
      <c r="QHI2" s="42"/>
      <c r="QHJ2" s="42"/>
      <c r="QHK2" s="42"/>
      <c r="QHL2" s="42"/>
      <c r="QHM2" s="42"/>
      <c r="QHN2" s="42"/>
      <c r="QHO2" s="42"/>
      <c r="QHP2" s="42"/>
      <c r="QHQ2" s="42"/>
      <c r="QHR2" s="42"/>
      <c r="QHS2" s="42"/>
      <c r="QHT2" s="42"/>
      <c r="QHU2" s="42"/>
      <c r="QHV2" s="42"/>
      <c r="QHW2" s="42"/>
      <c r="QHX2" s="42"/>
      <c r="QHY2" s="42"/>
      <c r="QHZ2" s="42"/>
      <c r="QIA2" s="42"/>
      <c r="QIB2" s="42"/>
      <c r="QIC2" s="42"/>
      <c r="QID2" s="42"/>
      <c r="QIE2" s="42"/>
      <c r="QIF2" s="42"/>
      <c r="QIG2" s="42"/>
      <c r="QIH2" s="42"/>
      <c r="QII2" s="42"/>
      <c r="QIJ2" s="42"/>
      <c r="QIK2" s="42"/>
      <c r="QIL2" s="42"/>
      <c r="QIM2" s="42"/>
      <c r="QIN2" s="42"/>
      <c r="QIO2" s="42"/>
      <c r="QIP2" s="42"/>
      <c r="QIQ2" s="42"/>
      <c r="QIR2" s="42"/>
      <c r="QIS2" s="42"/>
      <c r="QIT2" s="42"/>
      <c r="QIU2" s="42"/>
      <c r="QIV2" s="42"/>
      <c r="QIW2" s="42"/>
      <c r="QIX2" s="42"/>
      <c r="QIY2" s="42"/>
      <c r="QIZ2" s="42"/>
      <c r="QJA2" s="42"/>
      <c r="QJB2" s="42"/>
      <c r="QJC2" s="42"/>
      <c r="QJD2" s="42"/>
      <c r="QJE2" s="42"/>
      <c r="QJF2" s="42"/>
      <c r="QJG2" s="42"/>
      <c r="QJH2" s="42"/>
      <c r="QJI2" s="42"/>
      <c r="QJJ2" s="42"/>
      <c r="QJK2" s="42"/>
      <c r="QJL2" s="42"/>
      <c r="QJM2" s="42"/>
      <c r="QJN2" s="42"/>
      <c r="QJO2" s="42"/>
      <c r="QJP2" s="42"/>
      <c r="QJQ2" s="42"/>
      <c r="QJR2" s="42"/>
      <c r="QJS2" s="42"/>
      <c r="QJT2" s="42"/>
      <c r="QJU2" s="42"/>
      <c r="QJV2" s="42"/>
      <c r="QJW2" s="42"/>
      <c r="QJX2" s="42"/>
      <c r="QJY2" s="42"/>
      <c r="QJZ2" s="42"/>
      <c r="QKA2" s="42"/>
      <c r="QKB2" s="42"/>
      <c r="QKC2" s="42"/>
      <c r="QKD2" s="42"/>
      <c r="QKE2" s="42"/>
      <c r="QKF2" s="42"/>
      <c r="QKG2" s="42"/>
      <c r="QKH2" s="42"/>
      <c r="QKI2" s="42"/>
      <c r="QKJ2" s="42"/>
      <c r="QKK2" s="42"/>
      <c r="QKL2" s="42"/>
      <c r="QKM2" s="42"/>
      <c r="QKN2" s="42"/>
      <c r="QKO2" s="42"/>
      <c r="QKP2" s="42"/>
      <c r="QKQ2" s="42"/>
      <c r="QKR2" s="42"/>
      <c r="QKS2" s="42"/>
      <c r="QKT2" s="42"/>
      <c r="QKU2" s="42"/>
      <c r="QKV2" s="42"/>
      <c r="QKW2" s="42"/>
      <c r="QKX2" s="42"/>
      <c r="QKY2" s="42"/>
      <c r="QKZ2" s="42"/>
      <c r="QLA2" s="42"/>
      <c r="QLB2" s="42"/>
      <c r="QLC2" s="42"/>
      <c r="QLD2" s="42"/>
      <c r="QLE2" s="42"/>
      <c r="QLF2" s="42"/>
      <c r="QLG2" s="42"/>
      <c r="QLH2" s="42"/>
      <c r="QLI2" s="42"/>
      <c r="QLJ2" s="42"/>
      <c r="QLK2" s="42"/>
      <c r="QLL2" s="42"/>
      <c r="QLM2" s="42"/>
      <c r="QLN2" s="42"/>
      <c r="QLO2" s="42"/>
      <c r="QLP2" s="42"/>
      <c r="QLQ2" s="42"/>
      <c r="QLR2" s="42"/>
      <c r="QLS2" s="42"/>
      <c r="QLT2" s="42"/>
      <c r="QLU2" s="42"/>
      <c r="QLV2" s="42"/>
      <c r="QLW2" s="42"/>
      <c r="QLX2" s="42"/>
      <c r="QLY2" s="42"/>
      <c r="QLZ2" s="42"/>
      <c r="QMA2" s="42"/>
      <c r="QMB2" s="42"/>
      <c r="QMC2" s="42"/>
      <c r="QMD2" s="42"/>
      <c r="QME2" s="42"/>
      <c r="QMF2" s="42"/>
      <c r="QMG2" s="42"/>
      <c r="QMH2" s="42"/>
      <c r="QMI2" s="42"/>
      <c r="QMJ2" s="42"/>
      <c r="QMK2" s="42"/>
      <c r="QML2" s="42"/>
      <c r="QMM2" s="42"/>
      <c r="QMN2" s="42"/>
      <c r="QMO2" s="42"/>
      <c r="QMP2" s="42"/>
      <c r="QMQ2" s="42"/>
      <c r="QMR2" s="42"/>
      <c r="QMS2" s="42"/>
      <c r="QMT2" s="42"/>
      <c r="QMU2" s="42"/>
      <c r="QMV2" s="42"/>
      <c r="QMW2" s="42"/>
      <c r="QMX2" s="42"/>
      <c r="QMY2" s="42"/>
      <c r="QMZ2" s="42"/>
      <c r="QNA2" s="42"/>
      <c r="QNB2" s="42"/>
      <c r="QNC2" s="42"/>
      <c r="QND2" s="42"/>
      <c r="QNE2" s="42"/>
      <c r="QNF2" s="42"/>
      <c r="QNG2" s="42"/>
      <c r="QNH2" s="42"/>
      <c r="QNI2" s="42"/>
      <c r="QNJ2" s="42"/>
      <c r="QNK2" s="42"/>
      <c r="QNL2" s="42"/>
      <c r="QNM2" s="42"/>
      <c r="QNN2" s="42"/>
      <c r="QNO2" s="42"/>
      <c r="QNP2" s="42"/>
      <c r="QNQ2" s="42"/>
      <c r="QNR2" s="42"/>
      <c r="QNS2" s="42"/>
      <c r="QNT2" s="42"/>
      <c r="QNU2" s="42"/>
      <c r="QNV2" s="42"/>
      <c r="QNW2" s="42"/>
      <c r="QNX2" s="42"/>
      <c r="QNY2" s="42"/>
      <c r="QNZ2" s="42"/>
      <c r="QOA2" s="42"/>
      <c r="QOB2" s="42"/>
      <c r="QOC2" s="42"/>
      <c r="QOD2" s="42"/>
      <c r="QOE2" s="42"/>
      <c r="QOF2" s="42"/>
      <c r="QOG2" s="42"/>
      <c r="QOH2" s="42"/>
      <c r="QOI2" s="42"/>
      <c r="QOJ2" s="42"/>
      <c r="QOK2" s="42"/>
      <c r="QOL2" s="42"/>
      <c r="QOM2" s="42"/>
      <c r="QON2" s="42"/>
      <c r="QOO2" s="42"/>
      <c r="QOP2" s="42"/>
      <c r="QOQ2" s="42"/>
      <c r="QOR2" s="42"/>
      <c r="QOS2" s="42"/>
      <c r="QOT2" s="42"/>
      <c r="QOU2" s="42"/>
      <c r="QOV2" s="42"/>
      <c r="QOW2" s="42"/>
      <c r="QOX2" s="42"/>
      <c r="QOY2" s="42"/>
      <c r="QOZ2" s="42"/>
      <c r="QPA2" s="42"/>
      <c r="QPB2" s="42"/>
      <c r="QPC2" s="42"/>
      <c r="QPD2" s="42"/>
      <c r="QPE2" s="42"/>
      <c r="QPF2" s="42"/>
      <c r="QPG2" s="42"/>
      <c r="QPH2" s="42"/>
      <c r="QPI2" s="42"/>
      <c r="QPJ2" s="42"/>
      <c r="QPK2" s="42"/>
      <c r="QPL2" s="42"/>
      <c r="QPM2" s="42"/>
      <c r="QPN2" s="42"/>
      <c r="QPO2" s="42"/>
      <c r="QPP2" s="42"/>
      <c r="QPQ2" s="42"/>
      <c r="QPR2" s="42"/>
      <c r="QPS2" s="42"/>
      <c r="QPT2" s="42"/>
      <c r="QPU2" s="42"/>
      <c r="QPV2" s="42"/>
      <c r="QPW2" s="42"/>
      <c r="QPX2" s="42"/>
      <c r="QPY2" s="42"/>
      <c r="QPZ2" s="42"/>
      <c r="QQA2" s="42"/>
      <c r="QQB2" s="42"/>
      <c r="QQC2" s="42"/>
      <c r="QQD2" s="42"/>
      <c r="QQE2" s="42"/>
      <c r="QQF2" s="42"/>
      <c r="QQG2" s="42"/>
      <c r="QQH2" s="42"/>
      <c r="QQI2" s="42"/>
      <c r="QQJ2" s="42"/>
      <c r="QQK2" s="42"/>
      <c r="QQL2" s="42"/>
      <c r="QQM2" s="42"/>
      <c r="QQN2" s="42"/>
      <c r="QQO2" s="42"/>
      <c r="QQP2" s="42"/>
      <c r="QQQ2" s="42"/>
      <c r="QQR2" s="42"/>
      <c r="QQS2" s="42"/>
      <c r="QQT2" s="42"/>
      <c r="QQU2" s="42"/>
      <c r="QQV2" s="42"/>
      <c r="QQW2" s="42"/>
      <c r="QQX2" s="42"/>
      <c r="QQY2" s="42"/>
      <c r="QQZ2" s="42"/>
      <c r="QRA2" s="42"/>
      <c r="QRB2" s="42"/>
      <c r="QRC2" s="42"/>
      <c r="QRD2" s="42"/>
      <c r="QRE2" s="42"/>
      <c r="QRF2" s="42"/>
      <c r="QRG2" s="42"/>
      <c r="QRH2" s="42"/>
      <c r="QRI2" s="42"/>
      <c r="QRJ2" s="42"/>
      <c r="QRK2" s="42"/>
      <c r="QRL2" s="42"/>
      <c r="QRM2" s="42"/>
      <c r="QRN2" s="42"/>
      <c r="QRO2" s="42"/>
      <c r="QRP2" s="42"/>
      <c r="QRQ2" s="42"/>
      <c r="QRR2" s="42"/>
      <c r="QRS2" s="42"/>
      <c r="QRT2" s="42"/>
      <c r="QRU2" s="42"/>
      <c r="QRV2" s="42"/>
      <c r="QRW2" s="42"/>
      <c r="QRX2" s="42"/>
      <c r="QRY2" s="42"/>
      <c r="QRZ2" s="42"/>
      <c r="QSA2" s="42"/>
      <c r="QSB2" s="42"/>
      <c r="QSC2" s="42"/>
      <c r="QSD2" s="42"/>
      <c r="QSE2" s="42"/>
      <c r="QSF2" s="42"/>
      <c r="QSG2" s="42"/>
      <c r="QSH2" s="42"/>
      <c r="QSI2" s="42"/>
      <c r="QSJ2" s="42"/>
      <c r="QSK2" s="42"/>
      <c r="QSL2" s="42"/>
      <c r="QSM2" s="42"/>
      <c r="QSN2" s="42"/>
      <c r="QSO2" s="42"/>
      <c r="QSP2" s="42"/>
      <c r="QSQ2" s="42"/>
      <c r="QSR2" s="42"/>
      <c r="QSS2" s="42"/>
      <c r="QST2" s="42"/>
      <c r="QSU2" s="42"/>
      <c r="QSV2" s="42"/>
      <c r="QSW2" s="42"/>
      <c r="QSX2" s="42"/>
      <c r="QSY2" s="42"/>
      <c r="QSZ2" s="42"/>
      <c r="QTA2" s="42"/>
      <c r="QTB2" s="42"/>
      <c r="QTC2" s="42"/>
      <c r="QTD2" s="42"/>
      <c r="QTE2" s="42"/>
      <c r="QTF2" s="42"/>
      <c r="QTG2" s="42"/>
      <c r="QTH2" s="42"/>
      <c r="QTI2" s="42"/>
      <c r="QTJ2" s="42"/>
      <c r="QTK2" s="42"/>
      <c r="QTL2" s="42"/>
      <c r="QTM2" s="42"/>
      <c r="QTN2" s="42"/>
      <c r="QTO2" s="42"/>
      <c r="QTP2" s="42"/>
      <c r="QTQ2" s="42"/>
      <c r="QTR2" s="42"/>
      <c r="QTS2" s="42"/>
      <c r="QTT2" s="42"/>
      <c r="QTU2" s="42"/>
      <c r="QTV2" s="42"/>
      <c r="QTW2" s="42"/>
      <c r="QTX2" s="42"/>
      <c r="QTY2" s="42"/>
      <c r="QTZ2" s="42"/>
      <c r="QUA2" s="42"/>
      <c r="QUB2" s="42"/>
      <c r="QUC2" s="42"/>
      <c r="QUD2" s="42"/>
      <c r="QUE2" s="42"/>
      <c r="QUF2" s="42"/>
      <c r="QUG2" s="42"/>
      <c r="QUH2" s="42"/>
      <c r="QUI2" s="42"/>
      <c r="QUJ2" s="42"/>
      <c r="QUK2" s="42"/>
      <c r="QUL2" s="42"/>
      <c r="QUM2" s="42"/>
      <c r="QUN2" s="42"/>
      <c r="QUO2" s="42"/>
      <c r="QUP2" s="42"/>
      <c r="QUQ2" s="42"/>
      <c r="QUR2" s="42"/>
      <c r="QUS2" s="42"/>
      <c r="QUT2" s="42"/>
      <c r="QUU2" s="42"/>
      <c r="QUV2" s="42"/>
      <c r="QUW2" s="42"/>
      <c r="QUX2" s="42"/>
      <c r="QUY2" s="42"/>
      <c r="QUZ2" s="42"/>
      <c r="QVA2" s="42"/>
      <c r="QVB2" s="42"/>
      <c r="QVC2" s="42"/>
      <c r="QVD2" s="42"/>
      <c r="QVE2" s="42"/>
      <c r="QVF2" s="42"/>
      <c r="QVG2" s="42"/>
      <c r="QVH2" s="42"/>
      <c r="QVI2" s="42"/>
      <c r="QVJ2" s="42"/>
      <c r="QVK2" s="42"/>
      <c r="QVL2" s="42"/>
      <c r="QVM2" s="42"/>
      <c r="QVN2" s="42"/>
      <c r="QVO2" s="42"/>
      <c r="QVP2" s="42"/>
      <c r="QVQ2" s="42"/>
      <c r="QVR2" s="42"/>
      <c r="QVS2" s="42"/>
      <c r="QVT2" s="42"/>
      <c r="QVU2" s="42"/>
      <c r="QVV2" s="42"/>
      <c r="QVW2" s="42"/>
      <c r="QVX2" s="42"/>
      <c r="QVY2" s="42"/>
      <c r="QVZ2" s="42"/>
      <c r="QWA2" s="42"/>
      <c r="QWB2" s="42"/>
      <c r="QWC2" s="42"/>
      <c r="QWD2" s="42"/>
      <c r="QWE2" s="42"/>
      <c r="QWF2" s="42"/>
      <c r="QWG2" s="42"/>
      <c r="QWH2" s="42"/>
      <c r="QWI2" s="42"/>
      <c r="QWJ2" s="42"/>
      <c r="QWK2" s="42"/>
      <c r="QWL2" s="42"/>
      <c r="QWM2" s="42"/>
      <c r="QWN2" s="42"/>
      <c r="QWO2" s="42"/>
      <c r="QWP2" s="42"/>
      <c r="QWQ2" s="42"/>
      <c r="QWR2" s="42"/>
      <c r="QWS2" s="42"/>
      <c r="QWT2" s="42"/>
      <c r="QWU2" s="42"/>
      <c r="QWV2" s="42"/>
      <c r="QWW2" s="42"/>
      <c r="QWX2" s="42"/>
      <c r="QWY2" s="42"/>
      <c r="QWZ2" s="42"/>
      <c r="QXA2" s="42"/>
      <c r="QXB2" s="42"/>
      <c r="QXC2" s="42"/>
      <c r="QXD2" s="42"/>
      <c r="QXE2" s="42"/>
      <c r="QXF2" s="42"/>
      <c r="QXG2" s="42"/>
      <c r="QXH2" s="42"/>
      <c r="QXI2" s="42"/>
      <c r="QXJ2" s="42"/>
      <c r="QXK2" s="42"/>
      <c r="QXL2" s="42"/>
      <c r="QXM2" s="42"/>
      <c r="QXN2" s="42"/>
      <c r="QXO2" s="42"/>
      <c r="QXP2" s="42"/>
      <c r="QXQ2" s="42"/>
      <c r="QXR2" s="42"/>
      <c r="QXS2" s="42"/>
      <c r="QXT2" s="42"/>
      <c r="QXU2" s="42"/>
      <c r="QXV2" s="42"/>
      <c r="QXW2" s="42"/>
      <c r="QXX2" s="42"/>
      <c r="QXY2" s="42"/>
      <c r="QXZ2" s="42"/>
      <c r="QYA2" s="42"/>
      <c r="QYB2" s="42"/>
      <c r="QYC2" s="42"/>
      <c r="QYD2" s="42"/>
      <c r="QYE2" s="42"/>
      <c r="QYF2" s="42"/>
      <c r="QYG2" s="42"/>
      <c r="QYH2" s="42"/>
      <c r="QYI2" s="42"/>
      <c r="QYJ2" s="42"/>
      <c r="QYK2" s="42"/>
      <c r="QYL2" s="42"/>
      <c r="QYM2" s="42"/>
      <c r="QYN2" s="42"/>
      <c r="QYO2" s="42"/>
      <c r="QYP2" s="42"/>
      <c r="QYQ2" s="42"/>
      <c r="QYR2" s="42"/>
      <c r="QYS2" s="42"/>
      <c r="QYT2" s="42"/>
      <c r="QYU2" s="42"/>
      <c r="QYV2" s="42"/>
      <c r="QYW2" s="42"/>
      <c r="QYX2" s="42"/>
      <c r="QYY2" s="42"/>
      <c r="QYZ2" s="42"/>
      <c r="QZA2" s="42"/>
      <c r="QZB2" s="42"/>
      <c r="QZC2" s="42"/>
      <c r="QZD2" s="42"/>
      <c r="QZE2" s="42"/>
      <c r="QZF2" s="42"/>
      <c r="QZG2" s="42"/>
      <c r="QZH2" s="42"/>
      <c r="QZI2" s="42"/>
      <c r="QZJ2" s="42"/>
      <c r="QZK2" s="42"/>
      <c r="QZL2" s="42"/>
      <c r="QZM2" s="42"/>
      <c r="QZN2" s="42"/>
      <c r="QZO2" s="42"/>
      <c r="QZP2" s="42"/>
      <c r="QZQ2" s="42"/>
      <c r="QZR2" s="42"/>
      <c r="QZS2" s="42"/>
      <c r="QZT2" s="42"/>
      <c r="QZU2" s="42"/>
      <c r="QZV2" s="42"/>
      <c r="QZW2" s="42"/>
      <c r="QZX2" s="42"/>
      <c r="QZY2" s="42"/>
      <c r="QZZ2" s="42"/>
      <c r="RAA2" s="42"/>
      <c r="RAB2" s="42"/>
      <c r="RAC2" s="42"/>
      <c r="RAD2" s="42"/>
      <c r="RAE2" s="42"/>
      <c r="RAF2" s="42"/>
      <c r="RAG2" s="42"/>
      <c r="RAH2" s="42"/>
      <c r="RAI2" s="42"/>
      <c r="RAJ2" s="42"/>
      <c r="RAK2" s="42"/>
      <c r="RAL2" s="42"/>
      <c r="RAM2" s="42"/>
      <c r="RAN2" s="42"/>
      <c r="RAO2" s="42"/>
      <c r="RAP2" s="42"/>
      <c r="RAQ2" s="42"/>
      <c r="RAR2" s="42"/>
      <c r="RAS2" s="42"/>
      <c r="RAT2" s="42"/>
      <c r="RAU2" s="42"/>
      <c r="RAV2" s="42"/>
      <c r="RAW2" s="42"/>
      <c r="RAX2" s="42"/>
      <c r="RAY2" s="42"/>
      <c r="RAZ2" s="42"/>
      <c r="RBA2" s="42"/>
      <c r="RBB2" s="42"/>
      <c r="RBC2" s="42"/>
      <c r="RBD2" s="42"/>
      <c r="RBE2" s="42"/>
      <c r="RBF2" s="42"/>
      <c r="RBG2" s="42"/>
      <c r="RBH2" s="42"/>
      <c r="RBI2" s="42"/>
      <c r="RBJ2" s="42"/>
      <c r="RBK2" s="42"/>
      <c r="RBL2" s="42"/>
      <c r="RBM2" s="42"/>
      <c r="RBN2" s="42"/>
      <c r="RBO2" s="42"/>
      <c r="RBP2" s="42"/>
      <c r="RBQ2" s="42"/>
      <c r="RBR2" s="42"/>
      <c r="RBS2" s="42"/>
      <c r="RBT2" s="42"/>
      <c r="RBU2" s="42"/>
      <c r="RBV2" s="42"/>
      <c r="RBW2" s="42"/>
      <c r="RBX2" s="42"/>
      <c r="RBY2" s="42"/>
      <c r="RBZ2" s="42"/>
      <c r="RCA2" s="42"/>
      <c r="RCB2" s="42"/>
      <c r="RCC2" s="42"/>
      <c r="RCD2" s="42"/>
      <c r="RCE2" s="42"/>
      <c r="RCF2" s="42"/>
      <c r="RCG2" s="42"/>
      <c r="RCH2" s="42"/>
      <c r="RCI2" s="42"/>
      <c r="RCJ2" s="42"/>
      <c r="RCK2" s="42"/>
      <c r="RCL2" s="42"/>
      <c r="RCM2" s="42"/>
      <c r="RCN2" s="42"/>
      <c r="RCO2" s="42"/>
      <c r="RCP2" s="42"/>
      <c r="RCQ2" s="42"/>
      <c r="RCR2" s="42"/>
      <c r="RCS2" s="42"/>
      <c r="RCT2" s="42"/>
      <c r="RCU2" s="42"/>
      <c r="RCV2" s="42"/>
      <c r="RCW2" s="42"/>
      <c r="RCX2" s="42"/>
      <c r="RCY2" s="42"/>
      <c r="RCZ2" s="42"/>
      <c r="RDA2" s="42"/>
      <c r="RDB2" s="42"/>
      <c r="RDC2" s="42"/>
      <c r="RDD2" s="42"/>
      <c r="RDE2" s="42"/>
      <c r="RDF2" s="42"/>
      <c r="RDG2" s="42"/>
      <c r="RDH2" s="42"/>
      <c r="RDI2" s="42"/>
      <c r="RDJ2" s="42"/>
      <c r="RDK2" s="42"/>
      <c r="RDL2" s="42"/>
      <c r="RDM2" s="42"/>
      <c r="RDN2" s="42"/>
      <c r="RDO2" s="42"/>
      <c r="RDP2" s="42"/>
      <c r="RDQ2" s="42"/>
      <c r="RDR2" s="42"/>
      <c r="RDS2" s="42"/>
      <c r="RDT2" s="42"/>
      <c r="RDU2" s="42"/>
      <c r="RDV2" s="42"/>
      <c r="RDW2" s="42"/>
      <c r="RDX2" s="42"/>
      <c r="RDY2" s="42"/>
      <c r="RDZ2" s="42"/>
      <c r="REA2" s="42"/>
      <c r="REB2" s="42"/>
      <c r="REC2" s="42"/>
      <c r="RED2" s="42"/>
      <c r="REE2" s="42"/>
      <c r="REF2" s="42"/>
      <c r="REG2" s="42"/>
      <c r="REH2" s="42"/>
      <c r="REI2" s="42"/>
      <c r="REJ2" s="42"/>
      <c r="REK2" s="42"/>
      <c r="REL2" s="42"/>
      <c r="REM2" s="42"/>
      <c r="REN2" s="42"/>
      <c r="REO2" s="42"/>
      <c r="REP2" s="42"/>
      <c r="REQ2" s="42"/>
      <c r="RER2" s="42"/>
      <c r="RES2" s="42"/>
      <c r="RET2" s="42"/>
      <c r="REU2" s="42"/>
      <c r="REV2" s="42"/>
      <c r="REW2" s="42"/>
      <c r="REX2" s="42"/>
      <c r="REY2" s="42"/>
      <c r="REZ2" s="42"/>
      <c r="RFA2" s="42"/>
      <c r="RFB2" s="42"/>
      <c r="RFC2" s="42"/>
      <c r="RFD2" s="42"/>
      <c r="RFE2" s="42"/>
      <c r="RFF2" s="42"/>
      <c r="RFG2" s="42"/>
      <c r="RFH2" s="42"/>
      <c r="RFI2" s="42"/>
      <c r="RFJ2" s="42"/>
      <c r="RFK2" s="42"/>
      <c r="RFL2" s="42"/>
      <c r="RFM2" s="42"/>
      <c r="RFN2" s="42"/>
      <c r="RFO2" s="42"/>
      <c r="RFP2" s="42"/>
      <c r="RFQ2" s="42"/>
      <c r="RFR2" s="42"/>
      <c r="RFS2" s="42"/>
      <c r="RFT2" s="42"/>
      <c r="RFU2" s="42"/>
      <c r="RFV2" s="42"/>
      <c r="RFW2" s="42"/>
      <c r="RFX2" s="42"/>
      <c r="RFY2" s="42"/>
      <c r="RFZ2" s="42"/>
      <c r="RGA2" s="42"/>
      <c r="RGB2" s="42"/>
      <c r="RGC2" s="42"/>
      <c r="RGD2" s="42"/>
      <c r="RGE2" s="42"/>
      <c r="RGF2" s="42"/>
      <c r="RGG2" s="42"/>
      <c r="RGH2" s="42"/>
      <c r="RGI2" s="42"/>
      <c r="RGJ2" s="42"/>
      <c r="RGK2" s="42"/>
      <c r="RGL2" s="42"/>
      <c r="RGM2" s="42"/>
      <c r="RGN2" s="42"/>
      <c r="RGO2" s="42"/>
      <c r="RGP2" s="42"/>
      <c r="RGQ2" s="42"/>
      <c r="RGR2" s="42"/>
      <c r="RGS2" s="42"/>
      <c r="RGT2" s="42"/>
      <c r="RGU2" s="42"/>
      <c r="RGV2" s="42"/>
      <c r="RGW2" s="42"/>
      <c r="RGX2" s="42"/>
      <c r="RGY2" s="42"/>
      <c r="RGZ2" s="42"/>
      <c r="RHA2" s="42"/>
      <c r="RHB2" s="42"/>
      <c r="RHC2" s="42"/>
      <c r="RHD2" s="42"/>
      <c r="RHE2" s="42"/>
      <c r="RHF2" s="42"/>
      <c r="RHG2" s="42"/>
      <c r="RHH2" s="42"/>
      <c r="RHI2" s="42"/>
      <c r="RHJ2" s="42"/>
      <c r="RHK2" s="42"/>
      <c r="RHL2" s="42"/>
      <c r="RHM2" s="42"/>
      <c r="RHN2" s="42"/>
      <c r="RHO2" s="42"/>
      <c r="RHP2" s="42"/>
      <c r="RHQ2" s="42"/>
      <c r="RHR2" s="42"/>
      <c r="RHS2" s="42"/>
      <c r="RHT2" s="42"/>
      <c r="RHU2" s="42"/>
      <c r="RHV2" s="42"/>
      <c r="RHW2" s="42"/>
      <c r="RHX2" s="42"/>
      <c r="RHY2" s="42"/>
      <c r="RHZ2" s="42"/>
      <c r="RIA2" s="42"/>
      <c r="RIB2" s="42"/>
      <c r="RIC2" s="42"/>
      <c r="RID2" s="42"/>
      <c r="RIE2" s="42"/>
      <c r="RIF2" s="42"/>
      <c r="RIG2" s="42"/>
      <c r="RIH2" s="42"/>
      <c r="RII2" s="42"/>
      <c r="RIJ2" s="42"/>
      <c r="RIK2" s="42"/>
      <c r="RIL2" s="42"/>
      <c r="RIM2" s="42"/>
      <c r="RIN2" s="42"/>
      <c r="RIO2" s="42"/>
      <c r="RIP2" s="42"/>
      <c r="RIQ2" s="42"/>
      <c r="RIR2" s="42"/>
      <c r="RIS2" s="42"/>
      <c r="RIT2" s="42"/>
      <c r="RIU2" s="42"/>
      <c r="RIV2" s="42"/>
      <c r="RIW2" s="42"/>
      <c r="RIX2" s="42"/>
      <c r="RIY2" s="42"/>
      <c r="RIZ2" s="42"/>
      <c r="RJA2" s="42"/>
      <c r="RJB2" s="42"/>
      <c r="RJC2" s="42"/>
      <c r="RJD2" s="42"/>
      <c r="RJE2" s="42"/>
      <c r="RJF2" s="42"/>
      <c r="RJG2" s="42"/>
      <c r="RJH2" s="42"/>
      <c r="RJI2" s="42"/>
      <c r="RJJ2" s="42"/>
      <c r="RJK2" s="42"/>
      <c r="RJL2" s="42"/>
      <c r="RJM2" s="42"/>
      <c r="RJN2" s="42"/>
      <c r="RJO2" s="42"/>
      <c r="RJP2" s="42"/>
      <c r="RJQ2" s="42"/>
      <c r="RJR2" s="42"/>
      <c r="RJS2" s="42"/>
      <c r="RJT2" s="42"/>
      <c r="RJU2" s="42"/>
      <c r="RJV2" s="42"/>
      <c r="RJW2" s="42"/>
      <c r="RJX2" s="42"/>
      <c r="RJY2" s="42"/>
      <c r="RJZ2" s="42"/>
      <c r="RKA2" s="42"/>
      <c r="RKB2" s="42"/>
      <c r="RKC2" s="42"/>
      <c r="RKD2" s="42"/>
      <c r="RKE2" s="42"/>
      <c r="RKF2" s="42"/>
      <c r="RKG2" s="42"/>
      <c r="RKH2" s="42"/>
      <c r="RKI2" s="42"/>
      <c r="RKJ2" s="42"/>
      <c r="RKK2" s="42"/>
      <c r="RKL2" s="42"/>
      <c r="RKM2" s="42"/>
      <c r="RKN2" s="42"/>
      <c r="RKO2" s="42"/>
      <c r="RKP2" s="42"/>
      <c r="RKQ2" s="42"/>
      <c r="RKR2" s="42"/>
      <c r="RKS2" s="42"/>
      <c r="RKT2" s="42"/>
      <c r="RKU2" s="42"/>
      <c r="RKV2" s="42"/>
      <c r="RKW2" s="42"/>
      <c r="RKX2" s="42"/>
      <c r="RKY2" s="42"/>
      <c r="RKZ2" s="42"/>
      <c r="RLA2" s="42"/>
      <c r="RLB2" s="42"/>
      <c r="RLC2" s="42"/>
      <c r="RLD2" s="42"/>
      <c r="RLE2" s="42"/>
      <c r="RLF2" s="42"/>
      <c r="RLG2" s="42"/>
      <c r="RLH2" s="42"/>
      <c r="RLI2" s="42"/>
      <c r="RLJ2" s="42"/>
      <c r="RLK2" s="42"/>
      <c r="RLL2" s="42"/>
      <c r="RLM2" s="42"/>
      <c r="RLN2" s="42"/>
      <c r="RLO2" s="42"/>
      <c r="RLP2" s="42"/>
      <c r="RLQ2" s="42"/>
      <c r="RLR2" s="42"/>
      <c r="RLS2" s="42"/>
      <c r="RLT2" s="42"/>
      <c r="RLU2" s="42"/>
      <c r="RLV2" s="42"/>
      <c r="RLW2" s="42"/>
      <c r="RLX2" s="42"/>
      <c r="RLY2" s="42"/>
      <c r="RLZ2" s="42"/>
      <c r="RMA2" s="42"/>
      <c r="RMB2" s="42"/>
      <c r="RMC2" s="42"/>
      <c r="RMD2" s="42"/>
      <c r="RME2" s="42"/>
      <c r="RMF2" s="42"/>
      <c r="RMG2" s="42"/>
      <c r="RMH2" s="42"/>
      <c r="RMI2" s="42"/>
      <c r="RMJ2" s="42"/>
      <c r="RMK2" s="42"/>
      <c r="RML2" s="42"/>
      <c r="RMM2" s="42"/>
      <c r="RMN2" s="42"/>
      <c r="RMO2" s="42"/>
      <c r="RMP2" s="42"/>
      <c r="RMQ2" s="42"/>
      <c r="RMR2" s="42"/>
      <c r="RMS2" s="42"/>
      <c r="RMT2" s="42"/>
      <c r="RMU2" s="42"/>
      <c r="RMV2" s="42"/>
      <c r="RMW2" s="42"/>
      <c r="RMX2" s="42"/>
      <c r="RMY2" s="42"/>
      <c r="RMZ2" s="42"/>
      <c r="RNA2" s="42"/>
      <c r="RNB2" s="42"/>
      <c r="RNC2" s="42"/>
      <c r="RND2" s="42"/>
      <c r="RNE2" s="42"/>
      <c r="RNF2" s="42"/>
      <c r="RNG2" s="42"/>
      <c r="RNH2" s="42"/>
      <c r="RNI2" s="42"/>
      <c r="RNJ2" s="42"/>
      <c r="RNK2" s="42"/>
      <c r="RNL2" s="42"/>
      <c r="RNM2" s="42"/>
      <c r="RNN2" s="42"/>
      <c r="RNO2" s="42"/>
      <c r="RNP2" s="42"/>
      <c r="RNQ2" s="42"/>
      <c r="RNR2" s="42"/>
      <c r="RNS2" s="42"/>
      <c r="RNT2" s="42"/>
      <c r="RNU2" s="42"/>
      <c r="RNV2" s="42"/>
      <c r="RNW2" s="42"/>
      <c r="RNX2" s="42"/>
      <c r="RNY2" s="42"/>
      <c r="RNZ2" s="42"/>
      <c r="ROA2" s="42"/>
      <c r="ROB2" s="42"/>
      <c r="ROC2" s="42"/>
      <c r="ROD2" s="42"/>
      <c r="ROE2" s="42"/>
      <c r="ROF2" s="42"/>
      <c r="ROG2" s="42"/>
      <c r="ROH2" s="42"/>
      <c r="ROI2" s="42"/>
      <c r="ROJ2" s="42"/>
      <c r="ROK2" s="42"/>
      <c r="ROL2" s="42"/>
      <c r="ROM2" s="42"/>
      <c r="RON2" s="42"/>
      <c r="ROO2" s="42"/>
      <c r="ROP2" s="42"/>
      <c r="ROQ2" s="42"/>
      <c r="ROR2" s="42"/>
      <c r="ROS2" s="42"/>
      <c r="ROT2" s="42"/>
      <c r="ROU2" s="42"/>
      <c r="ROV2" s="42"/>
      <c r="ROW2" s="42"/>
      <c r="ROX2" s="42"/>
      <c r="ROY2" s="42"/>
      <c r="ROZ2" s="42"/>
      <c r="RPA2" s="42"/>
      <c r="RPB2" s="42"/>
      <c r="RPC2" s="42"/>
      <c r="RPD2" s="42"/>
      <c r="RPE2" s="42"/>
      <c r="RPF2" s="42"/>
      <c r="RPG2" s="42"/>
      <c r="RPH2" s="42"/>
      <c r="RPI2" s="42"/>
      <c r="RPJ2" s="42"/>
      <c r="RPK2" s="42"/>
      <c r="RPL2" s="42"/>
      <c r="RPM2" s="42"/>
      <c r="RPN2" s="42"/>
      <c r="RPO2" s="42"/>
      <c r="RPP2" s="42"/>
      <c r="RPQ2" s="42"/>
      <c r="RPR2" s="42"/>
      <c r="RPS2" s="42"/>
      <c r="RPT2" s="42"/>
      <c r="RPU2" s="42"/>
      <c r="RPV2" s="42"/>
      <c r="RPW2" s="42"/>
      <c r="RPX2" s="42"/>
      <c r="RPY2" s="42"/>
      <c r="RPZ2" s="42"/>
      <c r="RQA2" s="42"/>
      <c r="RQB2" s="42"/>
      <c r="RQC2" s="42"/>
      <c r="RQD2" s="42"/>
      <c r="RQE2" s="42"/>
      <c r="RQF2" s="42"/>
      <c r="RQG2" s="42"/>
      <c r="RQH2" s="42"/>
      <c r="RQI2" s="42"/>
      <c r="RQJ2" s="42"/>
      <c r="RQK2" s="42"/>
      <c r="RQL2" s="42"/>
      <c r="RQM2" s="42"/>
      <c r="RQN2" s="42"/>
      <c r="RQO2" s="42"/>
      <c r="RQP2" s="42"/>
      <c r="RQQ2" s="42"/>
      <c r="RQR2" s="42"/>
      <c r="RQS2" s="42"/>
      <c r="RQT2" s="42"/>
      <c r="RQU2" s="42"/>
      <c r="RQV2" s="42"/>
      <c r="RQW2" s="42"/>
      <c r="RQX2" s="42"/>
      <c r="RQY2" s="42"/>
      <c r="RQZ2" s="42"/>
      <c r="RRA2" s="42"/>
      <c r="RRB2" s="42"/>
      <c r="RRC2" s="42"/>
      <c r="RRD2" s="42"/>
      <c r="RRE2" s="42"/>
      <c r="RRF2" s="42"/>
      <c r="RRG2" s="42"/>
      <c r="RRH2" s="42"/>
      <c r="RRI2" s="42"/>
      <c r="RRJ2" s="42"/>
      <c r="RRK2" s="42"/>
      <c r="RRL2" s="42"/>
      <c r="RRM2" s="42"/>
      <c r="RRN2" s="42"/>
      <c r="RRO2" s="42"/>
      <c r="RRP2" s="42"/>
      <c r="RRQ2" s="42"/>
      <c r="RRR2" s="42"/>
      <c r="RRS2" s="42"/>
      <c r="RRT2" s="42"/>
      <c r="RRU2" s="42"/>
      <c r="RRV2" s="42"/>
      <c r="RRW2" s="42"/>
      <c r="RRX2" s="42"/>
      <c r="RRY2" s="42"/>
      <c r="RRZ2" s="42"/>
      <c r="RSA2" s="42"/>
      <c r="RSB2" s="42"/>
      <c r="RSC2" s="42"/>
      <c r="RSD2" s="42"/>
      <c r="RSE2" s="42"/>
      <c r="RSF2" s="42"/>
      <c r="RSG2" s="42"/>
      <c r="RSH2" s="42"/>
      <c r="RSI2" s="42"/>
      <c r="RSJ2" s="42"/>
      <c r="RSK2" s="42"/>
      <c r="RSL2" s="42"/>
      <c r="RSM2" s="42"/>
      <c r="RSN2" s="42"/>
      <c r="RSO2" s="42"/>
      <c r="RSP2" s="42"/>
      <c r="RSQ2" s="42"/>
      <c r="RSR2" s="42"/>
      <c r="RSS2" s="42"/>
      <c r="RST2" s="42"/>
      <c r="RSU2" s="42"/>
      <c r="RSV2" s="42"/>
      <c r="RSW2" s="42"/>
      <c r="RSX2" s="42"/>
      <c r="RSY2" s="42"/>
      <c r="RSZ2" s="42"/>
      <c r="RTA2" s="42"/>
      <c r="RTB2" s="42"/>
      <c r="RTC2" s="42"/>
      <c r="RTD2" s="42"/>
      <c r="RTE2" s="42"/>
      <c r="RTF2" s="42"/>
      <c r="RTG2" s="42"/>
      <c r="RTH2" s="42"/>
      <c r="RTI2" s="42"/>
      <c r="RTJ2" s="42"/>
      <c r="RTK2" s="42"/>
      <c r="RTL2" s="42"/>
      <c r="RTM2" s="42"/>
      <c r="RTN2" s="42"/>
      <c r="RTO2" s="42"/>
      <c r="RTP2" s="42"/>
      <c r="RTQ2" s="42"/>
      <c r="RTR2" s="42"/>
      <c r="RTS2" s="42"/>
      <c r="RTT2" s="42"/>
      <c r="RTU2" s="42"/>
      <c r="RTV2" s="42"/>
      <c r="RTW2" s="42"/>
      <c r="RTX2" s="42"/>
      <c r="RTY2" s="42"/>
      <c r="RTZ2" s="42"/>
      <c r="RUA2" s="42"/>
      <c r="RUB2" s="42"/>
      <c r="RUC2" s="42"/>
      <c r="RUD2" s="42"/>
      <c r="RUE2" s="42"/>
      <c r="RUF2" s="42"/>
      <c r="RUG2" s="42"/>
      <c r="RUH2" s="42"/>
      <c r="RUI2" s="42"/>
      <c r="RUJ2" s="42"/>
      <c r="RUK2" s="42"/>
      <c r="RUL2" s="42"/>
      <c r="RUM2" s="42"/>
      <c r="RUN2" s="42"/>
      <c r="RUO2" s="42"/>
      <c r="RUP2" s="42"/>
      <c r="RUQ2" s="42"/>
      <c r="RUR2" s="42"/>
      <c r="RUS2" s="42"/>
      <c r="RUT2" s="42"/>
      <c r="RUU2" s="42"/>
      <c r="RUV2" s="42"/>
      <c r="RUW2" s="42"/>
      <c r="RUX2" s="42"/>
      <c r="RUY2" s="42"/>
      <c r="RUZ2" s="42"/>
      <c r="RVA2" s="42"/>
      <c r="RVB2" s="42"/>
      <c r="RVC2" s="42"/>
      <c r="RVD2" s="42"/>
      <c r="RVE2" s="42"/>
      <c r="RVF2" s="42"/>
      <c r="RVG2" s="42"/>
      <c r="RVH2" s="42"/>
      <c r="RVI2" s="42"/>
      <c r="RVJ2" s="42"/>
      <c r="RVK2" s="42"/>
      <c r="RVL2" s="42"/>
      <c r="RVM2" s="42"/>
      <c r="RVN2" s="42"/>
      <c r="RVO2" s="42"/>
      <c r="RVP2" s="42"/>
      <c r="RVQ2" s="42"/>
      <c r="RVR2" s="42"/>
      <c r="RVS2" s="42"/>
      <c r="RVT2" s="42"/>
      <c r="RVU2" s="42"/>
      <c r="RVV2" s="42"/>
      <c r="RVW2" s="42"/>
      <c r="RVX2" s="42"/>
      <c r="RVY2" s="42"/>
      <c r="RVZ2" s="42"/>
      <c r="RWA2" s="42"/>
      <c r="RWB2" s="42"/>
      <c r="RWC2" s="42"/>
      <c r="RWD2" s="42"/>
      <c r="RWE2" s="42"/>
      <c r="RWF2" s="42"/>
      <c r="RWG2" s="42"/>
      <c r="RWH2" s="42"/>
      <c r="RWI2" s="42"/>
      <c r="RWJ2" s="42"/>
      <c r="RWK2" s="42"/>
      <c r="RWL2" s="42"/>
      <c r="RWM2" s="42"/>
      <c r="RWN2" s="42"/>
      <c r="RWO2" s="42"/>
      <c r="RWP2" s="42"/>
      <c r="RWQ2" s="42"/>
      <c r="RWR2" s="42"/>
      <c r="RWS2" s="42"/>
      <c r="RWT2" s="42"/>
      <c r="RWU2" s="42"/>
      <c r="RWV2" s="42"/>
      <c r="RWW2" s="42"/>
      <c r="RWX2" s="42"/>
      <c r="RWY2" s="42"/>
      <c r="RWZ2" s="42"/>
      <c r="RXA2" s="42"/>
      <c r="RXB2" s="42"/>
      <c r="RXC2" s="42"/>
      <c r="RXD2" s="42"/>
      <c r="RXE2" s="42"/>
      <c r="RXF2" s="42"/>
      <c r="RXG2" s="42"/>
      <c r="RXH2" s="42"/>
      <c r="RXI2" s="42"/>
      <c r="RXJ2" s="42"/>
      <c r="RXK2" s="42"/>
      <c r="RXL2" s="42"/>
      <c r="RXM2" s="42"/>
      <c r="RXN2" s="42"/>
      <c r="RXO2" s="42"/>
      <c r="RXP2" s="42"/>
      <c r="RXQ2" s="42"/>
      <c r="RXR2" s="42"/>
      <c r="RXS2" s="42"/>
      <c r="RXT2" s="42"/>
      <c r="RXU2" s="42"/>
      <c r="RXV2" s="42"/>
      <c r="RXW2" s="42"/>
      <c r="RXX2" s="42"/>
      <c r="RXY2" s="42"/>
      <c r="RXZ2" s="42"/>
      <c r="RYA2" s="42"/>
      <c r="RYB2" s="42"/>
      <c r="RYC2" s="42"/>
      <c r="RYD2" s="42"/>
      <c r="RYE2" s="42"/>
      <c r="RYF2" s="42"/>
      <c r="RYG2" s="42"/>
      <c r="RYH2" s="42"/>
      <c r="RYI2" s="42"/>
      <c r="RYJ2" s="42"/>
      <c r="RYK2" s="42"/>
      <c r="RYL2" s="42"/>
      <c r="RYM2" s="42"/>
      <c r="RYN2" s="42"/>
      <c r="RYO2" s="42"/>
      <c r="RYP2" s="42"/>
      <c r="RYQ2" s="42"/>
      <c r="RYR2" s="42"/>
      <c r="RYS2" s="42"/>
      <c r="RYT2" s="42"/>
      <c r="RYU2" s="42"/>
      <c r="RYV2" s="42"/>
      <c r="RYW2" s="42"/>
      <c r="RYX2" s="42"/>
      <c r="RYY2" s="42"/>
      <c r="RYZ2" s="42"/>
      <c r="RZA2" s="42"/>
      <c r="RZB2" s="42"/>
      <c r="RZC2" s="42"/>
      <c r="RZD2" s="42"/>
      <c r="RZE2" s="42"/>
      <c r="RZF2" s="42"/>
      <c r="RZG2" s="42"/>
      <c r="RZH2" s="42"/>
      <c r="RZI2" s="42"/>
      <c r="RZJ2" s="42"/>
      <c r="RZK2" s="42"/>
      <c r="RZL2" s="42"/>
      <c r="RZM2" s="42"/>
      <c r="RZN2" s="42"/>
      <c r="RZO2" s="42"/>
      <c r="RZP2" s="42"/>
      <c r="RZQ2" s="42"/>
      <c r="RZR2" s="42"/>
      <c r="RZS2" s="42"/>
      <c r="RZT2" s="42"/>
      <c r="RZU2" s="42"/>
      <c r="RZV2" s="42"/>
      <c r="RZW2" s="42"/>
      <c r="RZX2" s="42"/>
      <c r="RZY2" s="42"/>
      <c r="RZZ2" s="42"/>
      <c r="SAA2" s="42"/>
      <c r="SAB2" s="42"/>
      <c r="SAC2" s="42"/>
      <c r="SAD2" s="42"/>
      <c r="SAE2" s="42"/>
      <c r="SAF2" s="42"/>
      <c r="SAG2" s="42"/>
      <c r="SAH2" s="42"/>
      <c r="SAI2" s="42"/>
      <c r="SAJ2" s="42"/>
      <c r="SAK2" s="42"/>
      <c r="SAL2" s="42"/>
      <c r="SAM2" s="42"/>
      <c r="SAN2" s="42"/>
      <c r="SAO2" s="42"/>
      <c r="SAP2" s="42"/>
      <c r="SAQ2" s="42"/>
      <c r="SAR2" s="42"/>
      <c r="SAS2" s="42"/>
      <c r="SAT2" s="42"/>
      <c r="SAU2" s="42"/>
      <c r="SAV2" s="42"/>
      <c r="SAW2" s="42"/>
      <c r="SAX2" s="42"/>
      <c r="SAY2" s="42"/>
      <c r="SAZ2" s="42"/>
      <c r="SBA2" s="42"/>
      <c r="SBB2" s="42"/>
      <c r="SBC2" s="42"/>
      <c r="SBD2" s="42"/>
      <c r="SBE2" s="42"/>
      <c r="SBF2" s="42"/>
      <c r="SBG2" s="42"/>
      <c r="SBH2" s="42"/>
      <c r="SBI2" s="42"/>
      <c r="SBJ2" s="42"/>
      <c r="SBK2" s="42"/>
      <c r="SBL2" s="42"/>
      <c r="SBM2" s="42"/>
      <c r="SBN2" s="42"/>
      <c r="SBO2" s="42"/>
      <c r="SBP2" s="42"/>
      <c r="SBQ2" s="42"/>
      <c r="SBR2" s="42"/>
      <c r="SBS2" s="42"/>
      <c r="SBT2" s="42"/>
      <c r="SBU2" s="42"/>
      <c r="SBV2" s="42"/>
      <c r="SBW2" s="42"/>
      <c r="SBX2" s="42"/>
      <c r="SBY2" s="42"/>
      <c r="SBZ2" s="42"/>
      <c r="SCA2" s="42"/>
      <c r="SCB2" s="42"/>
      <c r="SCC2" s="42"/>
      <c r="SCD2" s="42"/>
      <c r="SCE2" s="42"/>
      <c r="SCF2" s="42"/>
      <c r="SCG2" s="42"/>
      <c r="SCH2" s="42"/>
      <c r="SCI2" s="42"/>
      <c r="SCJ2" s="42"/>
      <c r="SCK2" s="42"/>
      <c r="SCL2" s="42"/>
      <c r="SCM2" s="42"/>
      <c r="SCN2" s="42"/>
      <c r="SCO2" s="42"/>
      <c r="SCP2" s="42"/>
      <c r="SCQ2" s="42"/>
      <c r="SCR2" s="42"/>
      <c r="SCS2" s="42"/>
      <c r="SCT2" s="42"/>
      <c r="SCU2" s="42"/>
      <c r="SCV2" s="42"/>
      <c r="SCW2" s="42"/>
      <c r="SCX2" s="42"/>
      <c r="SCY2" s="42"/>
      <c r="SCZ2" s="42"/>
      <c r="SDA2" s="42"/>
      <c r="SDB2" s="42"/>
      <c r="SDC2" s="42"/>
      <c r="SDD2" s="42"/>
      <c r="SDE2" s="42"/>
      <c r="SDF2" s="42"/>
      <c r="SDG2" s="42"/>
      <c r="SDH2" s="42"/>
      <c r="SDI2" s="42"/>
      <c r="SDJ2" s="42"/>
      <c r="SDK2" s="42"/>
      <c r="SDL2" s="42"/>
      <c r="SDM2" s="42"/>
      <c r="SDN2" s="42"/>
      <c r="SDO2" s="42"/>
      <c r="SDP2" s="42"/>
      <c r="SDQ2" s="42"/>
      <c r="SDR2" s="42"/>
      <c r="SDS2" s="42"/>
      <c r="SDT2" s="42"/>
      <c r="SDU2" s="42"/>
      <c r="SDV2" s="42"/>
      <c r="SDW2" s="42"/>
      <c r="SDX2" s="42"/>
      <c r="SDY2" s="42"/>
      <c r="SDZ2" s="42"/>
      <c r="SEA2" s="42"/>
      <c r="SEB2" s="42"/>
      <c r="SEC2" s="42"/>
      <c r="SED2" s="42"/>
      <c r="SEE2" s="42"/>
      <c r="SEF2" s="42"/>
      <c r="SEG2" s="42"/>
      <c r="SEH2" s="42"/>
      <c r="SEI2" s="42"/>
      <c r="SEJ2" s="42"/>
      <c r="SEK2" s="42"/>
      <c r="SEL2" s="42"/>
      <c r="SEM2" s="42"/>
      <c r="SEN2" s="42"/>
      <c r="SEO2" s="42"/>
      <c r="SEP2" s="42"/>
      <c r="SEQ2" s="42"/>
      <c r="SER2" s="42"/>
      <c r="SES2" s="42"/>
      <c r="SET2" s="42"/>
      <c r="SEU2" s="42"/>
      <c r="SEV2" s="42"/>
      <c r="SEW2" s="42"/>
      <c r="SEX2" s="42"/>
      <c r="SEY2" s="42"/>
      <c r="SEZ2" s="42"/>
      <c r="SFA2" s="42"/>
      <c r="SFB2" s="42"/>
      <c r="SFC2" s="42"/>
      <c r="SFD2" s="42"/>
      <c r="SFE2" s="42"/>
      <c r="SFF2" s="42"/>
      <c r="SFG2" s="42"/>
      <c r="SFH2" s="42"/>
      <c r="SFI2" s="42"/>
      <c r="SFJ2" s="42"/>
      <c r="SFK2" s="42"/>
      <c r="SFL2" s="42"/>
      <c r="SFM2" s="42"/>
      <c r="SFN2" s="42"/>
      <c r="SFO2" s="42"/>
      <c r="SFP2" s="42"/>
      <c r="SFQ2" s="42"/>
      <c r="SFR2" s="42"/>
      <c r="SFS2" s="42"/>
      <c r="SFT2" s="42"/>
      <c r="SFU2" s="42"/>
      <c r="SFV2" s="42"/>
      <c r="SFW2" s="42"/>
      <c r="SFX2" s="42"/>
      <c r="SFY2" s="42"/>
      <c r="SFZ2" s="42"/>
      <c r="SGA2" s="42"/>
      <c r="SGB2" s="42"/>
      <c r="SGC2" s="42"/>
      <c r="SGD2" s="42"/>
      <c r="SGE2" s="42"/>
      <c r="SGF2" s="42"/>
      <c r="SGG2" s="42"/>
      <c r="SGH2" s="42"/>
      <c r="SGI2" s="42"/>
      <c r="SGJ2" s="42"/>
      <c r="SGK2" s="42"/>
      <c r="SGL2" s="42"/>
      <c r="SGM2" s="42"/>
      <c r="SGN2" s="42"/>
      <c r="SGO2" s="42"/>
      <c r="SGP2" s="42"/>
      <c r="SGQ2" s="42"/>
      <c r="SGR2" s="42"/>
      <c r="SGS2" s="42"/>
      <c r="SGT2" s="42"/>
      <c r="SGU2" s="42"/>
      <c r="SGV2" s="42"/>
      <c r="SGW2" s="42"/>
      <c r="SGX2" s="42"/>
      <c r="SGY2" s="42"/>
      <c r="SGZ2" s="42"/>
      <c r="SHA2" s="42"/>
      <c r="SHB2" s="42"/>
      <c r="SHC2" s="42"/>
      <c r="SHD2" s="42"/>
      <c r="SHE2" s="42"/>
      <c r="SHF2" s="42"/>
      <c r="SHG2" s="42"/>
      <c r="SHH2" s="42"/>
      <c r="SHI2" s="42"/>
      <c r="SHJ2" s="42"/>
      <c r="SHK2" s="42"/>
      <c r="SHL2" s="42"/>
      <c r="SHM2" s="42"/>
      <c r="SHN2" s="42"/>
      <c r="SHO2" s="42"/>
      <c r="SHP2" s="42"/>
      <c r="SHQ2" s="42"/>
      <c r="SHR2" s="42"/>
      <c r="SHS2" s="42"/>
      <c r="SHT2" s="42"/>
      <c r="SHU2" s="42"/>
      <c r="SHV2" s="42"/>
      <c r="SHW2" s="42"/>
      <c r="SHX2" s="42"/>
      <c r="SHY2" s="42"/>
      <c r="SHZ2" s="42"/>
      <c r="SIA2" s="42"/>
      <c r="SIB2" s="42"/>
      <c r="SIC2" s="42"/>
      <c r="SID2" s="42"/>
      <c r="SIE2" s="42"/>
      <c r="SIF2" s="42"/>
      <c r="SIG2" s="42"/>
      <c r="SIH2" s="42"/>
      <c r="SII2" s="42"/>
      <c r="SIJ2" s="42"/>
      <c r="SIK2" s="42"/>
      <c r="SIL2" s="42"/>
      <c r="SIM2" s="42"/>
      <c r="SIN2" s="42"/>
      <c r="SIO2" s="42"/>
      <c r="SIP2" s="42"/>
      <c r="SIQ2" s="42"/>
      <c r="SIR2" s="42"/>
      <c r="SIS2" s="42"/>
      <c r="SIT2" s="42"/>
      <c r="SIU2" s="42"/>
      <c r="SIV2" s="42"/>
      <c r="SIW2" s="42"/>
      <c r="SIX2" s="42"/>
      <c r="SIY2" s="42"/>
      <c r="SIZ2" s="42"/>
      <c r="SJA2" s="42"/>
      <c r="SJB2" s="42"/>
      <c r="SJC2" s="42"/>
      <c r="SJD2" s="42"/>
      <c r="SJE2" s="42"/>
      <c r="SJF2" s="42"/>
      <c r="SJG2" s="42"/>
      <c r="SJH2" s="42"/>
      <c r="SJI2" s="42"/>
      <c r="SJJ2" s="42"/>
      <c r="SJK2" s="42"/>
      <c r="SJL2" s="42"/>
      <c r="SJM2" s="42"/>
      <c r="SJN2" s="42"/>
      <c r="SJO2" s="42"/>
      <c r="SJP2" s="42"/>
      <c r="SJQ2" s="42"/>
      <c r="SJR2" s="42"/>
      <c r="SJS2" s="42"/>
      <c r="SJT2" s="42"/>
      <c r="SJU2" s="42"/>
      <c r="SJV2" s="42"/>
      <c r="SJW2" s="42"/>
      <c r="SJX2" s="42"/>
      <c r="SJY2" s="42"/>
      <c r="SJZ2" s="42"/>
      <c r="SKA2" s="42"/>
      <c r="SKB2" s="42"/>
      <c r="SKC2" s="42"/>
      <c r="SKD2" s="42"/>
      <c r="SKE2" s="42"/>
      <c r="SKF2" s="42"/>
      <c r="SKG2" s="42"/>
      <c r="SKH2" s="42"/>
      <c r="SKI2" s="42"/>
      <c r="SKJ2" s="42"/>
      <c r="SKK2" s="42"/>
      <c r="SKL2" s="42"/>
      <c r="SKM2" s="42"/>
      <c r="SKN2" s="42"/>
      <c r="SKO2" s="42"/>
      <c r="SKP2" s="42"/>
      <c r="SKQ2" s="42"/>
      <c r="SKR2" s="42"/>
      <c r="SKS2" s="42"/>
      <c r="SKT2" s="42"/>
      <c r="SKU2" s="42"/>
      <c r="SKV2" s="42"/>
      <c r="SKW2" s="42"/>
      <c r="SKX2" s="42"/>
      <c r="SKY2" s="42"/>
      <c r="SKZ2" s="42"/>
      <c r="SLA2" s="42"/>
      <c r="SLB2" s="42"/>
      <c r="SLC2" s="42"/>
      <c r="SLD2" s="42"/>
      <c r="SLE2" s="42"/>
      <c r="SLF2" s="42"/>
      <c r="SLG2" s="42"/>
      <c r="SLH2" s="42"/>
      <c r="SLI2" s="42"/>
      <c r="SLJ2" s="42"/>
      <c r="SLK2" s="42"/>
      <c r="SLL2" s="42"/>
      <c r="SLM2" s="42"/>
      <c r="SLN2" s="42"/>
      <c r="SLO2" s="42"/>
      <c r="SLP2" s="42"/>
      <c r="SLQ2" s="42"/>
      <c r="SLR2" s="42"/>
      <c r="SLS2" s="42"/>
      <c r="SLT2" s="42"/>
      <c r="SLU2" s="42"/>
      <c r="SLV2" s="42"/>
      <c r="SLW2" s="42"/>
      <c r="SLX2" s="42"/>
      <c r="SLY2" s="42"/>
      <c r="SLZ2" s="42"/>
      <c r="SMA2" s="42"/>
      <c r="SMB2" s="42"/>
      <c r="SMC2" s="42"/>
      <c r="SMD2" s="42"/>
      <c r="SME2" s="42"/>
      <c r="SMF2" s="42"/>
      <c r="SMG2" s="42"/>
      <c r="SMH2" s="42"/>
      <c r="SMI2" s="42"/>
      <c r="SMJ2" s="42"/>
      <c r="SMK2" s="42"/>
      <c r="SML2" s="42"/>
      <c r="SMM2" s="42"/>
      <c r="SMN2" s="42"/>
      <c r="SMO2" s="42"/>
      <c r="SMP2" s="42"/>
      <c r="SMQ2" s="42"/>
      <c r="SMR2" s="42"/>
      <c r="SMS2" s="42"/>
      <c r="SMT2" s="42"/>
      <c r="SMU2" s="42"/>
      <c r="SMV2" s="42"/>
      <c r="SMW2" s="42"/>
      <c r="SMX2" s="42"/>
      <c r="SMY2" s="42"/>
      <c r="SMZ2" s="42"/>
      <c r="SNA2" s="42"/>
      <c r="SNB2" s="42"/>
      <c r="SNC2" s="42"/>
      <c r="SND2" s="42"/>
      <c r="SNE2" s="42"/>
      <c r="SNF2" s="42"/>
      <c r="SNG2" s="42"/>
      <c r="SNH2" s="42"/>
      <c r="SNI2" s="42"/>
      <c r="SNJ2" s="42"/>
      <c r="SNK2" s="42"/>
      <c r="SNL2" s="42"/>
      <c r="SNM2" s="42"/>
      <c r="SNN2" s="42"/>
      <c r="SNO2" s="42"/>
      <c r="SNP2" s="42"/>
      <c r="SNQ2" s="42"/>
      <c r="SNR2" s="42"/>
      <c r="SNS2" s="42"/>
      <c r="SNT2" s="42"/>
      <c r="SNU2" s="42"/>
      <c r="SNV2" s="42"/>
      <c r="SNW2" s="42"/>
      <c r="SNX2" s="42"/>
      <c r="SNY2" s="42"/>
      <c r="SNZ2" s="42"/>
      <c r="SOA2" s="42"/>
      <c r="SOB2" s="42"/>
      <c r="SOC2" s="42"/>
      <c r="SOD2" s="42"/>
      <c r="SOE2" s="42"/>
      <c r="SOF2" s="42"/>
      <c r="SOG2" s="42"/>
      <c r="SOH2" s="42"/>
      <c r="SOI2" s="42"/>
      <c r="SOJ2" s="42"/>
      <c r="SOK2" s="42"/>
      <c r="SOL2" s="42"/>
      <c r="SOM2" s="42"/>
      <c r="SON2" s="42"/>
      <c r="SOO2" s="42"/>
      <c r="SOP2" s="42"/>
      <c r="SOQ2" s="42"/>
      <c r="SOR2" s="42"/>
      <c r="SOS2" s="42"/>
      <c r="SOT2" s="42"/>
      <c r="SOU2" s="42"/>
      <c r="SOV2" s="42"/>
      <c r="SOW2" s="42"/>
      <c r="SOX2" s="42"/>
      <c r="SOY2" s="42"/>
      <c r="SOZ2" s="42"/>
      <c r="SPA2" s="42"/>
      <c r="SPB2" s="42"/>
      <c r="SPC2" s="42"/>
      <c r="SPD2" s="42"/>
      <c r="SPE2" s="42"/>
      <c r="SPF2" s="42"/>
      <c r="SPG2" s="42"/>
      <c r="SPH2" s="42"/>
      <c r="SPI2" s="42"/>
      <c r="SPJ2" s="42"/>
      <c r="SPK2" s="42"/>
      <c r="SPL2" s="42"/>
      <c r="SPM2" s="42"/>
      <c r="SPN2" s="42"/>
      <c r="SPO2" s="42"/>
      <c r="SPP2" s="42"/>
      <c r="SPQ2" s="42"/>
      <c r="SPR2" s="42"/>
      <c r="SPS2" s="42"/>
      <c r="SPT2" s="42"/>
      <c r="SPU2" s="42"/>
      <c r="SPV2" s="42"/>
      <c r="SPW2" s="42"/>
      <c r="SPX2" s="42"/>
      <c r="SPY2" s="42"/>
      <c r="SPZ2" s="42"/>
      <c r="SQA2" s="42"/>
      <c r="SQB2" s="42"/>
      <c r="SQC2" s="42"/>
      <c r="SQD2" s="42"/>
      <c r="SQE2" s="42"/>
      <c r="SQF2" s="42"/>
      <c r="SQG2" s="42"/>
      <c r="SQH2" s="42"/>
      <c r="SQI2" s="42"/>
      <c r="SQJ2" s="42"/>
      <c r="SQK2" s="42"/>
      <c r="SQL2" s="42"/>
      <c r="SQM2" s="42"/>
      <c r="SQN2" s="42"/>
      <c r="SQO2" s="42"/>
      <c r="SQP2" s="42"/>
      <c r="SQQ2" s="42"/>
      <c r="SQR2" s="42"/>
      <c r="SQS2" s="42"/>
      <c r="SQT2" s="42"/>
      <c r="SQU2" s="42"/>
      <c r="SQV2" s="42"/>
      <c r="SQW2" s="42"/>
      <c r="SQX2" s="42"/>
      <c r="SQY2" s="42"/>
      <c r="SQZ2" s="42"/>
      <c r="SRA2" s="42"/>
      <c r="SRB2" s="42"/>
      <c r="SRC2" s="42"/>
      <c r="SRD2" s="42"/>
      <c r="SRE2" s="42"/>
      <c r="SRF2" s="42"/>
      <c r="SRG2" s="42"/>
      <c r="SRH2" s="42"/>
      <c r="SRI2" s="42"/>
      <c r="SRJ2" s="42"/>
      <c r="SRK2" s="42"/>
      <c r="SRL2" s="42"/>
      <c r="SRM2" s="42"/>
      <c r="SRN2" s="42"/>
      <c r="SRO2" s="42"/>
      <c r="SRP2" s="42"/>
      <c r="SRQ2" s="42"/>
      <c r="SRR2" s="42"/>
      <c r="SRS2" s="42"/>
      <c r="SRT2" s="42"/>
      <c r="SRU2" s="42"/>
      <c r="SRV2" s="42"/>
      <c r="SRW2" s="42"/>
      <c r="SRX2" s="42"/>
      <c r="SRY2" s="42"/>
      <c r="SRZ2" s="42"/>
      <c r="SSA2" s="42"/>
      <c r="SSB2" s="42"/>
      <c r="SSC2" s="42"/>
      <c r="SSD2" s="42"/>
      <c r="SSE2" s="42"/>
      <c r="SSF2" s="42"/>
      <c r="SSG2" s="42"/>
      <c r="SSH2" s="42"/>
      <c r="SSI2" s="42"/>
      <c r="SSJ2" s="42"/>
      <c r="SSK2" s="42"/>
      <c r="SSL2" s="42"/>
      <c r="SSM2" s="42"/>
      <c r="SSN2" s="42"/>
      <c r="SSO2" s="42"/>
      <c r="SSP2" s="42"/>
      <c r="SSQ2" s="42"/>
      <c r="SSR2" s="42"/>
      <c r="SSS2" s="42"/>
      <c r="SST2" s="42"/>
      <c r="SSU2" s="42"/>
      <c r="SSV2" s="42"/>
      <c r="SSW2" s="42"/>
      <c r="SSX2" s="42"/>
      <c r="SSY2" s="42"/>
      <c r="SSZ2" s="42"/>
      <c r="STA2" s="42"/>
      <c r="STB2" s="42"/>
      <c r="STC2" s="42"/>
      <c r="STD2" s="42"/>
      <c r="STE2" s="42"/>
      <c r="STF2" s="42"/>
      <c r="STG2" s="42"/>
      <c r="STH2" s="42"/>
      <c r="STI2" s="42"/>
      <c r="STJ2" s="42"/>
      <c r="STK2" s="42"/>
      <c r="STL2" s="42"/>
      <c r="STM2" s="42"/>
      <c r="STN2" s="42"/>
      <c r="STO2" s="42"/>
      <c r="STP2" s="42"/>
      <c r="STQ2" s="42"/>
      <c r="STR2" s="42"/>
      <c r="STS2" s="42"/>
      <c r="STT2" s="42"/>
      <c r="STU2" s="42"/>
      <c r="STV2" s="42"/>
      <c r="STW2" s="42"/>
      <c r="STX2" s="42"/>
      <c r="STY2" s="42"/>
      <c r="STZ2" s="42"/>
      <c r="SUA2" s="42"/>
      <c r="SUB2" s="42"/>
      <c r="SUC2" s="42"/>
      <c r="SUD2" s="42"/>
      <c r="SUE2" s="42"/>
      <c r="SUF2" s="42"/>
      <c r="SUG2" s="42"/>
      <c r="SUH2" s="42"/>
      <c r="SUI2" s="42"/>
      <c r="SUJ2" s="42"/>
      <c r="SUK2" s="42"/>
      <c r="SUL2" s="42"/>
      <c r="SUM2" s="42"/>
      <c r="SUN2" s="42"/>
      <c r="SUO2" s="42"/>
      <c r="SUP2" s="42"/>
      <c r="SUQ2" s="42"/>
      <c r="SUR2" s="42"/>
      <c r="SUS2" s="42"/>
      <c r="SUT2" s="42"/>
      <c r="SUU2" s="42"/>
      <c r="SUV2" s="42"/>
      <c r="SUW2" s="42"/>
      <c r="SUX2" s="42"/>
      <c r="SUY2" s="42"/>
      <c r="SUZ2" s="42"/>
      <c r="SVA2" s="42"/>
      <c r="SVB2" s="42"/>
      <c r="SVC2" s="42"/>
      <c r="SVD2" s="42"/>
      <c r="SVE2" s="42"/>
      <c r="SVF2" s="42"/>
      <c r="SVG2" s="42"/>
      <c r="SVH2" s="42"/>
      <c r="SVI2" s="42"/>
      <c r="SVJ2" s="42"/>
      <c r="SVK2" s="42"/>
      <c r="SVL2" s="42"/>
      <c r="SVM2" s="42"/>
      <c r="SVN2" s="42"/>
      <c r="SVO2" s="42"/>
      <c r="SVP2" s="42"/>
      <c r="SVQ2" s="42"/>
      <c r="SVR2" s="42"/>
      <c r="SVS2" s="42"/>
      <c r="SVT2" s="42"/>
      <c r="SVU2" s="42"/>
      <c r="SVV2" s="42"/>
      <c r="SVW2" s="42"/>
      <c r="SVX2" s="42"/>
      <c r="SVY2" s="42"/>
      <c r="SVZ2" s="42"/>
      <c r="SWA2" s="42"/>
      <c r="SWB2" s="42"/>
      <c r="SWC2" s="42"/>
      <c r="SWD2" s="42"/>
      <c r="SWE2" s="42"/>
      <c r="SWF2" s="42"/>
      <c r="SWG2" s="42"/>
      <c r="SWH2" s="42"/>
      <c r="SWI2" s="42"/>
      <c r="SWJ2" s="42"/>
      <c r="SWK2" s="42"/>
      <c r="SWL2" s="42"/>
      <c r="SWM2" s="42"/>
      <c r="SWN2" s="42"/>
      <c r="SWO2" s="42"/>
      <c r="SWP2" s="42"/>
      <c r="SWQ2" s="42"/>
      <c r="SWR2" s="42"/>
      <c r="SWS2" s="42"/>
      <c r="SWT2" s="42"/>
      <c r="SWU2" s="42"/>
      <c r="SWV2" s="42"/>
      <c r="SWW2" s="42"/>
      <c r="SWX2" s="42"/>
      <c r="SWY2" s="42"/>
      <c r="SWZ2" s="42"/>
      <c r="SXA2" s="42"/>
      <c r="SXB2" s="42"/>
      <c r="SXC2" s="42"/>
      <c r="SXD2" s="42"/>
      <c r="SXE2" s="42"/>
      <c r="SXF2" s="42"/>
      <c r="SXG2" s="42"/>
      <c r="SXH2" s="42"/>
      <c r="SXI2" s="42"/>
      <c r="SXJ2" s="42"/>
      <c r="SXK2" s="42"/>
      <c r="SXL2" s="42"/>
      <c r="SXM2" s="42"/>
      <c r="SXN2" s="42"/>
      <c r="SXO2" s="42"/>
      <c r="SXP2" s="42"/>
      <c r="SXQ2" s="42"/>
      <c r="SXR2" s="42"/>
      <c r="SXS2" s="42"/>
      <c r="SXT2" s="42"/>
      <c r="SXU2" s="42"/>
      <c r="SXV2" s="42"/>
      <c r="SXW2" s="42"/>
      <c r="SXX2" s="42"/>
      <c r="SXY2" s="42"/>
      <c r="SXZ2" s="42"/>
      <c r="SYA2" s="42"/>
      <c r="SYB2" s="42"/>
      <c r="SYC2" s="42"/>
      <c r="SYD2" s="42"/>
      <c r="SYE2" s="42"/>
      <c r="SYF2" s="42"/>
      <c r="SYG2" s="42"/>
      <c r="SYH2" s="42"/>
      <c r="SYI2" s="42"/>
      <c r="SYJ2" s="42"/>
      <c r="SYK2" s="42"/>
      <c r="SYL2" s="42"/>
      <c r="SYM2" s="42"/>
      <c r="SYN2" s="42"/>
      <c r="SYO2" s="42"/>
      <c r="SYP2" s="42"/>
      <c r="SYQ2" s="42"/>
      <c r="SYR2" s="42"/>
      <c r="SYS2" s="42"/>
      <c r="SYT2" s="42"/>
      <c r="SYU2" s="42"/>
      <c r="SYV2" s="42"/>
      <c r="SYW2" s="42"/>
      <c r="SYX2" s="42"/>
      <c r="SYY2" s="42"/>
      <c r="SYZ2" s="42"/>
      <c r="SZA2" s="42"/>
      <c r="SZB2" s="42"/>
      <c r="SZC2" s="42"/>
      <c r="SZD2" s="42"/>
      <c r="SZE2" s="42"/>
      <c r="SZF2" s="42"/>
      <c r="SZG2" s="42"/>
      <c r="SZH2" s="42"/>
      <c r="SZI2" s="42"/>
      <c r="SZJ2" s="42"/>
      <c r="SZK2" s="42"/>
      <c r="SZL2" s="42"/>
      <c r="SZM2" s="42"/>
      <c r="SZN2" s="42"/>
      <c r="SZO2" s="42"/>
      <c r="SZP2" s="42"/>
      <c r="SZQ2" s="42"/>
      <c r="SZR2" s="42"/>
      <c r="SZS2" s="42"/>
      <c r="SZT2" s="42"/>
      <c r="SZU2" s="42"/>
      <c r="SZV2" s="42"/>
      <c r="SZW2" s="42"/>
      <c r="SZX2" s="42"/>
      <c r="SZY2" s="42"/>
      <c r="SZZ2" s="42"/>
      <c r="TAA2" s="42"/>
      <c r="TAB2" s="42"/>
      <c r="TAC2" s="42"/>
      <c r="TAD2" s="42"/>
      <c r="TAE2" s="42"/>
      <c r="TAF2" s="42"/>
      <c r="TAG2" s="42"/>
      <c r="TAH2" s="42"/>
      <c r="TAI2" s="42"/>
      <c r="TAJ2" s="42"/>
      <c r="TAK2" s="42"/>
      <c r="TAL2" s="42"/>
      <c r="TAM2" s="42"/>
      <c r="TAN2" s="42"/>
      <c r="TAO2" s="42"/>
      <c r="TAP2" s="42"/>
      <c r="TAQ2" s="42"/>
      <c r="TAR2" s="42"/>
      <c r="TAS2" s="42"/>
      <c r="TAT2" s="42"/>
      <c r="TAU2" s="42"/>
      <c r="TAV2" s="42"/>
      <c r="TAW2" s="42"/>
      <c r="TAX2" s="42"/>
      <c r="TAY2" s="42"/>
      <c r="TAZ2" s="42"/>
      <c r="TBA2" s="42"/>
      <c r="TBB2" s="42"/>
      <c r="TBC2" s="42"/>
      <c r="TBD2" s="42"/>
      <c r="TBE2" s="42"/>
      <c r="TBF2" s="42"/>
      <c r="TBG2" s="42"/>
      <c r="TBH2" s="42"/>
      <c r="TBI2" s="42"/>
      <c r="TBJ2" s="42"/>
      <c r="TBK2" s="42"/>
      <c r="TBL2" s="42"/>
      <c r="TBM2" s="42"/>
      <c r="TBN2" s="42"/>
      <c r="TBO2" s="42"/>
      <c r="TBP2" s="42"/>
      <c r="TBQ2" s="42"/>
      <c r="TBR2" s="42"/>
      <c r="TBS2" s="42"/>
      <c r="TBT2" s="42"/>
      <c r="TBU2" s="42"/>
      <c r="TBV2" s="42"/>
      <c r="TBW2" s="42"/>
      <c r="TBX2" s="42"/>
      <c r="TBY2" s="42"/>
      <c r="TBZ2" s="42"/>
      <c r="TCA2" s="42"/>
      <c r="TCB2" s="42"/>
      <c r="TCC2" s="42"/>
      <c r="TCD2" s="42"/>
      <c r="TCE2" s="42"/>
      <c r="TCF2" s="42"/>
      <c r="TCG2" s="42"/>
      <c r="TCH2" s="42"/>
      <c r="TCI2" s="42"/>
      <c r="TCJ2" s="42"/>
      <c r="TCK2" s="42"/>
      <c r="TCL2" s="42"/>
      <c r="TCM2" s="42"/>
      <c r="TCN2" s="42"/>
      <c r="TCO2" s="42"/>
      <c r="TCP2" s="42"/>
      <c r="TCQ2" s="42"/>
      <c r="TCR2" s="42"/>
      <c r="TCS2" s="42"/>
      <c r="TCT2" s="42"/>
      <c r="TCU2" s="42"/>
      <c r="TCV2" s="42"/>
      <c r="TCW2" s="42"/>
      <c r="TCX2" s="42"/>
      <c r="TCY2" s="42"/>
      <c r="TCZ2" s="42"/>
      <c r="TDA2" s="42"/>
      <c r="TDB2" s="42"/>
      <c r="TDC2" s="42"/>
      <c r="TDD2" s="42"/>
      <c r="TDE2" s="42"/>
      <c r="TDF2" s="42"/>
      <c r="TDG2" s="42"/>
      <c r="TDH2" s="42"/>
      <c r="TDI2" s="42"/>
      <c r="TDJ2" s="42"/>
      <c r="TDK2" s="42"/>
      <c r="TDL2" s="42"/>
      <c r="TDM2" s="42"/>
      <c r="TDN2" s="42"/>
      <c r="TDO2" s="42"/>
      <c r="TDP2" s="42"/>
      <c r="TDQ2" s="42"/>
      <c r="TDR2" s="42"/>
      <c r="TDS2" s="42"/>
      <c r="TDT2" s="42"/>
      <c r="TDU2" s="42"/>
      <c r="TDV2" s="42"/>
      <c r="TDW2" s="42"/>
      <c r="TDX2" s="42"/>
      <c r="TDY2" s="42"/>
      <c r="TDZ2" s="42"/>
      <c r="TEA2" s="42"/>
      <c r="TEB2" s="42"/>
      <c r="TEC2" s="42"/>
      <c r="TED2" s="42"/>
      <c r="TEE2" s="42"/>
      <c r="TEF2" s="42"/>
      <c r="TEG2" s="42"/>
      <c r="TEH2" s="42"/>
      <c r="TEI2" s="42"/>
      <c r="TEJ2" s="42"/>
      <c r="TEK2" s="42"/>
      <c r="TEL2" s="42"/>
      <c r="TEM2" s="42"/>
      <c r="TEN2" s="42"/>
      <c r="TEO2" s="42"/>
      <c r="TEP2" s="42"/>
      <c r="TEQ2" s="42"/>
      <c r="TER2" s="42"/>
      <c r="TES2" s="42"/>
      <c r="TET2" s="42"/>
      <c r="TEU2" s="42"/>
      <c r="TEV2" s="42"/>
      <c r="TEW2" s="42"/>
      <c r="TEX2" s="42"/>
      <c r="TEY2" s="42"/>
      <c r="TEZ2" s="42"/>
      <c r="TFA2" s="42"/>
      <c r="TFB2" s="42"/>
      <c r="TFC2" s="42"/>
      <c r="TFD2" s="42"/>
      <c r="TFE2" s="42"/>
      <c r="TFF2" s="42"/>
      <c r="TFG2" s="42"/>
      <c r="TFH2" s="42"/>
      <c r="TFI2" s="42"/>
      <c r="TFJ2" s="42"/>
      <c r="TFK2" s="42"/>
      <c r="TFL2" s="42"/>
      <c r="TFM2" s="42"/>
      <c r="TFN2" s="42"/>
      <c r="TFO2" s="42"/>
      <c r="TFP2" s="42"/>
      <c r="TFQ2" s="42"/>
      <c r="TFR2" s="42"/>
      <c r="TFS2" s="42"/>
      <c r="TFT2" s="42"/>
      <c r="TFU2" s="42"/>
      <c r="TFV2" s="42"/>
      <c r="TFW2" s="42"/>
      <c r="TFX2" s="42"/>
      <c r="TFY2" s="42"/>
      <c r="TFZ2" s="42"/>
      <c r="TGA2" s="42"/>
      <c r="TGB2" s="42"/>
      <c r="TGC2" s="42"/>
      <c r="TGD2" s="42"/>
      <c r="TGE2" s="42"/>
      <c r="TGF2" s="42"/>
      <c r="TGG2" s="42"/>
      <c r="TGH2" s="42"/>
      <c r="TGI2" s="42"/>
      <c r="TGJ2" s="42"/>
      <c r="TGK2" s="42"/>
      <c r="TGL2" s="42"/>
      <c r="TGM2" s="42"/>
      <c r="TGN2" s="42"/>
      <c r="TGO2" s="42"/>
      <c r="TGP2" s="42"/>
      <c r="TGQ2" s="42"/>
      <c r="TGR2" s="42"/>
      <c r="TGS2" s="42"/>
      <c r="TGT2" s="42"/>
      <c r="TGU2" s="42"/>
      <c r="TGV2" s="42"/>
      <c r="TGW2" s="42"/>
      <c r="TGX2" s="42"/>
      <c r="TGY2" s="42"/>
      <c r="TGZ2" s="42"/>
      <c r="THA2" s="42"/>
      <c r="THB2" s="42"/>
      <c r="THC2" s="42"/>
      <c r="THD2" s="42"/>
      <c r="THE2" s="42"/>
      <c r="THF2" s="42"/>
      <c r="THG2" s="42"/>
      <c r="THH2" s="42"/>
      <c r="THI2" s="42"/>
      <c r="THJ2" s="42"/>
      <c r="THK2" s="42"/>
      <c r="THL2" s="42"/>
      <c r="THM2" s="42"/>
      <c r="THN2" s="42"/>
      <c r="THO2" s="42"/>
      <c r="THP2" s="42"/>
      <c r="THQ2" s="42"/>
      <c r="THR2" s="42"/>
      <c r="THS2" s="42"/>
      <c r="THT2" s="42"/>
      <c r="THU2" s="42"/>
      <c r="THV2" s="42"/>
      <c r="THW2" s="42"/>
      <c r="THX2" s="42"/>
      <c r="THY2" s="42"/>
      <c r="THZ2" s="42"/>
      <c r="TIA2" s="42"/>
      <c r="TIB2" s="42"/>
      <c r="TIC2" s="42"/>
      <c r="TID2" s="42"/>
      <c r="TIE2" s="42"/>
      <c r="TIF2" s="42"/>
      <c r="TIG2" s="42"/>
      <c r="TIH2" s="42"/>
      <c r="TII2" s="42"/>
      <c r="TIJ2" s="42"/>
      <c r="TIK2" s="42"/>
      <c r="TIL2" s="42"/>
      <c r="TIM2" s="42"/>
      <c r="TIN2" s="42"/>
      <c r="TIO2" s="42"/>
      <c r="TIP2" s="42"/>
      <c r="TIQ2" s="42"/>
      <c r="TIR2" s="42"/>
      <c r="TIS2" s="42"/>
      <c r="TIT2" s="42"/>
      <c r="TIU2" s="42"/>
      <c r="TIV2" s="42"/>
      <c r="TIW2" s="42"/>
      <c r="TIX2" s="42"/>
      <c r="TIY2" s="42"/>
      <c r="TIZ2" s="42"/>
      <c r="TJA2" s="42"/>
      <c r="TJB2" s="42"/>
      <c r="TJC2" s="42"/>
      <c r="TJD2" s="42"/>
      <c r="TJE2" s="42"/>
      <c r="TJF2" s="42"/>
      <c r="TJG2" s="42"/>
      <c r="TJH2" s="42"/>
      <c r="TJI2" s="42"/>
      <c r="TJJ2" s="42"/>
      <c r="TJK2" s="42"/>
      <c r="TJL2" s="42"/>
      <c r="TJM2" s="42"/>
      <c r="TJN2" s="42"/>
      <c r="TJO2" s="42"/>
      <c r="TJP2" s="42"/>
      <c r="TJQ2" s="42"/>
      <c r="TJR2" s="42"/>
      <c r="TJS2" s="42"/>
      <c r="TJT2" s="42"/>
      <c r="TJU2" s="42"/>
      <c r="TJV2" s="42"/>
      <c r="TJW2" s="42"/>
      <c r="TJX2" s="42"/>
      <c r="TJY2" s="42"/>
      <c r="TJZ2" s="42"/>
      <c r="TKA2" s="42"/>
      <c r="TKB2" s="42"/>
      <c r="TKC2" s="42"/>
      <c r="TKD2" s="42"/>
      <c r="TKE2" s="42"/>
      <c r="TKF2" s="42"/>
      <c r="TKG2" s="42"/>
      <c r="TKH2" s="42"/>
      <c r="TKI2" s="42"/>
      <c r="TKJ2" s="42"/>
      <c r="TKK2" s="42"/>
      <c r="TKL2" s="42"/>
      <c r="TKM2" s="42"/>
      <c r="TKN2" s="42"/>
      <c r="TKO2" s="42"/>
      <c r="TKP2" s="42"/>
      <c r="TKQ2" s="42"/>
      <c r="TKR2" s="42"/>
      <c r="TKS2" s="42"/>
      <c r="TKT2" s="42"/>
      <c r="TKU2" s="42"/>
      <c r="TKV2" s="42"/>
      <c r="TKW2" s="42"/>
      <c r="TKX2" s="42"/>
      <c r="TKY2" s="42"/>
      <c r="TKZ2" s="42"/>
      <c r="TLA2" s="42"/>
      <c r="TLB2" s="42"/>
      <c r="TLC2" s="42"/>
      <c r="TLD2" s="42"/>
      <c r="TLE2" s="42"/>
      <c r="TLF2" s="42"/>
      <c r="TLG2" s="42"/>
      <c r="TLH2" s="42"/>
      <c r="TLI2" s="42"/>
      <c r="TLJ2" s="42"/>
      <c r="TLK2" s="42"/>
      <c r="TLL2" s="42"/>
      <c r="TLM2" s="42"/>
      <c r="TLN2" s="42"/>
      <c r="TLO2" s="42"/>
      <c r="TLP2" s="42"/>
      <c r="TLQ2" s="42"/>
      <c r="TLR2" s="42"/>
      <c r="TLS2" s="42"/>
      <c r="TLT2" s="42"/>
      <c r="TLU2" s="42"/>
      <c r="TLV2" s="42"/>
      <c r="TLW2" s="42"/>
      <c r="TLX2" s="42"/>
      <c r="TLY2" s="42"/>
      <c r="TLZ2" s="42"/>
      <c r="TMA2" s="42"/>
      <c r="TMB2" s="42"/>
      <c r="TMC2" s="42"/>
      <c r="TMD2" s="42"/>
      <c r="TME2" s="42"/>
      <c r="TMF2" s="42"/>
      <c r="TMG2" s="42"/>
      <c r="TMH2" s="42"/>
      <c r="TMI2" s="42"/>
      <c r="TMJ2" s="42"/>
      <c r="TMK2" s="42"/>
      <c r="TML2" s="42"/>
      <c r="TMM2" s="42"/>
      <c r="TMN2" s="42"/>
      <c r="TMO2" s="42"/>
      <c r="TMP2" s="42"/>
      <c r="TMQ2" s="42"/>
      <c r="TMR2" s="42"/>
      <c r="TMS2" s="42"/>
      <c r="TMT2" s="42"/>
      <c r="TMU2" s="42"/>
      <c r="TMV2" s="42"/>
      <c r="TMW2" s="42"/>
      <c r="TMX2" s="42"/>
      <c r="TMY2" s="42"/>
      <c r="TMZ2" s="42"/>
      <c r="TNA2" s="42"/>
      <c r="TNB2" s="42"/>
      <c r="TNC2" s="42"/>
      <c r="TND2" s="42"/>
      <c r="TNE2" s="42"/>
      <c r="TNF2" s="42"/>
      <c r="TNG2" s="42"/>
      <c r="TNH2" s="42"/>
      <c r="TNI2" s="42"/>
      <c r="TNJ2" s="42"/>
      <c r="TNK2" s="42"/>
      <c r="TNL2" s="42"/>
      <c r="TNM2" s="42"/>
      <c r="TNN2" s="42"/>
      <c r="TNO2" s="42"/>
      <c r="TNP2" s="42"/>
      <c r="TNQ2" s="42"/>
      <c r="TNR2" s="42"/>
      <c r="TNS2" s="42"/>
      <c r="TNT2" s="42"/>
      <c r="TNU2" s="42"/>
      <c r="TNV2" s="42"/>
      <c r="TNW2" s="42"/>
      <c r="TNX2" s="42"/>
      <c r="TNY2" s="42"/>
      <c r="TNZ2" s="42"/>
      <c r="TOA2" s="42"/>
      <c r="TOB2" s="42"/>
      <c r="TOC2" s="42"/>
      <c r="TOD2" s="42"/>
      <c r="TOE2" s="42"/>
      <c r="TOF2" s="42"/>
      <c r="TOG2" s="42"/>
      <c r="TOH2" s="42"/>
      <c r="TOI2" s="42"/>
      <c r="TOJ2" s="42"/>
      <c r="TOK2" s="42"/>
      <c r="TOL2" s="42"/>
      <c r="TOM2" s="42"/>
      <c r="TON2" s="42"/>
      <c r="TOO2" s="42"/>
      <c r="TOP2" s="42"/>
      <c r="TOQ2" s="42"/>
      <c r="TOR2" s="42"/>
      <c r="TOS2" s="42"/>
      <c r="TOT2" s="42"/>
      <c r="TOU2" s="42"/>
      <c r="TOV2" s="42"/>
      <c r="TOW2" s="42"/>
      <c r="TOX2" s="42"/>
      <c r="TOY2" s="42"/>
      <c r="TOZ2" s="42"/>
      <c r="TPA2" s="42"/>
      <c r="TPB2" s="42"/>
      <c r="TPC2" s="42"/>
      <c r="TPD2" s="42"/>
      <c r="TPE2" s="42"/>
      <c r="TPF2" s="42"/>
      <c r="TPG2" s="42"/>
      <c r="TPH2" s="42"/>
      <c r="TPI2" s="42"/>
      <c r="TPJ2" s="42"/>
      <c r="TPK2" s="42"/>
      <c r="TPL2" s="42"/>
      <c r="TPM2" s="42"/>
      <c r="TPN2" s="42"/>
      <c r="TPO2" s="42"/>
      <c r="TPP2" s="42"/>
      <c r="TPQ2" s="42"/>
      <c r="TPR2" s="42"/>
      <c r="TPS2" s="42"/>
      <c r="TPT2" s="42"/>
      <c r="TPU2" s="42"/>
      <c r="TPV2" s="42"/>
      <c r="TPW2" s="42"/>
      <c r="TPX2" s="42"/>
      <c r="TPY2" s="42"/>
      <c r="TPZ2" s="42"/>
      <c r="TQA2" s="42"/>
      <c r="TQB2" s="42"/>
      <c r="TQC2" s="42"/>
      <c r="TQD2" s="42"/>
      <c r="TQE2" s="42"/>
      <c r="TQF2" s="42"/>
      <c r="TQG2" s="42"/>
      <c r="TQH2" s="42"/>
      <c r="TQI2" s="42"/>
      <c r="TQJ2" s="42"/>
      <c r="TQK2" s="42"/>
      <c r="TQL2" s="42"/>
      <c r="TQM2" s="42"/>
      <c r="TQN2" s="42"/>
      <c r="TQO2" s="42"/>
      <c r="TQP2" s="42"/>
      <c r="TQQ2" s="42"/>
      <c r="TQR2" s="42"/>
      <c r="TQS2" s="42"/>
      <c r="TQT2" s="42"/>
      <c r="TQU2" s="42"/>
      <c r="TQV2" s="42"/>
      <c r="TQW2" s="42"/>
      <c r="TQX2" s="42"/>
      <c r="TQY2" s="42"/>
      <c r="TQZ2" s="42"/>
      <c r="TRA2" s="42"/>
      <c r="TRB2" s="42"/>
      <c r="TRC2" s="42"/>
      <c r="TRD2" s="42"/>
      <c r="TRE2" s="42"/>
      <c r="TRF2" s="42"/>
      <c r="TRG2" s="42"/>
      <c r="TRH2" s="42"/>
      <c r="TRI2" s="42"/>
      <c r="TRJ2" s="42"/>
      <c r="TRK2" s="42"/>
      <c r="TRL2" s="42"/>
      <c r="TRM2" s="42"/>
      <c r="TRN2" s="42"/>
      <c r="TRO2" s="42"/>
      <c r="TRP2" s="42"/>
      <c r="TRQ2" s="42"/>
      <c r="TRR2" s="42"/>
      <c r="TRS2" s="42"/>
      <c r="TRT2" s="42"/>
      <c r="TRU2" s="42"/>
      <c r="TRV2" s="42"/>
      <c r="TRW2" s="42"/>
      <c r="TRX2" s="42"/>
      <c r="TRY2" s="42"/>
      <c r="TRZ2" s="42"/>
      <c r="TSA2" s="42"/>
      <c r="TSB2" s="42"/>
      <c r="TSC2" s="42"/>
      <c r="TSD2" s="42"/>
      <c r="TSE2" s="42"/>
      <c r="TSF2" s="42"/>
      <c r="TSG2" s="42"/>
      <c r="TSH2" s="42"/>
      <c r="TSI2" s="42"/>
      <c r="TSJ2" s="42"/>
      <c r="TSK2" s="42"/>
      <c r="TSL2" s="42"/>
      <c r="TSM2" s="42"/>
      <c r="TSN2" s="42"/>
      <c r="TSO2" s="42"/>
      <c r="TSP2" s="42"/>
      <c r="TSQ2" s="42"/>
      <c r="TSR2" s="42"/>
      <c r="TSS2" s="42"/>
      <c r="TST2" s="42"/>
      <c r="TSU2" s="42"/>
      <c r="TSV2" s="42"/>
      <c r="TSW2" s="42"/>
      <c r="TSX2" s="42"/>
      <c r="TSY2" s="42"/>
      <c r="TSZ2" s="42"/>
      <c r="TTA2" s="42"/>
      <c r="TTB2" s="42"/>
      <c r="TTC2" s="42"/>
      <c r="TTD2" s="42"/>
      <c r="TTE2" s="42"/>
      <c r="TTF2" s="42"/>
      <c r="TTG2" s="42"/>
      <c r="TTH2" s="42"/>
      <c r="TTI2" s="42"/>
      <c r="TTJ2" s="42"/>
      <c r="TTK2" s="42"/>
      <c r="TTL2" s="42"/>
      <c r="TTM2" s="42"/>
      <c r="TTN2" s="42"/>
      <c r="TTO2" s="42"/>
      <c r="TTP2" s="42"/>
      <c r="TTQ2" s="42"/>
      <c r="TTR2" s="42"/>
      <c r="TTS2" s="42"/>
      <c r="TTT2" s="42"/>
      <c r="TTU2" s="42"/>
      <c r="TTV2" s="42"/>
      <c r="TTW2" s="42"/>
      <c r="TTX2" s="42"/>
      <c r="TTY2" s="42"/>
      <c r="TTZ2" s="42"/>
      <c r="TUA2" s="42"/>
      <c r="TUB2" s="42"/>
      <c r="TUC2" s="42"/>
      <c r="TUD2" s="42"/>
      <c r="TUE2" s="42"/>
      <c r="TUF2" s="42"/>
      <c r="TUG2" s="42"/>
      <c r="TUH2" s="42"/>
      <c r="TUI2" s="42"/>
      <c r="TUJ2" s="42"/>
      <c r="TUK2" s="42"/>
      <c r="TUL2" s="42"/>
      <c r="TUM2" s="42"/>
      <c r="TUN2" s="42"/>
      <c r="TUO2" s="42"/>
      <c r="TUP2" s="42"/>
      <c r="TUQ2" s="42"/>
      <c r="TUR2" s="42"/>
      <c r="TUS2" s="42"/>
      <c r="TUT2" s="42"/>
      <c r="TUU2" s="42"/>
      <c r="TUV2" s="42"/>
      <c r="TUW2" s="42"/>
      <c r="TUX2" s="42"/>
      <c r="TUY2" s="42"/>
      <c r="TUZ2" s="42"/>
      <c r="TVA2" s="42"/>
      <c r="TVB2" s="42"/>
      <c r="TVC2" s="42"/>
      <c r="TVD2" s="42"/>
      <c r="TVE2" s="42"/>
      <c r="TVF2" s="42"/>
      <c r="TVG2" s="42"/>
      <c r="TVH2" s="42"/>
      <c r="TVI2" s="42"/>
      <c r="TVJ2" s="42"/>
      <c r="TVK2" s="42"/>
      <c r="TVL2" s="42"/>
      <c r="TVM2" s="42"/>
      <c r="TVN2" s="42"/>
      <c r="TVO2" s="42"/>
      <c r="TVP2" s="42"/>
      <c r="TVQ2" s="42"/>
      <c r="TVR2" s="42"/>
      <c r="TVS2" s="42"/>
      <c r="TVT2" s="42"/>
      <c r="TVU2" s="42"/>
      <c r="TVV2" s="42"/>
      <c r="TVW2" s="42"/>
      <c r="TVX2" s="42"/>
      <c r="TVY2" s="42"/>
      <c r="TVZ2" s="42"/>
      <c r="TWA2" s="42"/>
      <c r="TWB2" s="42"/>
      <c r="TWC2" s="42"/>
      <c r="TWD2" s="42"/>
      <c r="TWE2" s="42"/>
      <c r="TWF2" s="42"/>
      <c r="TWG2" s="42"/>
      <c r="TWH2" s="42"/>
      <c r="TWI2" s="42"/>
      <c r="TWJ2" s="42"/>
      <c r="TWK2" s="42"/>
      <c r="TWL2" s="42"/>
      <c r="TWM2" s="42"/>
      <c r="TWN2" s="42"/>
      <c r="TWO2" s="42"/>
      <c r="TWP2" s="42"/>
      <c r="TWQ2" s="42"/>
      <c r="TWR2" s="42"/>
      <c r="TWS2" s="42"/>
      <c r="TWT2" s="42"/>
      <c r="TWU2" s="42"/>
      <c r="TWV2" s="42"/>
      <c r="TWW2" s="42"/>
      <c r="TWX2" s="42"/>
      <c r="TWY2" s="42"/>
      <c r="TWZ2" s="42"/>
      <c r="TXA2" s="42"/>
      <c r="TXB2" s="42"/>
      <c r="TXC2" s="42"/>
      <c r="TXD2" s="42"/>
      <c r="TXE2" s="42"/>
      <c r="TXF2" s="42"/>
      <c r="TXG2" s="42"/>
      <c r="TXH2" s="42"/>
      <c r="TXI2" s="42"/>
      <c r="TXJ2" s="42"/>
      <c r="TXK2" s="42"/>
      <c r="TXL2" s="42"/>
      <c r="TXM2" s="42"/>
      <c r="TXN2" s="42"/>
      <c r="TXO2" s="42"/>
      <c r="TXP2" s="42"/>
      <c r="TXQ2" s="42"/>
      <c r="TXR2" s="42"/>
      <c r="TXS2" s="42"/>
      <c r="TXT2" s="42"/>
      <c r="TXU2" s="42"/>
      <c r="TXV2" s="42"/>
      <c r="TXW2" s="42"/>
      <c r="TXX2" s="42"/>
      <c r="TXY2" s="42"/>
      <c r="TXZ2" s="42"/>
      <c r="TYA2" s="42"/>
      <c r="TYB2" s="42"/>
      <c r="TYC2" s="42"/>
      <c r="TYD2" s="42"/>
      <c r="TYE2" s="42"/>
      <c r="TYF2" s="42"/>
      <c r="TYG2" s="42"/>
      <c r="TYH2" s="42"/>
      <c r="TYI2" s="42"/>
      <c r="TYJ2" s="42"/>
      <c r="TYK2" s="42"/>
      <c r="TYL2" s="42"/>
      <c r="TYM2" s="42"/>
      <c r="TYN2" s="42"/>
      <c r="TYO2" s="42"/>
      <c r="TYP2" s="42"/>
      <c r="TYQ2" s="42"/>
      <c r="TYR2" s="42"/>
      <c r="TYS2" s="42"/>
      <c r="TYT2" s="42"/>
      <c r="TYU2" s="42"/>
      <c r="TYV2" s="42"/>
      <c r="TYW2" s="42"/>
      <c r="TYX2" s="42"/>
      <c r="TYY2" s="42"/>
      <c r="TYZ2" s="42"/>
      <c r="TZA2" s="42"/>
      <c r="TZB2" s="42"/>
      <c r="TZC2" s="42"/>
      <c r="TZD2" s="42"/>
      <c r="TZE2" s="42"/>
      <c r="TZF2" s="42"/>
      <c r="TZG2" s="42"/>
      <c r="TZH2" s="42"/>
      <c r="TZI2" s="42"/>
      <c r="TZJ2" s="42"/>
      <c r="TZK2" s="42"/>
      <c r="TZL2" s="42"/>
      <c r="TZM2" s="42"/>
      <c r="TZN2" s="42"/>
      <c r="TZO2" s="42"/>
      <c r="TZP2" s="42"/>
      <c r="TZQ2" s="42"/>
      <c r="TZR2" s="42"/>
      <c r="TZS2" s="42"/>
      <c r="TZT2" s="42"/>
      <c r="TZU2" s="42"/>
      <c r="TZV2" s="42"/>
      <c r="TZW2" s="42"/>
      <c r="TZX2" s="42"/>
      <c r="TZY2" s="42"/>
      <c r="TZZ2" s="42"/>
      <c r="UAA2" s="42"/>
      <c r="UAB2" s="42"/>
      <c r="UAC2" s="42"/>
      <c r="UAD2" s="42"/>
      <c r="UAE2" s="42"/>
      <c r="UAF2" s="42"/>
      <c r="UAG2" s="42"/>
      <c r="UAH2" s="42"/>
      <c r="UAI2" s="42"/>
      <c r="UAJ2" s="42"/>
      <c r="UAK2" s="42"/>
      <c r="UAL2" s="42"/>
      <c r="UAM2" s="42"/>
      <c r="UAN2" s="42"/>
      <c r="UAO2" s="42"/>
      <c r="UAP2" s="42"/>
      <c r="UAQ2" s="42"/>
      <c r="UAR2" s="42"/>
      <c r="UAS2" s="42"/>
      <c r="UAT2" s="42"/>
      <c r="UAU2" s="42"/>
      <c r="UAV2" s="42"/>
      <c r="UAW2" s="42"/>
      <c r="UAX2" s="42"/>
      <c r="UAY2" s="42"/>
      <c r="UAZ2" s="42"/>
      <c r="UBA2" s="42"/>
      <c r="UBB2" s="42"/>
      <c r="UBC2" s="42"/>
      <c r="UBD2" s="42"/>
      <c r="UBE2" s="42"/>
      <c r="UBF2" s="42"/>
      <c r="UBG2" s="42"/>
      <c r="UBH2" s="42"/>
      <c r="UBI2" s="42"/>
      <c r="UBJ2" s="42"/>
      <c r="UBK2" s="42"/>
      <c r="UBL2" s="42"/>
      <c r="UBM2" s="42"/>
      <c r="UBN2" s="42"/>
      <c r="UBO2" s="42"/>
      <c r="UBP2" s="42"/>
      <c r="UBQ2" s="42"/>
      <c r="UBR2" s="42"/>
      <c r="UBS2" s="42"/>
      <c r="UBT2" s="42"/>
      <c r="UBU2" s="42"/>
      <c r="UBV2" s="42"/>
      <c r="UBW2" s="42"/>
      <c r="UBX2" s="42"/>
      <c r="UBY2" s="42"/>
      <c r="UBZ2" s="42"/>
      <c r="UCA2" s="42"/>
      <c r="UCB2" s="42"/>
      <c r="UCC2" s="42"/>
      <c r="UCD2" s="42"/>
      <c r="UCE2" s="42"/>
      <c r="UCF2" s="42"/>
      <c r="UCG2" s="42"/>
      <c r="UCH2" s="42"/>
      <c r="UCI2" s="42"/>
      <c r="UCJ2" s="42"/>
      <c r="UCK2" s="42"/>
      <c r="UCL2" s="42"/>
      <c r="UCM2" s="42"/>
      <c r="UCN2" s="42"/>
      <c r="UCO2" s="42"/>
      <c r="UCP2" s="42"/>
      <c r="UCQ2" s="42"/>
      <c r="UCR2" s="42"/>
      <c r="UCS2" s="42"/>
      <c r="UCT2" s="42"/>
      <c r="UCU2" s="42"/>
      <c r="UCV2" s="42"/>
      <c r="UCW2" s="42"/>
      <c r="UCX2" s="42"/>
      <c r="UCY2" s="42"/>
      <c r="UCZ2" s="42"/>
      <c r="UDA2" s="42"/>
      <c r="UDB2" s="42"/>
      <c r="UDC2" s="42"/>
      <c r="UDD2" s="42"/>
      <c r="UDE2" s="42"/>
      <c r="UDF2" s="42"/>
      <c r="UDG2" s="42"/>
      <c r="UDH2" s="42"/>
      <c r="UDI2" s="42"/>
      <c r="UDJ2" s="42"/>
      <c r="UDK2" s="42"/>
      <c r="UDL2" s="42"/>
      <c r="UDM2" s="42"/>
      <c r="UDN2" s="42"/>
      <c r="UDO2" s="42"/>
      <c r="UDP2" s="42"/>
      <c r="UDQ2" s="42"/>
      <c r="UDR2" s="42"/>
      <c r="UDS2" s="42"/>
      <c r="UDT2" s="42"/>
      <c r="UDU2" s="42"/>
      <c r="UDV2" s="42"/>
      <c r="UDW2" s="42"/>
      <c r="UDX2" s="42"/>
      <c r="UDY2" s="42"/>
      <c r="UDZ2" s="42"/>
      <c r="UEA2" s="42"/>
      <c r="UEB2" s="42"/>
      <c r="UEC2" s="42"/>
      <c r="UED2" s="42"/>
      <c r="UEE2" s="42"/>
      <c r="UEF2" s="42"/>
      <c r="UEG2" s="42"/>
      <c r="UEH2" s="42"/>
      <c r="UEI2" s="42"/>
      <c r="UEJ2" s="42"/>
      <c r="UEK2" s="42"/>
      <c r="UEL2" s="42"/>
      <c r="UEM2" s="42"/>
      <c r="UEN2" s="42"/>
      <c r="UEO2" s="42"/>
      <c r="UEP2" s="42"/>
      <c r="UEQ2" s="42"/>
      <c r="UER2" s="42"/>
      <c r="UES2" s="42"/>
      <c r="UET2" s="42"/>
      <c r="UEU2" s="42"/>
      <c r="UEV2" s="42"/>
      <c r="UEW2" s="42"/>
      <c r="UEX2" s="42"/>
      <c r="UEY2" s="42"/>
      <c r="UEZ2" s="42"/>
      <c r="UFA2" s="42"/>
      <c r="UFB2" s="42"/>
      <c r="UFC2" s="42"/>
      <c r="UFD2" s="42"/>
      <c r="UFE2" s="42"/>
      <c r="UFF2" s="42"/>
      <c r="UFG2" s="42"/>
      <c r="UFH2" s="42"/>
      <c r="UFI2" s="42"/>
      <c r="UFJ2" s="42"/>
      <c r="UFK2" s="42"/>
      <c r="UFL2" s="42"/>
      <c r="UFM2" s="42"/>
      <c r="UFN2" s="42"/>
      <c r="UFO2" s="42"/>
      <c r="UFP2" s="42"/>
      <c r="UFQ2" s="42"/>
      <c r="UFR2" s="42"/>
      <c r="UFS2" s="42"/>
      <c r="UFT2" s="42"/>
      <c r="UFU2" s="42"/>
      <c r="UFV2" s="42"/>
      <c r="UFW2" s="42"/>
      <c r="UFX2" s="42"/>
      <c r="UFY2" s="42"/>
      <c r="UFZ2" s="42"/>
      <c r="UGA2" s="42"/>
      <c r="UGB2" s="42"/>
      <c r="UGC2" s="42"/>
      <c r="UGD2" s="42"/>
      <c r="UGE2" s="42"/>
      <c r="UGF2" s="42"/>
      <c r="UGG2" s="42"/>
      <c r="UGH2" s="42"/>
      <c r="UGI2" s="42"/>
      <c r="UGJ2" s="42"/>
      <c r="UGK2" s="42"/>
      <c r="UGL2" s="42"/>
      <c r="UGM2" s="42"/>
      <c r="UGN2" s="42"/>
      <c r="UGO2" s="42"/>
      <c r="UGP2" s="42"/>
      <c r="UGQ2" s="42"/>
      <c r="UGR2" s="42"/>
      <c r="UGS2" s="42"/>
      <c r="UGT2" s="42"/>
      <c r="UGU2" s="42"/>
      <c r="UGV2" s="42"/>
      <c r="UGW2" s="42"/>
      <c r="UGX2" s="42"/>
      <c r="UGY2" s="42"/>
      <c r="UGZ2" s="42"/>
      <c r="UHA2" s="42"/>
      <c r="UHB2" s="42"/>
      <c r="UHC2" s="42"/>
      <c r="UHD2" s="42"/>
      <c r="UHE2" s="42"/>
      <c r="UHF2" s="42"/>
      <c r="UHG2" s="42"/>
      <c r="UHH2" s="42"/>
      <c r="UHI2" s="42"/>
      <c r="UHJ2" s="42"/>
      <c r="UHK2" s="42"/>
      <c r="UHL2" s="42"/>
      <c r="UHM2" s="42"/>
      <c r="UHN2" s="42"/>
      <c r="UHO2" s="42"/>
      <c r="UHP2" s="42"/>
      <c r="UHQ2" s="42"/>
      <c r="UHR2" s="42"/>
      <c r="UHS2" s="42"/>
      <c r="UHT2" s="42"/>
      <c r="UHU2" s="42"/>
      <c r="UHV2" s="42"/>
      <c r="UHW2" s="42"/>
      <c r="UHX2" s="42"/>
      <c r="UHY2" s="42"/>
      <c r="UHZ2" s="42"/>
      <c r="UIA2" s="42"/>
      <c r="UIB2" s="42"/>
      <c r="UIC2" s="42"/>
      <c r="UID2" s="42"/>
      <c r="UIE2" s="42"/>
      <c r="UIF2" s="42"/>
      <c r="UIG2" s="42"/>
      <c r="UIH2" s="42"/>
      <c r="UII2" s="42"/>
      <c r="UIJ2" s="42"/>
      <c r="UIK2" s="42"/>
      <c r="UIL2" s="42"/>
      <c r="UIM2" s="42"/>
      <c r="UIN2" s="42"/>
      <c r="UIO2" s="42"/>
      <c r="UIP2" s="42"/>
      <c r="UIQ2" s="42"/>
      <c r="UIR2" s="42"/>
      <c r="UIS2" s="42"/>
      <c r="UIT2" s="42"/>
      <c r="UIU2" s="42"/>
      <c r="UIV2" s="42"/>
      <c r="UIW2" s="42"/>
      <c r="UIX2" s="42"/>
      <c r="UIY2" s="42"/>
      <c r="UIZ2" s="42"/>
      <c r="UJA2" s="42"/>
      <c r="UJB2" s="42"/>
      <c r="UJC2" s="42"/>
      <c r="UJD2" s="42"/>
      <c r="UJE2" s="42"/>
      <c r="UJF2" s="42"/>
      <c r="UJG2" s="42"/>
      <c r="UJH2" s="42"/>
      <c r="UJI2" s="42"/>
      <c r="UJJ2" s="42"/>
      <c r="UJK2" s="42"/>
      <c r="UJL2" s="42"/>
      <c r="UJM2" s="42"/>
      <c r="UJN2" s="42"/>
      <c r="UJO2" s="42"/>
      <c r="UJP2" s="42"/>
      <c r="UJQ2" s="42"/>
      <c r="UJR2" s="42"/>
      <c r="UJS2" s="42"/>
      <c r="UJT2" s="42"/>
      <c r="UJU2" s="42"/>
      <c r="UJV2" s="42"/>
      <c r="UJW2" s="42"/>
      <c r="UJX2" s="42"/>
      <c r="UJY2" s="42"/>
      <c r="UJZ2" s="42"/>
      <c r="UKA2" s="42"/>
      <c r="UKB2" s="42"/>
      <c r="UKC2" s="42"/>
      <c r="UKD2" s="42"/>
      <c r="UKE2" s="42"/>
      <c r="UKF2" s="42"/>
      <c r="UKG2" s="42"/>
      <c r="UKH2" s="42"/>
      <c r="UKI2" s="42"/>
      <c r="UKJ2" s="42"/>
      <c r="UKK2" s="42"/>
      <c r="UKL2" s="42"/>
      <c r="UKM2" s="42"/>
      <c r="UKN2" s="42"/>
      <c r="UKO2" s="42"/>
      <c r="UKP2" s="42"/>
      <c r="UKQ2" s="42"/>
      <c r="UKR2" s="42"/>
      <c r="UKS2" s="42"/>
      <c r="UKT2" s="42"/>
      <c r="UKU2" s="42"/>
      <c r="UKV2" s="42"/>
      <c r="UKW2" s="42"/>
      <c r="UKX2" s="42"/>
      <c r="UKY2" s="42"/>
      <c r="UKZ2" s="42"/>
      <c r="ULA2" s="42"/>
      <c r="ULB2" s="42"/>
      <c r="ULC2" s="42"/>
      <c r="ULD2" s="42"/>
      <c r="ULE2" s="42"/>
      <c r="ULF2" s="42"/>
      <c r="ULG2" s="42"/>
      <c r="ULH2" s="42"/>
      <c r="ULI2" s="42"/>
      <c r="ULJ2" s="42"/>
      <c r="ULK2" s="42"/>
      <c r="ULL2" s="42"/>
      <c r="ULM2" s="42"/>
      <c r="ULN2" s="42"/>
      <c r="ULO2" s="42"/>
      <c r="ULP2" s="42"/>
      <c r="ULQ2" s="42"/>
      <c r="ULR2" s="42"/>
      <c r="ULS2" s="42"/>
      <c r="ULT2" s="42"/>
      <c r="ULU2" s="42"/>
      <c r="ULV2" s="42"/>
      <c r="ULW2" s="42"/>
      <c r="ULX2" s="42"/>
      <c r="ULY2" s="42"/>
      <c r="ULZ2" s="42"/>
      <c r="UMA2" s="42"/>
      <c r="UMB2" s="42"/>
      <c r="UMC2" s="42"/>
      <c r="UMD2" s="42"/>
      <c r="UME2" s="42"/>
      <c r="UMF2" s="42"/>
      <c r="UMG2" s="42"/>
      <c r="UMH2" s="42"/>
      <c r="UMI2" s="42"/>
      <c r="UMJ2" s="42"/>
      <c r="UMK2" s="42"/>
      <c r="UML2" s="42"/>
      <c r="UMM2" s="42"/>
      <c r="UMN2" s="42"/>
      <c r="UMO2" s="42"/>
      <c r="UMP2" s="42"/>
      <c r="UMQ2" s="42"/>
      <c r="UMR2" s="42"/>
      <c r="UMS2" s="42"/>
      <c r="UMT2" s="42"/>
      <c r="UMU2" s="42"/>
      <c r="UMV2" s="42"/>
      <c r="UMW2" s="42"/>
      <c r="UMX2" s="42"/>
      <c r="UMY2" s="42"/>
      <c r="UMZ2" s="42"/>
      <c r="UNA2" s="42"/>
      <c r="UNB2" s="42"/>
      <c r="UNC2" s="42"/>
      <c r="UND2" s="42"/>
      <c r="UNE2" s="42"/>
      <c r="UNF2" s="42"/>
      <c r="UNG2" s="42"/>
      <c r="UNH2" s="42"/>
      <c r="UNI2" s="42"/>
      <c r="UNJ2" s="42"/>
      <c r="UNK2" s="42"/>
      <c r="UNL2" s="42"/>
      <c r="UNM2" s="42"/>
      <c r="UNN2" s="42"/>
      <c r="UNO2" s="42"/>
      <c r="UNP2" s="42"/>
      <c r="UNQ2" s="42"/>
      <c r="UNR2" s="42"/>
      <c r="UNS2" s="42"/>
      <c r="UNT2" s="42"/>
      <c r="UNU2" s="42"/>
      <c r="UNV2" s="42"/>
      <c r="UNW2" s="42"/>
      <c r="UNX2" s="42"/>
      <c r="UNY2" s="42"/>
      <c r="UNZ2" s="42"/>
      <c r="UOA2" s="42"/>
      <c r="UOB2" s="42"/>
      <c r="UOC2" s="42"/>
      <c r="UOD2" s="42"/>
      <c r="UOE2" s="42"/>
      <c r="UOF2" s="42"/>
      <c r="UOG2" s="42"/>
      <c r="UOH2" s="42"/>
      <c r="UOI2" s="42"/>
      <c r="UOJ2" s="42"/>
      <c r="UOK2" s="42"/>
      <c r="UOL2" s="42"/>
      <c r="UOM2" s="42"/>
      <c r="UON2" s="42"/>
      <c r="UOO2" s="42"/>
      <c r="UOP2" s="42"/>
      <c r="UOQ2" s="42"/>
      <c r="UOR2" s="42"/>
      <c r="UOS2" s="42"/>
      <c r="UOT2" s="42"/>
      <c r="UOU2" s="42"/>
      <c r="UOV2" s="42"/>
      <c r="UOW2" s="42"/>
      <c r="UOX2" s="42"/>
      <c r="UOY2" s="42"/>
      <c r="UOZ2" s="42"/>
      <c r="UPA2" s="42"/>
      <c r="UPB2" s="42"/>
      <c r="UPC2" s="42"/>
      <c r="UPD2" s="42"/>
      <c r="UPE2" s="42"/>
      <c r="UPF2" s="42"/>
      <c r="UPG2" s="42"/>
      <c r="UPH2" s="42"/>
      <c r="UPI2" s="42"/>
      <c r="UPJ2" s="42"/>
      <c r="UPK2" s="42"/>
      <c r="UPL2" s="42"/>
      <c r="UPM2" s="42"/>
      <c r="UPN2" s="42"/>
      <c r="UPO2" s="42"/>
      <c r="UPP2" s="42"/>
      <c r="UPQ2" s="42"/>
      <c r="UPR2" s="42"/>
      <c r="UPS2" s="42"/>
      <c r="UPT2" s="42"/>
      <c r="UPU2" s="42"/>
      <c r="UPV2" s="42"/>
      <c r="UPW2" s="42"/>
      <c r="UPX2" s="42"/>
      <c r="UPY2" s="42"/>
      <c r="UPZ2" s="42"/>
      <c r="UQA2" s="42"/>
      <c r="UQB2" s="42"/>
      <c r="UQC2" s="42"/>
      <c r="UQD2" s="42"/>
      <c r="UQE2" s="42"/>
      <c r="UQF2" s="42"/>
      <c r="UQG2" s="42"/>
      <c r="UQH2" s="42"/>
      <c r="UQI2" s="42"/>
      <c r="UQJ2" s="42"/>
      <c r="UQK2" s="42"/>
      <c r="UQL2" s="42"/>
      <c r="UQM2" s="42"/>
      <c r="UQN2" s="42"/>
      <c r="UQO2" s="42"/>
      <c r="UQP2" s="42"/>
      <c r="UQQ2" s="42"/>
      <c r="UQR2" s="42"/>
      <c r="UQS2" s="42"/>
      <c r="UQT2" s="42"/>
      <c r="UQU2" s="42"/>
      <c r="UQV2" s="42"/>
      <c r="UQW2" s="42"/>
      <c r="UQX2" s="42"/>
      <c r="UQY2" s="42"/>
      <c r="UQZ2" s="42"/>
      <c r="URA2" s="42"/>
      <c r="URB2" s="42"/>
      <c r="URC2" s="42"/>
      <c r="URD2" s="42"/>
      <c r="URE2" s="42"/>
      <c r="URF2" s="42"/>
      <c r="URG2" s="42"/>
      <c r="URH2" s="42"/>
      <c r="URI2" s="42"/>
      <c r="URJ2" s="42"/>
      <c r="URK2" s="42"/>
      <c r="URL2" s="42"/>
      <c r="URM2" s="42"/>
      <c r="URN2" s="42"/>
      <c r="URO2" s="42"/>
      <c r="URP2" s="42"/>
      <c r="URQ2" s="42"/>
      <c r="URR2" s="42"/>
      <c r="URS2" s="42"/>
      <c r="URT2" s="42"/>
      <c r="URU2" s="42"/>
      <c r="URV2" s="42"/>
      <c r="URW2" s="42"/>
      <c r="URX2" s="42"/>
      <c r="URY2" s="42"/>
      <c r="URZ2" s="42"/>
      <c r="USA2" s="42"/>
      <c r="USB2" s="42"/>
      <c r="USC2" s="42"/>
      <c r="USD2" s="42"/>
      <c r="USE2" s="42"/>
      <c r="USF2" s="42"/>
      <c r="USG2" s="42"/>
      <c r="USH2" s="42"/>
      <c r="USI2" s="42"/>
      <c r="USJ2" s="42"/>
      <c r="USK2" s="42"/>
      <c r="USL2" s="42"/>
      <c r="USM2" s="42"/>
      <c r="USN2" s="42"/>
      <c r="USO2" s="42"/>
      <c r="USP2" s="42"/>
      <c r="USQ2" s="42"/>
      <c r="USR2" s="42"/>
      <c r="USS2" s="42"/>
      <c r="UST2" s="42"/>
      <c r="USU2" s="42"/>
      <c r="USV2" s="42"/>
      <c r="USW2" s="42"/>
      <c r="USX2" s="42"/>
      <c r="USY2" s="42"/>
      <c r="USZ2" s="42"/>
      <c r="UTA2" s="42"/>
      <c r="UTB2" s="42"/>
      <c r="UTC2" s="42"/>
      <c r="UTD2" s="42"/>
      <c r="UTE2" s="42"/>
      <c r="UTF2" s="42"/>
      <c r="UTG2" s="42"/>
      <c r="UTH2" s="42"/>
      <c r="UTI2" s="42"/>
      <c r="UTJ2" s="42"/>
      <c r="UTK2" s="42"/>
      <c r="UTL2" s="42"/>
      <c r="UTM2" s="42"/>
      <c r="UTN2" s="42"/>
      <c r="UTO2" s="42"/>
      <c r="UTP2" s="42"/>
      <c r="UTQ2" s="42"/>
      <c r="UTR2" s="42"/>
      <c r="UTS2" s="42"/>
      <c r="UTT2" s="42"/>
      <c r="UTU2" s="42"/>
      <c r="UTV2" s="42"/>
      <c r="UTW2" s="42"/>
      <c r="UTX2" s="42"/>
      <c r="UTY2" s="42"/>
      <c r="UTZ2" s="42"/>
      <c r="UUA2" s="42"/>
      <c r="UUB2" s="42"/>
      <c r="UUC2" s="42"/>
      <c r="UUD2" s="42"/>
      <c r="UUE2" s="42"/>
      <c r="UUF2" s="42"/>
      <c r="UUG2" s="42"/>
      <c r="UUH2" s="42"/>
      <c r="UUI2" s="42"/>
      <c r="UUJ2" s="42"/>
      <c r="UUK2" s="42"/>
      <c r="UUL2" s="42"/>
      <c r="UUM2" s="42"/>
      <c r="UUN2" s="42"/>
      <c r="UUO2" s="42"/>
      <c r="UUP2" s="42"/>
      <c r="UUQ2" s="42"/>
      <c r="UUR2" s="42"/>
      <c r="UUS2" s="42"/>
      <c r="UUT2" s="42"/>
      <c r="UUU2" s="42"/>
      <c r="UUV2" s="42"/>
      <c r="UUW2" s="42"/>
      <c r="UUX2" s="42"/>
      <c r="UUY2" s="42"/>
      <c r="UUZ2" s="42"/>
      <c r="UVA2" s="42"/>
      <c r="UVB2" s="42"/>
      <c r="UVC2" s="42"/>
      <c r="UVD2" s="42"/>
      <c r="UVE2" s="42"/>
      <c r="UVF2" s="42"/>
      <c r="UVG2" s="42"/>
      <c r="UVH2" s="42"/>
      <c r="UVI2" s="42"/>
      <c r="UVJ2" s="42"/>
      <c r="UVK2" s="42"/>
      <c r="UVL2" s="42"/>
      <c r="UVM2" s="42"/>
      <c r="UVN2" s="42"/>
      <c r="UVO2" s="42"/>
      <c r="UVP2" s="42"/>
      <c r="UVQ2" s="42"/>
      <c r="UVR2" s="42"/>
      <c r="UVS2" s="42"/>
      <c r="UVT2" s="42"/>
      <c r="UVU2" s="42"/>
      <c r="UVV2" s="42"/>
      <c r="UVW2" s="42"/>
      <c r="UVX2" s="42"/>
      <c r="UVY2" s="42"/>
      <c r="UVZ2" s="42"/>
      <c r="UWA2" s="42"/>
      <c r="UWB2" s="42"/>
      <c r="UWC2" s="42"/>
      <c r="UWD2" s="42"/>
      <c r="UWE2" s="42"/>
      <c r="UWF2" s="42"/>
      <c r="UWG2" s="42"/>
      <c r="UWH2" s="42"/>
      <c r="UWI2" s="42"/>
      <c r="UWJ2" s="42"/>
      <c r="UWK2" s="42"/>
      <c r="UWL2" s="42"/>
      <c r="UWM2" s="42"/>
      <c r="UWN2" s="42"/>
      <c r="UWO2" s="42"/>
      <c r="UWP2" s="42"/>
      <c r="UWQ2" s="42"/>
      <c r="UWR2" s="42"/>
      <c r="UWS2" s="42"/>
      <c r="UWT2" s="42"/>
      <c r="UWU2" s="42"/>
      <c r="UWV2" s="42"/>
      <c r="UWW2" s="42"/>
      <c r="UWX2" s="42"/>
      <c r="UWY2" s="42"/>
      <c r="UWZ2" s="42"/>
      <c r="UXA2" s="42"/>
      <c r="UXB2" s="42"/>
      <c r="UXC2" s="42"/>
      <c r="UXD2" s="42"/>
      <c r="UXE2" s="42"/>
      <c r="UXF2" s="42"/>
      <c r="UXG2" s="42"/>
      <c r="UXH2" s="42"/>
      <c r="UXI2" s="42"/>
      <c r="UXJ2" s="42"/>
      <c r="UXK2" s="42"/>
      <c r="UXL2" s="42"/>
      <c r="UXM2" s="42"/>
      <c r="UXN2" s="42"/>
      <c r="UXO2" s="42"/>
      <c r="UXP2" s="42"/>
      <c r="UXQ2" s="42"/>
      <c r="UXR2" s="42"/>
      <c r="UXS2" s="42"/>
      <c r="UXT2" s="42"/>
      <c r="UXU2" s="42"/>
      <c r="UXV2" s="42"/>
      <c r="UXW2" s="42"/>
      <c r="UXX2" s="42"/>
      <c r="UXY2" s="42"/>
      <c r="UXZ2" s="42"/>
      <c r="UYA2" s="42"/>
      <c r="UYB2" s="42"/>
      <c r="UYC2" s="42"/>
      <c r="UYD2" s="42"/>
      <c r="UYE2" s="42"/>
      <c r="UYF2" s="42"/>
      <c r="UYG2" s="42"/>
      <c r="UYH2" s="42"/>
      <c r="UYI2" s="42"/>
      <c r="UYJ2" s="42"/>
      <c r="UYK2" s="42"/>
      <c r="UYL2" s="42"/>
      <c r="UYM2" s="42"/>
      <c r="UYN2" s="42"/>
      <c r="UYO2" s="42"/>
      <c r="UYP2" s="42"/>
      <c r="UYQ2" s="42"/>
      <c r="UYR2" s="42"/>
      <c r="UYS2" s="42"/>
      <c r="UYT2" s="42"/>
      <c r="UYU2" s="42"/>
      <c r="UYV2" s="42"/>
      <c r="UYW2" s="42"/>
      <c r="UYX2" s="42"/>
      <c r="UYY2" s="42"/>
      <c r="UYZ2" s="42"/>
      <c r="UZA2" s="42"/>
      <c r="UZB2" s="42"/>
      <c r="UZC2" s="42"/>
      <c r="UZD2" s="42"/>
      <c r="UZE2" s="42"/>
      <c r="UZF2" s="42"/>
      <c r="UZG2" s="42"/>
      <c r="UZH2" s="42"/>
      <c r="UZI2" s="42"/>
      <c r="UZJ2" s="42"/>
      <c r="UZK2" s="42"/>
      <c r="UZL2" s="42"/>
      <c r="UZM2" s="42"/>
      <c r="UZN2" s="42"/>
      <c r="UZO2" s="42"/>
      <c r="UZP2" s="42"/>
      <c r="UZQ2" s="42"/>
      <c r="UZR2" s="42"/>
      <c r="UZS2" s="42"/>
      <c r="UZT2" s="42"/>
      <c r="UZU2" s="42"/>
      <c r="UZV2" s="42"/>
      <c r="UZW2" s="42"/>
      <c r="UZX2" s="42"/>
      <c r="UZY2" s="42"/>
      <c r="UZZ2" s="42"/>
      <c r="VAA2" s="42"/>
      <c r="VAB2" s="42"/>
      <c r="VAC2" s="42"/>
      <c r="VAD2" s="42"/>
      <c r="VAE2" s="42"/>
      <c r="VAF2" s="42"/>
      <c r="VAG2" s="42"/>
      <c r="VAH2" s="42"/>
      <c r="VAI2" s="42"/>
      <c r="VAJ2" s="42"/>
      <c r="VAK2" s="42"/>
      <c r="VAL2" s="42"/>
      <c r="VAM2" s="42"/>
      <c r="VAN2" s="42"/>
      <c r="VAO2" s="42"/>
      <c r="VAP2" s="42"/>
      <c r="VAQ2" s="42"/>
      <c r="VAR2" s="42"/>
      <c r="VAS2" s="42"/>
      <c r="VAT2" s="42"/>
      <c r="VAU2" s="42"/>
      <c r="VAV2" s="42"/>
      <c r="VAW2" s="42"/>
      <c r="VAX2" s="42"/>
      <c r="VAY2" s="42"/>
      <c r="VAZ2" s="42"/>
      <c r="VBA2" s="42"/>
      <c r="VBB2" s="42"/>
      <c r="VBC2" s="42"/>
      <c r="VBD2" s="42"/>
      <c r="VBE2" s="42"/>
      <c r="VBF2" s="42"/>
      <c r="VBG2" s="42"/>
      <c r="VBH2" s="42"/>
      <c r="VBI2" s="42"/>
      <c r="VBJ2" s="42"/>
      <c r="VBK2" s="42"/>
      <c r="VBL2" s="42"/>
      <c r="VBM2" s="42"/>
      <c r="VBN2" s="42"/>
      <c r="VBO2" s="42"/>
      <c r="VBP2" s="42"/>
      <c r="VBQ2" s="42"/>
      <c r="VBR2" s="42"/>
      <c r="VBS2" s="42"/>
      <c r="VBT2" s="42"/>
      <c r="VBU2" s="42"/>
      <c r="VBV2" s="42"/>
      <c r="VBW2" s="42"/>
      <c r="VBX2" s="42"/>
      <c r="VBY2" s="42"/>
      <c r="VBZ2" s="42"/>
      <c r="VCA2" s="42"/>
      <c r="VCB2" s="42"/>
      <c r="VCC2" s="42"/>
      <c r="VCD2" s="42"/>
      <c r="VCE2" s="42"/>
      <c r="VCF2" s="42"/>
      <c r="VCG2" s="42"/>
      <c r="VCH2" s="42"/>
      <c r="VCI2" s="42"/>
      <c r="VCJ2" s="42"/>
      <c r="VCK2" s="42"/>
      <c r="VCL2" s="42"/>
      <c r="VCM2" s="42"/>
      <c r="VCN2" s="42"/>
      <c r="VCO2" s="42"/>
      <c r="VCP2" s="42"/>
      <c r="VCQ2" s="42"/>
      <c r="VCR2" s="42"/>
      <c r="VCS2" s="42"/>
      <c r="VCT2" s="42"/>
      <c r="VCU2" s="42"/>
      <c r="VCV2" s="42"/>
      <c r="VCW2" s="42"/>
      <c r="VCX2" s="42"/>
      <c r="VCY2" s="42"/>
      <c r="VCZ2" s="42"/>
      <c r="VDA2" s="42"/>
      <c r="VDB2" s="42"/>
      <c r="VDC2" s="42"/>
      <c r="VDD2" s="42"/>
      <c r="VDE2" s="42"/>
      <c r="VDF2" s="42"/>
      <c r="VDG2" s="42"/>
      <c r="VDH2" s="42"/>
      <c r="VDI2" s="42"/>
      <c r="VDJ2" s="42"/>
      <c r="VDK2" s="42"/>
      <c r="VDL2" s="42"/>
      <c r="VDM2" s="42"/>
      <c r="VDN2" s="42"/>
      <c r="VDO2" s="42"/>
      <c r="VDP2" s="42"/>
      <c r="VDQ2" s="42"/>
      <c r="VDR2" s="42"/>
      <c r="VDS2" s="42"/>
      <c r="VDT2" s="42"/>
      <c r="VDU2" s="42"/>
      <c r="VDV2" s="42"/>
      <c r="VDW2" s="42"/>
      <c r="VDX2" s="42"/>
      <c r="VDY2" s="42"/>
      <c r="VDZ2" s="42"/>
      <c r="VEA2" s="42"/>
      <c r="VEB2" s="42"/>
      <c r="VEC2" s="42"/>
      <c r="VED2" s="42"/>
      <c r="VEE2" s="42"/>
      <c r="VEF2" s="42"/>
      <c r="VEG2" s="42"/>
      <c r="VEH2" s="42"/>
      <c r="VEI2" s="42"/>
      <c r="VEJ2" s="42"/>
      <c r="VEK2" s="42"/>
      <c r="VEL2" s="42"/>
      <c r="VEM2" s="42"/>
      <c r="VEN2" s="42"/>
      <c r="VEO2" s="42"/>
      <c r="VEP2" s="42"/>
      <c r="VEQ2" s="42"/>
      <c r="VER2" s="42"/>
      <c r="VES2" s="42"/>
      <c r="VET2" s="42"/>
      <c r="VEU2" s="42"/>
      <c r="VEV2" s="42"/>
      <c r="VEW2" s="42"/>
      <c r="VEX2" s="42"/>
      <c r="VEY2" s="42"/>
      <c r="VEZ2" s="42"/>
      <c r="VFA2" s="42"/>
      <c r="VFB2" s="42"/>
      <c r="VFC2" s="42"/>
      <c r="VFD2" s="42"/>
      <c r="VFE2" s="42"/>
      <c r="VFF2" s="42"/>
      <c r="VFG2" s="42"/>
      <c r="VFH2" s="42"/>
      <c r="VFI2" s="42"/>
      <c r="VFJ2" s="42"/>
      <c r="VFK2" s="42"/>
      <c r="VFL2" s="42"/>
      <c r="VFM2" s="42"/>
      <c r="VFN2" s="42"/>
      <c r="VFO2" s="42"/>
      <c r="VFP2" s="42"/>
      <c r="VFQ2" s="42"/>
      <c r="VFR2" s="42"/>
      <c r="VFS2" s="42"/>
      <c r="VFT2" s="42"/>
      <c r="VFU2" s="42"/>
      <c r="VFV2" s="42"/>
      <c r="VFW2" s="42"/>
      <c r="VFX2" s="42"/>
      <c r="VFY2" s="42"/>
      <c r="VFZ2" s="42"/>
      <c r="VGA2" s="42"/>
      <c r="VGB2" s="42"/>
      <c r="VGC2" s="42"/>
      <c r="VGD2" s="42"/>
      <c r="VGE2" s="42"/>
      <c r="VGF2" s="42"/>
      <c r="VGG2" s="42"/>
      <c r="VGH2" s="42"/>
      <c r="VGI2" s="42"/>
      <c r="VGJ2" s="42"/>
      <c r="VGK2" s="42"/>
      <c r="VGL2" s="42"/>
      <c r="VGM2" s="42"/>
      <c r="VGN2" s="42"/>
      <c r="VGO2" s="42"/>
      <c r="VGP2" s="42"/>
      <c r="VGQ2" s="42"/>
      <c r="VGR2" s="42"/>
      <c r="VGS2" s="42"/>
      <c r="VGT2" s="42"/>
      <c r="VGU2" s="42"/>
      <c r="VGV2" s="42"/>
      <c r="VGW2" s="42"/>
      <c r="VGX2" s="42"/>
      <c r="VGY2" s="42"/>
      <c r="VGZ2" s="42"/>
      <c r="VHA2" s="42"/>
      <c r="VHB2" s="42"/>
      <c r="VHC2" s="42"/>
      <c r="VHD2" s="42"/>
      <c r="VHE2" s="42"/>
      <c r="VHF2" s="42"/>
      <c r="VHG2" s="42"/>
      <c r="VHH2" s="42"/>
      <c r="VHI2" s="42"/>
      <c r="VHJ2" s="42"/>
      <c r="VHK2" s="42"/>
      <c r="VHL2" s="42"/>
      <c r="VHM2" s="42"/>
      <c r="VHN2" s="42"/>
      <c r="VHO2" s="42"/>
      <c r="VHP2" s="42"/>
      <c r="VHQ2" s="42"/>
      <c r="VHR2" s="42"/>
      <c r="VHS2" s="42"/>
      <c r="VHT2" s="42"/>
      <c r="VHU2" s="42"/>
      <c r="VHV2" s="42"/>
      <c r="VHW2" s="42"/>
      <c r="VHX2" s="42"/>
      <c r="VHY2" s="42"/>
      <c r="VHZ2" s="42"/>
      <c r="VIA2" s="42"/>
      <c r="VIB2" s="42"/>
      <c r="VIC2" s="42"/>
      <c r="VID2" s="42"/>
      <c r="VIE2" s="42"/>
      <c r="VIF2" s="42"/>
      <c r="VIG2" s="42"/>
      <c r="VIH2" s="42"/>
      <c r="VII2" s="42"/>
      <c r="VIJ2" s="42"/>
      <c r="VIK2" s="42"/>
      <c r="VIL2" s="42"/>
      <c r="VIM2" s="42"/>
      <c r="VIN2" s="42"/>
      <c r="VIO2" s="42"/>
      <c r="VIP2" s="42"/>
      <c r="VIQ2" s="42"/>
      <c r="VIR2" s="42"/>
      <c r="VIS2" s="42"/>
      <c r="VIT2" s="42"/>
      <c r="VIU2" s="42"/>
      <c r="VIV2" s="42"/>
      <c r="VIW2" s="42"/>
      <c r="VIX2" s="42"/>
      <c r="VIY2" s="42"/>
      <c r="VIZ2" s="42"/>
      <c r="VJA2" s="42"/>
      <c r="VJB2" s="42"/>
      <c r="VJC2" s="42"/>
      <c r="VJD2" s="42"/>
      <c r="VJE2" s="42"/>
      <c r="VJF2" s="42"/>
      <c r="VJG2" s="42"/>
      <c r="VJH2" s="42"/>
      <c r="VJI2" s="42"/>
      <c r="VJJ2" s="42"/>
      <c r="VJK2" s="42"/>
      <c r="VJL2" s="42"/>
      <c r="VJM2" s="42"/>
      <c r="VJN2" s="42"/>
      <c r="VJO2" s="42"/>
      <c r="VJP2" s="42"/>
      <c r="VJQ2" s="42"/>
      <c r="VJR2" s="42"/>
      <c r="VJS2" s="42"/>
      <c r="VJT2" s="42"/>
      <c r="VJU2" s="42"/>
      <c r="VJV2" s="42"/>
      <c r="VJW2" s="42"/>
      <c r="VJX2" s="42"/>
      <c r="VJY2" s="42"/>
      <c r="VJZ2" s="42"/>
      <c r="VKA2" s="42"/>
      <c r="VKB2" s="42"/>
      <c r="VKC2" s="42"/>
      <c r="VKD2" s="42"/>
      <c r="VKE2" s="42"/>
      <c r="VKF2" s="42"/>
      <c r="VKG2" s="42"/>
      <c r="VKH2" s="42"/>
      <c r="VKI2" s="42"/>
      <c r="VKJ2" s="42"/>
      <c r="VKK2" s="42"/>
      <c r="VKL2" s="42"/>
      <c r="VKM2" s="42"/>
      <c r="VKN2" s="42"/>
      <c r="VKO2" s="42"/>
      <c r="VKP2" s="42"/>
      <c r="VKQ2" s="42"/>
      <c r="VKR2" s="42"/>
      <c r="VKS2" s="42"/>
      <c r="VKT2" s="42"/>
      <c r="VKU2" s="42"/>
      <c r="VKV2" s="42"/>
      <c r="VKW2" s="42"/>
      <c r="VKX2" s="42"/>
      <c r="VKY2" s="42"/>
      <c r="VKZ2" s="42"/>
      <c r="VLA2" s="42"/>
      <c r="VLB2" s="42"/>
      <c r="VLC2" s="42"/>
      <c r="VLD2" s="42"/>
      <c r="VLE2" s="42"/>
      <c r="VLF2" s="42"/>
      <c r="VLG2" s="42"/>
      <c r="VLH2" s="42"/>
      <c r="VLI2" s="42"/>
      <c r="VLJ2" s="42"/>
      <c r="VLK2" s="42"/>
      <c r="VLL2" s="42"/>
      <c r="VLM2" s="42"/>
      <c r="VLN2" s="42"/>
      <c r="VLO2" s="42"/>
      <c r="VLP2" s="42"/>
      <c r="VLQ2" s="42"/>
      <c r="VLR2" s="42"/>
      <c r="VLS2" s="42"/>
      <c r="VLT2" s="42"/>
      <c r="VLU2" s="42"/>
      <c r="VLV2" s="42"/>
      <c r="VLW2" s="42"/>
      <c r="VLX2" s="42"/>
      <c r="VLY2" s="42"/>
      <c r="VLZ2" s="42"/>
      <c r="VMA2" s="42"/>
      <c r="VMB2" s="42"/>
      <c r="VMC2" s="42"/>
      <c r="VMD2" s="42"/>
      <c r="VME2" s="42"/>
      <c r="VMF2" s="42"/>
      <c r="VMG2" s="42"/>
      <c r="VMH2" s="42"/>
      <c r="VMI2" s="42"/>
      <c r="VMJ2" s="42"/>
      <c r="VMK2" s="42"/>
      <c r="VML2" s="42"/>
      <c r="VMM2" s="42"/>
      <c r="VMN2" s="42"/>
      <c r="VMO2" s="42"/>
      <c r="VMP2" s="42"/>
      <c r="VMQ2" s="42"/>
      <c r="VMR2" s="42"/>
      <c r="VMS2" s="42"/>
      <c r="VMT2" s="42"/>
      <c r="VMU2" s="42"/>
      <c r="VMV2" s="42"/>
      <c r="VMW2" s="42"/>
      <c r="VMX2" s="42"/>
      <c r="VMY2" s="42"/>
      <c r="VMZ2" s="42"/>
      <c r="VNA2" s="42"/>
      <c r="VNB2" s="42"/>
      <c r="VNC2" s="42"/>
      <c r="VND2" s="42"/>
      <c r="VNE2" s="42"/>
      <c r="VNF2" s="42"/>
      <c r="VNG2" s="42"/>
      <c r="VNH2" s="42"/>
      <c r="VNI2" s="42"/>
      <c r="VNJ2" s="42"/>
      <c r="VNK2" s="42"/>
      <c r="VNL2" s="42"/>
      <c r="VNM2" s="42"/>
      <c r="VNN2" s="42"/>
      <c r="VNO2" s="42"/>
      <c r="VNP2" s="42"/>
      <c r="VNQ2" s="42"/>
      <c r="VNR2" s="42"/>
      <c r="VNS2" s="42"/>
      <c r="VNT2" s="42"/>
      <c r="VNU2" s="42"/>
      <c r="VNV2" s="42"/>
      <c r="VNW2" s="42"/>
      <c r="VNX2" s="42"/>
      <c r="VNY2" s="42"/>
      <c r="VNZ2" s="42"/>
      <c r="VOA2" s="42"/>
      <c r="VOB2" s="42"/>
      <c r="VOC2" s="42"/>
      <c r="VOD2" s="42"/>
      <c r="VOE2" s="42"/>
      <c r="VOF2" s="42"/>
      <c r="VOG2" s="42"/>
      <c r="VOH2" s="42"/>
      <c r="VOI2" s="42"/>
      <c r="VOJ2" s="42"/>
      <c r="VOK2" s="42"/>
      <c r="VOL2" s="42"/>
      <c r="VOM2" s="42"/>
      <c r="VON2" s="42"/>
      <c r="VOO2" s="42"/>
      <c r="VOP2" s="42"/>
      <c r="VOQ2" s="42"/>
      <c r="VOR2" s="42"/>
      <c r="VOS2" s="42"/>
      <c r="VOT2" s="42"/>
      <c r="VOU2" s="42"/>
      <c r="VOV2" s="42"/>
      <c r="VOW2" s="42"/>
      <c r="VOX2" s="42"/>
      <c r="VOY2" s="42"/>
      <c r="VOZ2" s="42"/>
      <c r="VPA2" s="42"/>
      <c r="VPB2" s="42"/>
      <c r="VPC2" s="42"/>
      <c r="VPD2" s="42"/>
      <c r="VPE2" s="42"/>
      <c r="VPF2" s="42"/>
      <c r="VPG2" s="42"/>
      <c r="VPH2" s="42"/>
      <c r="VPI2" s="42"/>
      <c r="VPJ2" s="42"/>
      <c r="VPK2" s="42"/>
      <c r="VPL2" s="42"/>
      <c r="VPM2" s="42"/>
      <c r="VPN2" s="42"/>
      <c r="VPO2" s="42"/>
      <c r="VPP2" s="42"/>
      <c r="VPQ2" s="42"/>
      <c r="VPR2" s="42"/>
      <c r="VPS2" s="42"/>
      <c r="VPT2" s="42"/>
      <c r="VPU2" s="42"/>
      <c r="VPV2" s="42"/>
      <c r="VPW2" s="42"/>
      <c r="VPX2" s="42"/>
      <c r="VPY2" s="42"/>
      <c r="VPZ2" s="42"/>
      <c r="VQA2" s="42"/>
      <c r="VQB2" s="42"/>
      <c r="VQC2" s="42"/>
      <c r="VQD2" s="42"/>
      <c r="VQE2" s="42"/>
      <c r="VQF2" s="42"/>
      <c r="VQG2" s="42"/>
      <c r="VQH2" s="42"/>
      <c r="VQI2" s="42"/>
      <c r="VQJ2" s="42"/>
      <c r="VQK2" s="42"/>
      <c r="VQL2" s="42"/>
      <c r="VQM2" s="42"/>
      <c r="VQN2" s="42"/>
      <c r="VQO2" s="42"/>
      <c r="VQP2" s="42"/>
      <c r="VQQ2" s="42"/>
      <c r="VQR2" s="42"/>
      <c r="VQS2" s="42"/>
      <c r="VQT2" s="42"/>
      <c r="VQU2" s="42"/>
      <c r="VQV2" s="42"/>
      <c r="VQW2" s="42"/>
      <c r="VQX2" s="42"/>
      <c r="VQY2" s="42"/>
      <c r="VQZ2" s="42"/>
      <c r="VRA2" s="42"/>
      <c r="VRB2" s="42"/>
      <c r="VRC2" s="42"/>
      <c r="VRD2" s="42"/>
      <c r="VRE2" s="42"/>
      <c r="VRF2" s="42"/>
      <c r="VRG2" s="42"/>
      <c r="VRH2" s="42"/>
      <c r="VRI2" s="42"/>
      <c r="VRJ2" s="42"/>
      <c r="VRK2" s="42"/>
      <c r="VRL2" s="42"/>
      <c r="VRM2" s="42"/>
      <c r="VRN2" s="42"/>
      <c r="VRO2" s="42"/>
      <c r="VRP2" s="42"/>
      <c r="VRQ2" s="42"/>
      <c r="VRR2" s="42"/>
      <c r="VRS2" s="42"/>
      <c r="VRT2" s="42"/>
      <c r="VRU2" s="42"/>
      <c r="VRV2" s="42"/>
      <c r="VRW2" s="42"/>
      <c r="VRX2" s="42"/>
      <c r="VRY2" s="42"/>
      <c r="VRZ2" s="42"/>
      <c r="VSA2" s="42"/>
      <c r="VSB2" s="42"/>
      <c r="VSC2" s="42"/>
      <c r="VSD2" s="42"/>
      <c r="VSE2" s="42"/>
      <c r="VSF2" s="42"/>
      <c r="VSG2" s="42"/>
      <c r="VSH2" s="42"/>
      <c r="VSI2" s="42"/>
      <c r="VSJ2" s="42"/>
      <c r="VSK2" s="42"/>
      <c r="VSL2" s="42"/>
      <c r="VSM2" s="42"/>
      <c r="VSN2" s="42"/>
      <c r="VSO2" s="42"/>
      <c r="VSP2" s="42"/>
      <c r="VSQ2" s="42"/>
      <c r="VSR2" s="42"/>
      <c r="VSS2" s="42"/>
      <c r="VST2" s="42"/>
      <c r="VSU2" s="42"/>
      <c r="VSV2" s="42"/>
      <c r="VSW2" s="42"/>
      <c r="VSX2" s="42"/>
      <c r="VSY2" s="42"/>
      <c r="VSZ2" s="42"/>
      <c r="VTA2" s="42"/>
      <c r="VTB2" s="42"/>
      <c r="VTC2" s="42"/>
      <c r="VTD2" s="42"/>
      <c r="VTE2" s="42"/>
      <c r="VTF2" s="42"/>
      <c r="VTG2" s="42"/>
      <c r="VTH2" s="42"/>
      <c r="VTI2" s="42"/>
      <c r="VTJ2" s="42"/>
      <c r="VTK2" s="42"/>
      <c r="VTL2" s="42"/>
      <c r="VTM2" s="42"/>
      <c r="VTN2" s="42"/>
      <c r="VTO2" s="42"/>
      <c r="VTP2" s="42"/>
      <c r="VTQ2" s="42"/>
      <c r="VTR2" s="42"/>
      <c r="VTS2" s="42"/>
      <c r="VTT2" s="42"/>
      <c r="VTU2" s="42"/>
      <c r="VTV2" s="42"/>
      <c r="VTW2" s="42"/>
      <c r="VTX2" s="42"/>
      <c r="VTY2" s="42"/>
      <c r="VTZ2" s="42"/>
      <c r="VUA2" s="42"/>
      <c r="VUB2" s="42"/>
      <c r="VUC2" s="42"/>
      <c r="VUD2" s="42"/>
      <c r="VUE2" s="42"/>
      <c r="VUF2" s="42"/>
      <c r="VUG2" s="42"/>
      <c r="VUH2" s="42"/>
      <c r="VUI2" s="42"/>
      <c r="VUJ2" s="42"/>
      <c r="VUK2" s="42"/>
      <c r="VUL2" s="42"/>
      <c r="VUM2" s="42"/>
      <c r="VUN2" s="42"/>
      <c r="VUO2" s="42"/>
      <c r="VUP2" s="42"/>
      <c r="VUQ2" s="42"/>
      <c r="VUR2" s="42"/>
      <c r="VUS2" s="42"/>
      <c r="VUT2" s="42"/>
      <c r="VUU2" s="42"/>
      <c r="VUV2" s="42"/>
      <c r="VUW2" s="42"/>
      <c r="VUX2" s="42"/>
      <c r="VUY2" s="42"/>
      <c r="VUZ2" s="42"/>
      <c r="VVA2" s="42"/>
      <c r="VVB2" s="42"/>
      <c r="VVC2" s="42"/>
      <c r="VVD2" s="42"/>
      <c r="VVE2" s="42"/>
      <c r="VVF2" s="42"/>
      <c r="VVG2" s="42"/>
      <c r="VVH2" s="42"/>
      <c r="VVI2" s="42"/>
      <c r="VVJ2" s="42"/>
      <c r="VVK2" s="42"/>
      <c r="VVL2" s="42"/>
      <c r="VVM2" s="42"/>
      <c r="VVN2" s="42"/>
      <c r="VVO2" s="42"/>
      <c r="VVP2" s="42"/>
      <c r="VVQ2" s="42"/>
      <c r="VVR2" s="42"/>
      <c r="VVS2" s="42"/>
      <c r="VVT2" s="42"/>
      <c r="VVU2" s="42"/>
      <c r="VVV2" s="42"/>
      <c r="VVW2" s="42"/>
      <c r="VVX2" s="42"/>
      <c r="VVY2" s="42"/>
      <c r="VVZ2" s="42"/>
      <c r="VWA2" s="42"/>
      <c r="VWB2" s="42"/>
      <c r="VWC2" s="42"/>
      <c r="VWD2" s="42"/>
      <c r="VWE2" s="42"/>
      <c r="VWF2" s="42"/>
      <c r="VWG2" s="42"/>
      <c r="VWH2" s="42"/>
      <c r="VWI2" s="42"/>
      <c r="VWJ2" s="42"/>
      <c r="VWK2" s="42"/>
      <c r="VWL2" s="42"/>
      <c r="VWM2" s="42"/>
      <c r="VWN2" s="42"/>
      <c r="VWO2" s="42"/>
      <c r="VWP2" s="42"/>
      <c r="VWQ2" s="42"/>
      <c r="VWR2" s="42"/>
      <c r="VWS2" s="42"/>
      <c r="VWT2" s="42"/>
      <c r="VWU2" s="42"/>
      <c r="VWV2" s="42"/>
      <c r="VWW2" s="42"/>
      <c r="VWX2" s="42"/>
      <c r="VWY2" s="42"/>
      <c r="VWZ2" s="42"/>
      <c r="VXA2" s="42"/>
      <c r="VXB2" s="42"/>
      <c r="VXC2" s="42"/>
      <c r="VXD2" s="42"/>
      <c r="VXE2" s="42"/>
      <c r="VXF2" s="42"/>
      <c r="VXG2" s="42"/>
      <c r="VXH2" s="42"/>
      <c r="VXI2" s="42"/>
      <c r="VXJ2" s="42"/>
      <c r="VXK2" s="42"/>
      <c r="VXL2" s="42"/>
      <c r="VXM2" s="42"/>
      <c r="VXN2" s="42"/>
      <c r="VXO2" s="42"/>
      <c r="VXP2" s="42"/>
      <c r="VXQ2" s="42"/>
      <c r="VXR2" s="42"/>
      <c r="VXS2" s="42"/>
      <c r="VXT2" s="42"/>
      <c r="VXU2" s="42"/>
      <c r="VXV2" s="42"/>
      <c r="VXW2" s="42"/>
      <c r="VXX2" s="42"/>
      <c r="VXY2" s="42"/>
      <c r="VXZ2" s="42"/>
      <c r="VYA2" s="42"/>
      <c r="VYB2" s="42"/>
      <c r="VYC2" s="42"/>
      <c r="VYD2" s="42"/>
      <c r="VYE2" s="42"/>
      <c r="VYF2" s="42"/>
      <c r="VYG2" s="42"/>
      <c r="VYH2" s="42"/>
      <c r="VYI2" s="42"/>
      <c r="VYJ2" s="42"/>
      <c r="VYK2" s="42"/>
      <c r="VYL2" s="42"/>
      <c r="VYM2" s="42"/>
      <c r="VYN2" s="42"/>
      <c r="VYO2" s="42"/>
      <c r="VYP2" s="42"/>
      <c r="VYQ2" s="42"/>
      <c r="VYR2" s="42"/>
      <c r="VYS2" s="42"/>
      <c r="VYT2" s="42"/>
      <c r="VYU2" s="42"/>
      <c r="VYV2" s="42"/>
      <c r="VYW2" s="42"/>
      <c r="VYX2" s="42"/>
      <c r="VYY2" s="42"/>
      <c r="VYZ2" s="42"/>
      <c r="VZA2" s="42"/>
      <c r="VZB2" s="42"/>
      <c r="VZC2" s="42"/>
      <c r="VZD2" s="42"/>
      <c r="VZE2" s="42"/>
      <c r="VZF2" s="42"/>
      <c r="VZG2" s="42"/>
      <c r="VZH2" s="42"/>
      <c r="VZI2" s="42"/>
      <c r="VZJ2" s="42"/>
      <c r="VZK2" s="42"/>
      <c r="VZL2" s="42"/>
      <c r="VZM2" s="42"/>
      <c r="VZN2" s="42"/>
      <c r="VZO2" s="42"/>
      <c r="VZP2" s="42"/>
      <c r="VZQ2" s="42"/>
      <c r="VZR2" s="42"/>
      <c r="VZS2" s="42"/>
      <c r="VZT2" s="42"/>
      <c r="VZU2" s="42"/>
      <c r="VZV2" s="42"/>
      <c r="VZW2" s="42"/>
      <c r="VZX2" s="42"/>
      <c r="VZY2" s="42"/>
      <c r="VZZ2" s="42"/>
      <c r="WAA2" s="42"/>
      <c r="WAB2" s="42"/>
      <c r="WAC2" s="42"/>
      <c r="WAD2" s="42"/>
      <c r="WAE2" s="42"/>
      <c r="WAF2" s="42"/>
      <c r="WAG2" s="42"/>
      <c r="WAH2" s="42"/>
      <c r="WAI2" s="42"/>
      <c r="WAJ2" s="42"/>
      <c r="WAK2" s="42"/>
      <c r="WAL2" s="42"/>
      <c r="WAM2" s="42"/>
      <c r="WAN2" s="42"/>
      <c r="WAO2" s="42"/>
      <c r="WAP2" s="42"/>
      <c r="WAQ2" s="42"/>
      <c r="WAR2" s="42"/>
      <c r="WAS2" s="42"/>
      <c r="WAT2" s="42"/>
      <c r="WAU2" s="42"/>
      <c r="WAV2" s="42"/>
      <c r="WAW2" s="42"/>
      <c r="WAX2" s="42"/>
      <c r="WAY2" s="42"/>
      <c r="WAZ2" s="42"/>
      <c r="WBA2" s="42"/>
      <c r="WBB2" s="42"/>
      <c r="WBC2" s="42"/>
      <c r="WBD2" s="42"/>
      <c r="WBE2" s="42"/>
      <c r="WBF2" s="42"/>
      <c r="WBG2" s="42"/>
      <c r="WBH2" s="42"/>
      <c r="WBI2" s="42"/>
      <c r="WBJ2" s="42"/>
      <c r="WBK2" s="42"/>
      <c r="WBL2" s="42"/>
      <c r="WBM2" s="42"/>
      <c r="WBN2" s="42"/>
      <c r="WBO2" s="42"/>
      <c r="WBP2" s="42"/>
      <c r="WBQ2" s="42"/>
      <c r="WBR2" s="42"/>
      <c r="WBS2" s="42"/>
      <c r="WBT2" s="42"/>
      <c r="WBU2" s="42"/>
      <c r="WBV2" s="42"/>
      <c r="WBW2" s="42"/>
      <c r="WBX2" s="42"/>
      <c r="WBY2" s="42"/>
      <c r="WBZ2" s="42"/>
      <c r="WCA2" s="42"/>
      <c r="WCB2" s="42"/>
      <c r="WCC2" s="42"/>
      <c r="WCD2" s="42"/>
      <c r="WCE2" s="42"/>
      <c r="WCF2" s="42"/>
      <c r="WCG2" s="42"/>
      <c r="WCH2" s="42"/>
      <c r="WCI2" s="42"/>
      <c r="WCJ2" s="42"/>
      <c r="WCK2" s="42"/>
      <c r="WCL2" s="42"/>
      <c r="WCM2" s="42"/>
      <c r="WCN2" s="42"/>
      <c r="WCO2" s="42"/>
      <c r="WCP2" s="42"/>
      <c r="WCQ2" s="42"/>
      <c r="WCR2" s="42"/>
      <c r="WCS2" s="42"/>
      <c r="WCT2" s="42"/>
      <c r="WCU2" s="42"/>
      <c r="WCV2" s="42"/>
      <c r="WCW2" s="42"/>
      <c r="WCX2" s="42"/>
      <c r="WCY2" s="42"/>
      <c r="WCZ2" s="42"/>
      <c r="WDA2" s="42"/>
      <c r="WDB2" s="42"/>
      <c r="WDC2" s="42"/>
      <c r="WDD2" s="42"/>
      <c r="WDE2" s="42"/>
      <c r="WDF2" s="42"/>
      <c r="WDG2" s="42"/>
      <c r="WDH2" s="42"/>
      <c r="WDI2" s="42"/>
      <c r="WDJ2" s="42"/>
      <c r="WDK2" s="42"/>
      <c r="WDL2" s="42"/>
      <c r="WDM2" s="42"/>
      <c r="WDN2" s="42"/>
      <c r="WDO2" s="42"/>
      <c r="WDP2" s="42"/>
      <c r="WDQ2" s="42"/>
      <c r="WDR2" s="42"/>
      <c r="WDS2" s="42"/>
      <c r="WDT2" s="42"/>
      <c r="WDU2" s="42"/>
      <c r="WDV2" s="42"/>
      <c r="WDW2" s="42"/>
      <c r="WDX2" s="42"/>
      <c r="WDY2" s="42"/>
      <c r="WDZ2" s="42"/>
      <c r="WEA2" s="42"/>
      <c r="WEB2" s="42"/>
      <c r="WEC2" s="42"/>
      <c r="WED2" s="42"/>
      <c r="WEE2" s="42"/>
      <c r="WEF2" s="42"/>
      <c r="WEG2" s="42"/>
      <c r="WEH2" s="42"/>
      <c r="WEI2" s="42"/>
      <c r="WEJ2" s="42"/>
      <c r="WEK2" s="42"/>
      <c r="WEL2" s="42"/>
      <c r="WEM2" s="42"/>
      <c r="WEN2" s="42"/>
      <c r="WEO2" s="42"/>
      <c r="WEP2" s="42"/>
      <c r="WEQ2" s="42"/>
      <c r="WER2" s="42"/>
      <c r="WES2" s="42"/>
      <c r="WET2" s="42"/>
      <c r="WEU2" s="42"/>
      <c r="WEV2" s="42"/>
      <c r="WEW2" s="42"/>
      <c r="WEX2" s="42"/>
      <c r="WEY2" s="42"/>
      <c r="WEZ2" s="42"/>
      <c r="WFA2" s="42"/>
      <c r="WFB2" s="42"/>
      <c r="WFC2" s="42"/>
      <c r="WFD2" s="42"/>
      <c r="WFE2" s="42"/>
      <c r="WFF2" s="42"/>
      <c r="WFG2" s="42"/>
      <c r="WFH2" s="42"/>
      <c r="WFI2" s="42"/>
      <c r="WFJ2" s="42"/>
      <c r="WFK2" s="42"/>
      <c r="WFL2" s="42"/>
      <c r="WFM2" s="42"/>
      <c r="WFN2" s="42"/>
      <c r="WFO2" s="42"/>
      <c r="WFP2" s="42"/>
      <c r="WFQ2" s="42"/>
      <c r="WFR2" s="42"/>
      <c r="WFS2" s="42"/>
      <c r="WFT2" s="42"/>
      <c r="WFU2" s="42"/>
      <c r="WFV2" s="42"/>
      <c r="WFW2" s="42"/>
      <c r="WFX2" s="42"/>
      <c r="WFY2" s="42"/>
      <c r="WFZ2" s="42"/>
      <c r="WGA2" s="42"/>
      <c r="WGB2" s="42"/>
      <c r="WGC2" s="42"/>
      <c r="WGD2" s="42"/>
      <c r="WGE2" s="42"/>
      <c r="WGF2" s="42"/>
      <c r="WGG2" s="42"/>
      <c r="WGH2" s="42"/>
      <c r="WGI2" s="42"/>
      <c r="WGJ2" s="42"/>
      <c r="WGK2" s="42"/>
      <c r="WGL2" s="42"/>
      <c r="WGM2" s="42"/>
      <c r="WGN2" s="42"/>
      <c r="WGO2" s="42"/>
      <c r="WGP2" s="42"/>
      <c r="WGQ2" s="42"/>
      <c r="WGR2" s="42"/>
      <c r="WGS2" s="42"/>
      <c r="WGT2" s="42"/>
      <c r="WGU2" s="42"/>
      <c r="WGV2" s="42"/>
      <c r="WGW2" s="42"/>
      <c r="WGX2" s="42"/>
      <c r="WGY2" s="42"/>
      <c r="WGZ2" s="42"/>
      <c r="WHA2" s="42"/>
      <c r="WHB2" s="42"/>
      <c r="WHC2" s="42"/>
      <c r="WHD2" s="42"/>
      <c r="WHE2" s="42"/>
      <c r="WHF2" s="42"/>
      <c r="WHG2" s="42"/>
      <c r="WHH2" s="42"/>
      <c r="WHI2" s="42"/>
      <c r="WHJ2" s="42"/>
      <c r="WHK2" s="42"/>
      <c r="WHL2" s="42"/>
      <c r="WHM2" s="42"/>
      <c r="WHN2" s="42"/>
      <c r="WHO2" s="42"/>
      <c r="WHP2" s="42"/>
      <c r="WHQ2" s="42"/>
      <c r="WHR2" s="42"/>
      <c r="WHS2" s="42"/>
      <c r="WHT2" s="42"/>
      <c r="WHU2" s="42"/>
      <c r="WHV2" s="42"/>
      <c r="WHW2" s="42"/>
      <c r="WHX2" s="42"/>
      <c r="WHY2" s="42"/>
      <c r="WHZ2" s="42"/>
      <c r="WIA2" s="42"/>
      <c r="WIB2" s="42"/>
      <c r="WIC2" s="42"/>
      <c r="WID2" s="42"/>
      <c r="WIE2" s="42"/>
      <c r="WIF2" s="42"/>
      <c r="WIG2" s="42"/>
      <c r="WIH2" s="42"/>
      <c r="WII2" s="42"/>
      <c r="WIJ2" s="42"/>
      <c r="WIK2" s="42"/>
      <c r="WIL2" s="42"/>
      <c r="WIM2" s="42"/>
      <c r="WIN2" s="42"/>
      <c r="WIO2" s="42"/>
      <c r="WIP2" s="42"/>
      <c r="WIQ2" s="42"/>
      <c r="WIR2" s="42"/>
      <c r="WIS2" s="42"/>
      <c r="WIT2" s="42"/>
      <c r="WIU2" s="42"/>
      <c r="WIV2" s="42"/>
      <c r="WIW2" s="42"/>
      <c r="WIX2" s="42"/>
      <c r="WIY2" s="42"/>
      <c r="WIZ2" s="42"/>
      <c r="WJA2" s="42"/>
      <c r="WJB2" s="42"/>
      <c r="WJC2" s="42"/>
      <c r="WJD2" s="42"/>
      <c r="WJE2" s="42"/>
      <c r="WJF2" s="42"/>
      <c r="WJG2" s="42"/>
      <c r="WJH2" s="42"/>
      <c r="WJI2" s="42"/>
      <c r="WJJ2" s="42"/>
      <c r="WJK2" s="42"/>
      <c r="WJL2" s="42"/>
      <c r="WJM2" s="42"/>
      <c r="WJN2" s="42"/>
      <c r="WJO2" s="42"/>
      <c r="WJP2" s="42"/>
      <c r="WJQ2" s="42"/>
      <c r="WJR2" s="42"/>
      <c r="WJS2" s="42"/>
      <c r="WJT2" s="42"/>
      <c r="WJU2" s="42"/>
      <c r="WJV2" s="42"/>
      <c r="WJW2" s="42"/>
      <c r="WJX2" s="42"/>
      <c r="WJY2" s="42"/>
      <c r="WJZ2" s="42"/>
      <c r="WKA2" s="42"/>
      <c r="WKB2" s="42"/>
      <c r="WKC2" s="42"/>
      <c r="WKD2" s="42"/>
      <c r="WKE2" s="42"/>
      <c r="WKF2" s="42"/>
      <c r="WKG2" s="42"/>
      <c r="WKH2" s="42"/>
      <c r="WKI2" s="42"/>
      <c r="WKJ2" s="42"/>
      <c r="WKK2" s="42"/>
      <c r="WKL2" s="42"/>
      <c r="WKM2" s="42"/>
      <c r="WKN2" s="42"/>
      <c r="WKO2" s="42"/>
      <c r="WKP2" s="42"/>
      <c r="WKQ2" s="42"/>
      <c r="WKR2" s="42"/>
      <c r="WKS2" s="42"/>
      <c r="WKT2" s="42"/>
      <c r="WKU2" s="42"/>
      <c r="WKV2" s="42"/>
      <c r="WKW2" s="42"/>
      <c r="WKX2" s="42"/>
      <c r="WKY2" s="42"/>
      <c r="WKZ2" s="42"/>
      <c r="WLA2" s="42"/>
      <c r="WLB2" s="42"/>
      <c r="WLC2" s="42"/>
      <c r="WLD2" s="42"/>
      <c r="WLE2" s="42"/>
      <c r="WLF2" s="42"/>
      <c r="WLG2" s="42"/>
      <c r="WLH2" s="42"/>
      <c r="WLI2" s="42"/>
      <c r="WLJ2" s="42"/>
      <c r="WLK2" s="42"/>
      <c r="WLL2" s="42"/>
      <c r="WLM2" s="42"/>
      <c r="WLN2" s="42"/>
      <c r="WLO2" s="42"/>
      <c r="WLP2" s="42"/>
      <c r="WLQ2" s="42"/>
      <c r="WLR2" s="42"/>
      <c r="WLS2" s="42"/>
      <c r="WLT2" s="42"/>
      <c r="WLU2" s="42"/>
      <c r="WLV2" s="42"/>
      <c r="WLW2" s="42"/>
      <c r="WLX2" s="42"/>
      <c r="WLY2" s="42"/>
      <c r="WLZ2" s="42"/>
      <c r="WMA2" s="42"/>
      <c r="WMB2" s="42"/>
      <c r="WMC2" s="42"/>
      <c r="WMD2" s="42"/>
      <c r="WME2" s="42"/>
      <c r="WMF2" s="42"/>
      <c r="WMG2" s="42"/>
      <c r="WMH2" s="42"/>
      <c r="WMI2" s="42"/>
      <c r="WMJ2" s="42"/>
      <c r="WMK2" s="42"/>
      <c r="WML2" s="42"/>
      <c r="WMM2" s="42"/>
      <c r="WMN2" s="42"/>
      <c r="WMO2" s="42"/>
      <c r="WMP2" s="42"/>
      <c r="WMQ2" s="42"/>
      <c r="WMR2" s="42"/>
      <c r="WMS2" s="42"/>
      <c r="WMT2" s="42"/>
      <c r="WMU2" s="42"/>
      <c r="WMV2" s="42"/>
      <c r="WMW2" s="42"/>
      <c r="WMX2" s="42"/>
      <c r="WMY2" s="42"/>
      <c r="WMZ2" s="42"/>
      <c r="WNA2" s="42"/>
      <c r="WNB2" s="42"/>
      <c r="WNC2" s="42"/>
      <c r="WND2" s="42"/>
      <c r="WNE2" s="42"/>
      <c r="WNF2" s="42"/>
      <c r="WNG2" s="42"/>
      <c r="WNH2" s="42"/>
      <c r="WNI2" s="42"/>
      <c r="WNJ2" s="42"/>
      <c r="WNK2" s="42"/>
      <c r="WNL2" s="42"/>
      <c r="WNM2" s="42"/>
      <c r="WNN2" s="42"/>
      <c r="WNO2" s="42"/>
      <c r="WNP2" s="42"/>
      <c r="WNQ2" s="42"/>
      <c r="WNR2" s="42"/>
      <c r="WNS2" s="42"/>
      <c r="WNT2" s="42"/>
      <c r="WNU2" s="42"/>
      <c r="WNV2" s="42"/>
      <c r="WNW2" s="42"/>
      <c r="WNX2" s="42"/>
      <c r="WNY2" s="42"/>
      <c r="WNZ2" s="42"/>
      <c r="WOA2" s="42"/>
      <c r="WOB2" s="42"/>
      <c r="WOC2" s="42"/>
      <c r="WOD2" s="42"/>
      <c r="WOE2" s="42"/>
      <c r="WOF2" s="42"/>
      <c r="WOG2" s="42"/>
      <c r="WOH2" s="42"/>
      <c r="WOI2" s="42"/>
      <c r="WOJ2" s="42"/>
      <c r="WOK2" s="42"/>
      <c r="WOL2" s="42"/>
      <c r="WOM2" s="42"/>
      <c r="WON2" s="42"/>
      <c r="WOO2" s="42"/>
      <c r="WOP2" s="42"/>
      <c r="WOQ2" s="42"/>
      <c r="WOR2" s="42"/>
      <c r="WOS2" s="42"/>
      <c r="WOT2" s="42"/>
      <c r="WOU2" s="42"/>
      <c r="WOV2" s="42"/>
      <c r="WOW2" s="42"/>
      <c r="WOX2" s="42"/>
      <c r="WOY2" s="42"/>
      <c r="WOZ2" s="42"/>
      <c r="WPA2" s="42"/>
      <c r="WPB2" s="42"/>
      <c r="WPC2" s="42"/>
      <c r="WPD2" s="42"/>
      <c r="WPE2" s="42"/>
      <c r="WPF2" s="42"/>
      <c r="WPG2" s="42"/>
      <c r="WPH2" s="42"/>
      <c r="WPI2" s="42"/>
      <c r="WPJ2" s="42"/>
      <c r="WPK2" s="42"/>
      <c r="WPL2" s="42"/>
      <c r="WPM2" s="42"/>
      <c r="WPN2" s="42"/>
      <c r="WPO2" s="42"/>
      <c r="WPP2" s="42"/>
      <c r="WPQ2" s="42"/>
      <c r="WPR2" s="42"/>
      <c r="WPS2" s="42"/>
      <c r="WPT2" s="42"/>
      <c r="WPU2" s="42"/>
      <c r="WPV2" s="42"/>
      <c r="WPW2" s="42"/>
      <c r="WPX2" s="42"/>
      <c r="WPY2" s="42"/>
      <c r="WPZ2" s="42"/>
      <c r="WQA2" s="42"/>
      <c r="WQB2" s="42"/>
      <c r="WQC2" s="42"/>
      <c r="WQD2" s="42"/>
      <c r="WQE2" s="42"/>
      <c r="WQF2" s="42"/>
      <c r="WQG2" s="42"/>
      <c r="WQH2" s="42"/>
      <c r="WQI2" s="42"/>
      <c r="WQJ2" s="42"/>
      <c r="WQK2" s="42"/>
      <c r="WQL2" s="42"/>
      <c r="WQM2" s="42"/>
      <c r="WQN2" s="42"/>
      <c r="WQO2" s="42"/>
      <c r="WQP2" s="42"/>
      <c r="WQQ2" s="42"/>
      <c r="WQR2" s="42"/>
      <c r="WQS2" s="42"/>
      <c r="WQT2" s="42"/>
      <c r="WQU2" s="42"/>
      <c r="WQV2" s="42"/>
      <c r="WQW2" s="42"/>
      <c r="WQX2" s="42"/>
      <c r="WQY2" s="42"/>
      <c r="WQZ2" s="42"/>
      <c r="WRA2" s="42"/>
      <c r="WRB2" s="42"/>
      <c r="WRC2" s="42"/>
      <c r="WRD2" s="42"/>
      <c r="WRE2" s="42"/>
      <c r="WRF2" s="42"/>
      <c r="WRG2" s="42"/>
      <c r="WRH2" s="42"/>
      <c r="WRI2" s="42"/>
      <c r="WRJ2" s="42"/>
      <c r="WRK2" s="42"/>
      <c r="WRL2" s="42"/>
      <c r="WRM2" s="42"/>
      <c r="WRN2" s="42"/>
      <c r="WRO2" s="42"/>
      <c r="WRP2" s="42"/>
      <c r="WRQ2" s="42"/>
      <c r="WRR2" s="42"/>
      <c r="WRS2" s="42"/>
      <c r="WRT2" s="42"/>
      <c r="WRU2" s="42"/>
      <c r="WRV2" s="42"/>
      <c r="WRW2" s="42"/>
      <c r="WRX2" s="42"/>
      <c r="WRY2" s="42"/>
      <c r="WRZ2" s="42"/>
      <c r="WSA2" s="42"/>
      <c r="WSB2" s="42"/>
      <c r="WSC2" s="42"/>
      <c r="WSD2" s="42"/>
      <c r="WSE2" s="42"/>
      <c r="WSF2" s="42"/>
      <c r="WSG2" s="42"/>
      <c r="WSH2" s="42"/>
      <c r="WSI2" s="42"/>
      <c r="WSJ2" s="42"/>
      <c r="WSK2" s="42"/>
      <c r="WSL2" s="42"/>
      <c r="WSM2" s="42"/>
      <c r="WSN2" s="42"/>
      <c r="WSO2" s="42"/>
      <c r="WSP2" s="42"/>
      <c r="WSQ2" s="42"/>
      <c r="WSR2" s="42"/>
      <c r="WSS2" s="42"/>
      <c r="WST2" s="42"/>
      <c r="WSU2" s="42"/>
      <c r="WSV2" s="42"/>
      <c r="WSW2" s="42"/>
      <c r="WSX2" s="42"/>
      <c r="WSY2" s="42"/>
      <c r="WSZ2" s="42"/>
      <c r="WTA2" s="42"/>
      <c r="WTB2" s="42"/>
      <c r="WTC2" s="42"/>
      <c r="WTD2" s="42"/>
      <c r="WTE2" s="42"/>
      <c r="WTF2" s="42"/>
      <c r="WTG2" s="42"/>
      <c r="WTH2" s="42"/>
      <c r="WTI2" s="42"/>
      <c r="WTJ2" s="42"/>
      <c r="WTK2" s="42"/>
      <c r="WTL2" s="42"/>
      <c r="WTM2" s="42"/>
      <c r="WTN2" s="42"/>
      <c r="WTO2" s="42"/>
      <c r="WTP2" s="42"/>
      <c r="WTQ2" s="42"/>
      <c r="WTR2" s="42"/>
      <c r="WTS2" s="42"/>
      <c r="WTT2" s="42"/>
      <c r="WTU2" s="42"/>
      <c r="WTV2" s="42"/>
      <c r="WTW2" s="42"/>
      <c r="WTX2" s="42"/>
      <c r="WTY2" s="42"/>
      <c r="WTZ2" s="42"/>
      <c r="WUA2" s="42"/>
      <c r="WUB2" s="42"/>
      <c r="WUC2" s="42"/>
      <c r="WUD2" s="42"/>
      <c r="WUE2" s="42"/>
      <c r="WUF2" s="42"/>
      <c r="WUG2" s="42"/>
      <c r="WUH2" s="42"/>
      <c r="WUI2" s="42"/>
      <c r="WUJ2" s="42"/>
      <c r="WUK2" s="42"/>
      <c r="WUL2" s="42"/>
      <c r="WUM2" s="42"/>
      <c r="WUN2" s="42"/>
      <c r="WUO2" s="42"/>
      <c r="WUP2" s="42"/>
      <c r="WUQ2" s="42"/>
      <c r="WUR2" s="42"/>
      <c r="WUS2" s="42"/>
      <c r="WUT2" s="42"/>
      <c r="WUU2" s="42"/>
      <c r="WUV2" s="42"/>
      <c r="WUW2" s="42"/>
      <c r="WUX2" s="42"/>
      <c r="WUY2" s="42"/>
      <c r="WUZ2" s="42"/>
      <c r="WVA2" s="42"/>
      <c r="WVB2" s="42"/>
      <c r="WVC2" s="42"/>
      <c r="WVD2" s="42"/>
      <c r="WVE2" s="42"/>
      <c r="WVF2" s="42"/>
      <c r="WVG2" s="42"/>
      <c r="WVH2" s="42"/>
      <c r="WVI2" s="42"/>
      <c r="WVJ2" s="42"/>
      <c r="WVK2" s="42"/>
      <c r="WVL2" s="42"/>
      <c r="WVM2" s="42"/>
      <c r="WVN2" s="42"/>
      <c r="WVO2" s="42"/>
      <c r="WVP2" s="42"/>
      <c r="WVQ2" s="42"/>
      <c r="WVR2" s="42"/>
      <c r="WVS2" s="42"/>
      <c r="WVT2" s="42"/>
      <c r="WVU2" s="42"/>
      <c r="WVV2" s="42"/>
      <c r="WVW2" s="42"/>
      <c r="WVX2" s="42"/>
      <c r="WVY2" s="42"/>
      <c r="WVZ2" s="42"/>
      <c r="WWA2" s="42"/>
      <c r="WWB2" s="42"/>
      <c r="WWC2" s="42"/>
      <c r="WWD2" s="42"/>
      <c r="WWE2" s="42"/>
      <c r="WWF2" s="42"/>
      <c r="WWG2" s="42"/>
      <c r="WWH2" s="42"/>
      <c r="WWI2" s="42"/>
      <c r="WWJ2" s="42"/>
      <c r="WWK2" s="42"/>
      <c r="WWL2" s="42"/>
      <c r="WWM2" s="42"/>
      <c r="WWN2" s="42"/>
      <c r="WWO2" s="42"/>
      <c r="WWP2" s="42"/>
      <c r="WWQ2" s="42"/>
      <c r="WWR2" s="42"/>
      <c r="WWS2" s="42"/>
      <c r="WWT2" s="42"/>
      <c r="WWU2" s="42"/>
      <c r="WWV2" s="42"/>
      <c r="WWW2" s="42"/>
      <c r="WWX2" s="42"/>
      <c r="WWY2" s="42"/>
      <c r="WWZ2" s="42"/>
      <c r="WXA2" s="42"/>
      <c r="WXB2" s="42"/>
      <c r="WXC2" s="42"/>
      <c r="WXD2" s="42"/>
      <c r="WXE2" s="42"/>
      <c r="WXF2" s="42"/>
      <c r="WXG2" s="42"/>
      <c r="WXH2" s="42"/>
      <c r="WXI2" s="42"/>
      <c r="WXJ2" s="42"/>
      <c r="WXK2" s="42"/>
      <c r="WXL2" s="42"/>
      <c r="WXM2" s="42"/>
      <c r="WXN2" s="42"/>
      <c r="WXO2" s="42"/>
      <c r="WXP2" s="42"/>
      <c r="WXQ2" s="42"/>
      <c r="WXR2" s="42"/>
      <c r="WXS2" s="42"/>
      <c r="WXT2" s="42"/>
      <c r="WXU2" s="42"/>
      <c r="WXV2" s="42"/>
      <c r="WXW2" s="42"/>
      <c r="WXX2" s="42"/>
      <c r="WXY2" s="42"/>
      <c r="WXZ2" s="42"/>
      <c r="WYA2" s="42"/>
      <c r="WYB2" s="42"/>
      <c r="WYC2" s="42"/>
      <c r="WYD2" s="42"/>
      <c r="WYE2" s="42"/>
      <c r="WYF2" s="42"/>
      <c r="WYG2" s="42"/>
      <c r="WYH2" s="42"/>
      <c r="WYI2" s="42"/>
      <c r="WYJ2" s="42"/>
      <c r="WYK2" s="42"/>
      <c r="WYL2" s="42"/>
      <c r="WYM2" s="42"/>
      <c r="WYN2" s="42"/>
      <c r="WYO2" s="42"/>
      <c r="WYP2" s="42"/>
      <c r="WYQ2" s="42"/>
      <c r="WYR2" s="42"/>
      <c r="WYS2" s="42"/>
      <c r="WYT2" s="42"/>
      <c r="WYU2" s="42"/>
      <c r="WYV2" s="42"/>
      <c r="WYW2" s="42"/>
      <c r="WYX2" s="42"/>
      <c r="WYY2" s="42"/>
      <c r="WYZ2" s="42"/>
      <c r="WZA2" s="42"/>
      <c r="WZB2" s="42"/>
      <c r="WZC2" s="42"/>
      <c r="WZD2" s="42"/>
      <c r="WZE2" s="42"/>
      <c r="WZF2" s="42"/>
      <c r="WZG2" s="42"/>
      <c r="WZH2" s="42"/>
      <c r="WZI2" s="42"/>
      <c r="WZJ2" s="42"/>
      <c r="WZK2" s="42"/>
      <c r="WZL2" s="42"/>
      <c r="WZM2" s="42"/>
      <c r="WZN2" s="42"/>
      <c r="WZO2" s="42"/>
      <c r="WZP2" s="42"/>
      <c r="WZQ2" s="42"/>
      <c r="WZR2" s="42"/>
      <c r="WZS2" s="42"/>
      <c r="WZT2" s="42"/>
      <c r="WZU2" s="42"/>
      <c r="WZV2" s="42"/>
      <c r="WZW2" s="42"/>
      <c r="WZX2" s="42"/>
      <c r="WZY2" s="42"/>
      <c r="WZZ2" s="42"/>
      <c r="XAA2" s="42"/>
      <c r="XAB2" s="42"/>
      <c r="XAC2" s="42"/>
      <c r="XAD2" s="42"/>
      <c r="XAE2" s="42"/>
      <c r="XAF2" s="42"/>
      <c r="XAG2" s="42"/>
      <c r="XAH2" s="42"/>
      <c r="XAI2" s="42"/>
      <c r="XAJ2" s="42"/>
      <c r="XAK2" s="42"/>
      <c r="XAL2" s="42"/>
      <c r="XAM2" s="42"/>
      <c r="XAN2" s="42"/>
      <c r="XAO2" s="42"/>
      <c r="XAP2" s="42"/>
      <c r="XAQ2" s="42"/>
      <c r="XAR2" s="42"/>
      <c r="XAS2" s="42"/>
      <c r="XAT2" s="42"/>
      <c r="XAU2" s="42"/>
      <c r="XAV2" s="42"/>
      <c r="XAW2" s="42"/>
      <c r="XAX2" s="42"/>
      <c r="XAY2" s="42"/>
      <c r="XAZ2" s="42"/>
      <c r="XBA2" s="42"/>
      <c r="XBB2" s="42"/>
      <c r="XBC2" s="42"/>
      <c r="XBD2" s="42"/>
      <c r="XBE2" s="42"/>
      <c r="XBF2" s="42"/>
      <c r="XBG2" s="42"/>
      <c r="XBH2" s="42"/>
      <c r="XBI2" s="42"/>
      <c r="XBJ2" s="42"/>
      <c r="XBK2" s="42"/>
      <c r="XBL2" s="42"/>
      <c r="XBM2" s="42"/>
      <c r="XBN2" s="42"/>
      <c r="XBO2" s="42"/>
      <c r="XBP2" s="42"/>
      <c r="XBQ2" s="42"/>
      <c r="XBR2" s="42"/>
      <c r="XBS2" s="42"/>
      <c r="XBT2" s="42"/>
      <c r="XBU2" s="42"/>
      <c r="XBV2" s="42"/>
      <c r="XBW2" s="42"/>
      <c r="XBX2" s="42"/>
      <c r="XBY2" s="42"/>
      <c r="XBZ2" s="42"/>
      <c r="XCA2" s="42"/>
      <c r="XCB2" s="42"/>
      <c r="XCC2" s="42"/>
      <c r="XCD2" s="42"/>
      <c r="XCE2" s="42"/>
      <c r="XCF2" s="42"/>
      <c r="XCG2" s="42"/>
      <c r="XCH2" s="42"/>
      <c r="XCI2" s="42"/>
      <c r="XCJ2" s="42"/>
      <c r="XCK2" s="42"/>
      <c r="XCL2" s="42"/>
      <c r="XCM2" s="42"/>
      <c r="XCN2" s="42"/>
      <c r="XCO2" s="42"/>
      <c r="XCP2" s="42"/>
      <c r="XCQ2" s="42"/>
      <c r="XCR2" s="42"/>
      <c r="XCS2" s="42"/>
      <c r="XCT2" s="42"/>
      <c r="XCU2" s="42"/>
      <c r="XCV2" s="42"/>
      <c r="XCW2" s="42"/>
      <c r="XCX2" s="42"/>
      <c r="XCY2" s="42"/>
      <c r="XCZ2" s="42"/>
      <c r="XDA2" s="42"/>
      <c r="XDB2" s="42"/>
      <c r="XDC2" s="42"/>
      <c r="XDD2" s="42"/>
      <c r="XDE2" s="42"/>
      <c r="XDF2" s="42"/>
      <c r="XDG2" s="42"/>
      <c r="XDH2" s="42"/>
    </row>
    <row r="3" spans="1:16336" ht="15.75" x14ac:dyDescent="0.35">
      <c r="A3" s="51"/>
      <c r="B3" s="52" t="s">
        <v>55</v>
      </c>
      <c r="C3" s="53" t="s">
        <v>50</v>
      </c>
      <c r="D3" s="44"/>
      <c r="E3" s="44"/>
      <c r="F3" s="44"/>
      <c r="G3" s="4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c r="KD3" s="44"/>
      <c r="KE3" s="44"/>
      <c r="KF3" s="44"/>
      <c r="KG3" s="44"/>
      <c r="KH3" s="44"/>
      <c r="KI3" s="44"/>
      <c r="KJ3" s="44"/>
      <c r="KK3" s="44"/>
      <c r="KL3" s="44"/>
      <c r="KM3" s="44"/>
      <c r="KN3" s="44"/>
      <c r="KO3" s="44"/>
      <c r="KP3" s="44"/>
      <c r="KQ3" s="44"/>
      <c r="KR3" s="44"/>
      <c r="KS3" s="44"/>
      <c r="KT3" s="44"/>
      <c r="KU3" s="44"/>
      <c r="KV3" s="44"/>
      <c r="KW3" s="44"/>
      <c r="KX3" s="44"/>
      <c r="KY3" s="44"/>
      <c r="KZ3" s="44"/>
      <c r="LA3" s="44"/>
      <c r="LB3" s="44"/>
      <c r="LC3" s="44"/>
      <c r="LD3" s="44"/>
      <c r="LE3" s="44"/>
      <c r="LF3" s="44"/>
      <c r="LG3" s="44"/>
      <c r="LH3" s="44"/>
      <c r="LI3" s="44"/>
      <c r="LJ3" s="44"/>
      <c r="LK3" s="44"/>
      <c r="LL3" s="44"/>
      <c r="LM3" s="44"/>
      <c r="LN3" s="44"/>
      <c r="LO3" s="44"/>
      <c r="LP3" s="44"/>
      <c r="LQ3" s="44"/>
      <c r="LR3" s="44"/>
      <c r="LS3" s="44"/>
      <c r="LT3" s="44"/>
      <c r="LU3" s="44"/>
      <c r="LV3" s="44"/>
      <c r="LW3" s="44"/>
      <c r="LX3" s="44"/>
      <c r="LY3" s="44"/>
      <c r="LZ3" s="44"/>
      <c r="MA3" s="44"/>
      <c r="MB3" s="44"/>
      <c r="MC3" s="44"/>
      <c r="MD3" s="44"/>
      <c r="ME3" s="44"/>
      <c r="MF3" s="44"/>
      <c r="MG3" s="44"/>
      <c r="MH3" s="44"/>
      <c r="MI3" s="44"/>
      <c r="MJ3" s="44"/>
      <c r="MK3" s="44"/>
      <c r="ML3" s="44"/>
      <c r="MM3" s="44"/>
      <c r="MN3" s="44"/>
      <c r="MO3" s="44"/>
      <c r="MP3" s="44"/>
      <c r="MQ3" s="44"/>
      <c r="MR3" s="44"/>
      <c r="MS3" s="44"/>
      <c r="MT3" s="44"/>
      <c r="MU3" s="44"/>
      <c r="MV3" s="44"/>
      <c r="MW3" s="44"/>
      <c r="MX3" s="44"/>
      <c r="MY3" s="44"/>
      <c r="MZ3" s="44"/>
      <c r="NA3" s="44"/>
      <c r="NB3" s="44"/>
      <c r="NC3" s="44"/>
      <c r="ND3" s="44"/>
      <c r="NE3" s="44"/>
      <c r="NF3" s="44"/>
      <c r="NG3" s="44"/>
      <c r="NH3" s="44"/>
      <c r="NI3" s="44"/>
      <c r="NJ3" s="44"/>
      <c r="NK3" s="44"/>
      <c r="NL3" s="44"/>
      <c r="NM3" s="44"/>
      <c r="NN3" s="44"/>
      <c r="NO3" s="44"/>
      <c r="NP3" s="44"/>
      <c r="NQ3" s="44"/>
      <c r="NR3" s="44"/>
      <c r="NS3" s="44"/>
      <c r="NT3" s="44"/>
      <c r="NU3" s="44"/>
      <c r="NV3" s="44"/>
      <c r="NW3" s="44"/>
      <c r="NX3" s="44"/>
      <c r="NY3" s="44"/>
      <c r="NZ3" s="44"/>
      <c r="OA3" s="44"/>
      <c r="OB3" s="44"/>
      <c r="OC3" s="44"/>
      <c r="OD3" s="44"/>
      <c r="OE3" s="44"/>
      <c r="OF3" s="44"/>
      <c r="OG3" s="44"/>
      <c r="OH3" s="44"/>
      <c r="OI3" s="44"/>
      <c r="OJ3" s="44"/>
      <c r="OK3" s="44"/>
      <c r="OL3" s="44"/>
      <c r="OM3" s="44"/>
      <c r="ON3" s="44"/>
      <c r="OO3" s="44"/>
      <c r="OP3" s="44"/>
      <c r="OQ3" s="44"/>
      <c r="OR3" s="44"/>
      <c r="OS3" s="44"/>
      <c r="OT3" s="44"/>
      <c r="OU3" s="44"/>
      <c r="OV3" s="44"/>
      <c r="OW3" s="44"/>
      <c r="OX3" s="44"/>
      <c r="OY3" s="44"/>
      <c r="OZ3" s="44"/>
      <c r="PA3" s="44"/>
      <c r="PB3" s="44"/>
      <c r="PC3" s="44"/>
      <c r="PD3" s="44"/>
      <c r="PE3" s="44"/>
      <c r="PF3" s="44"/>
      <c r="PG3" s="44"/>
      <c r="PH3" s="44"/>
      <c r="PI3" s="44"/>
      <c r="PJ3" s="44"/>
      <c r="PK3" s="44"/>
      <c r="PL3" s="44"/>
      <c r="PM3" s="44"/>
      <c r="PN3" s="44"/>
      <c r="PO3" s="44"/>
      <c r="PP3" s="44"/>
      <c r="PQ3" s="44"/>
      <c r="PR3" s="44"/>
      <c r="PS3" s="44"/>
      <c r="PT3" s="44"/>
      <c r="PU3" s="44"/>
      <c r="PV3" s="44"/>
      <c r="PW3" s="44"/>
      <c r="PX3" s="44"/>
      <c r="PY3" s="44"/>
      <c r="PZ3" s="44"/>
      <c r="QA3" s="44"/>
      <c r="QB3" s="44"/>
      <c r="QC3" s="44"/>
      <c r="QD3" s="44"/>
      <c r="QE3" s="44"/>
      <c r="QF3" s="44"/>
      <c r="QG3" s="44"/>
      <c r="QH3" s="44"/>
      <c r="QI3" s="44"/>
      <c r="QJ3" s="44"/>
      <c r="QK3" s="44"/>
      <c r="QL3" s="44"/>
      <c r="QM3" s="44"/>
      <c r="QN3" s="44"/>
      <c r="QO3" s="44"/>
      <c r="QP3" s="44"/>
      <c r="QQ3" s="44"/>
      <c r="QR3" s="44"/>
      <c r="QS3" s="44"/>
      <c r="QT3" s="44"/>
      <c r="QU3" s="44"/>
      <c r="QV3" s="44"/>
      <c r="QW3" s="44"/>
      <c r="QX3" s="44"/>
      <c r="QY3" s="44"/>
      <c r="QZ3" s="44"/>
      <c r="RA3" s="44"/>
      <c r="RB3" s="44"/>
      <c r="RC3" s="44"/>
      <c r="RD3" s="44"/>
      <c r="RE3" s="44"/>
      <c r="RF3" s="44"/>
      <c r="RG3" s="44"/>
      <c r="RH3" s="44"/>
      <c r="RI3" s="44"/>
      <c r="RJ3" s="44"/>
      <c r="RK3" s="44"/>
      <c r="RL3" s="44"/>
      <c r="RM3" s="44"/>
      <c r="RN3" s="44"/>
      <c r="RO3" s="44"/>
      <c r="RP3" s="44"/>
      <c r="RQ3" s="44"/>
      <c r="RR3" s="44"/>
      <c r="RS3" s="44"/>
      <c r="RT3" s="44"/>
      <c r="RU3" s="44"/>
      <c r="RV3" s="44"/>
      <c r="RW3" s="44"/>
      <c r="RX3" s="44"/>
      <c r="RY3" s="44"/>
      <c r="RZ3" s="44"/>
      <c r="SA3" s="44"/>
      <c r="SB3" s="44"/>
      <c r="SC3" s="44"/>
      <c r="SD3" s="44"/>
      <c r="SE3" s="44"/>
      <c r="SF3" s="44"/>
      <c r="SG3" s="44"/>
      <c r="SH3" s="44"/>
      <c r="SI3" s="44"/>
      <c r="SJ3" s="44"/>
      <c r="SK3" s="44"/>
      <c r="SL3" s="44"/>
      <c r="SM3" s="44"/>
      <c r="SN3" s="44"/>
      <c r="SO3" s="44"/>
      <c r="SP3" s="44"/>
      <c r="SQ3" s="44"/>
      <c r="SR3" s="44"/>
      <c r="SS3" s="44"/>
      <c r="ST3" s="44"/>
      <c r="SU3" s="44"/>
      <c r="SV3" s="44"/>
      <c r="SW3" s="44"/>
      <c r="SX3" s="44"/>
      <c r="SY3" s="44"/>
      <c r="SZ3" s="44"/>
      <c r="TA3" s="44"/>
      <c r="TB3" s="44"/>
      <c r="TC3" s="44"/>
      <c r="TD3" s="44"/>
      <c r="TE3" s="44"/>
      <c r="TF3" s="44"/>
      <c r="TG3" s="44"/>
      <c r="TH3" s="44"/>
      <c r="TI3" s="44"/>
      <c r="TJ3" s="44"/>
      <c r="TK3" s="44"/>
      <c r="TL3" s="44"/>
      <c r="TM3" s="44"/>
      <c r="TN3" s="44"/>
      <c r="TO3" s="44"/>
      <c r="TP3" s="44"/>
      <c r="TQ3" s="44"/>
      <c r="TR3" s="44"/>
      <c r="TS3" s="44"/>
      <c r="TT3" s="44"/>
      <c r="TU3" s="44"/>
      <c r="TV3" s="44"/>
      <c r="TW3" s="44"/>
      <c r="TX3" s="44"/>
      <c r="TY3" s="44"/>
      <c r="TZ3" s="44"/>
      <c r="UA3" s="44"/>
      <c r="UB3" s="44"/>
      <c r="UC3" s="44"/>
      <c r="UD3" s="44"/>
      <c r="UE3" s="44"/>
      <c r="UF3" s="44"/>
      <c r="UG3" s="44"/>
      <c r="UH3" s="44"/>
      <c r="UI3" s="44"/>
      <c r="UJ3" s="44"/>
      <c r="UK3" s="44"/>
      <c r="UL3" s="44"/>
      <c r="UM3" s="44"/>
      <c r="UN3" s="44"/>
      <c r="UO3" s="44"/>
      <c r="UP3" s="44"/>
      <c r="UQ3" s="44"/>
      <c r="UR3" s="44"/>
      <c r="US3" s="44"/>
      <c r="UT3" s="44"/>
      <c r="UU3" s="44"/>
      <c r="UV3" s="44"/>
      <c r="UW3" s="44"/>
      <c r="UX3" s="44"/>
      <c r="UY3" s="44"/>
      <c r="UZ3" s="44"/>
      <c r="VA3" s="44"/>
      <c r="VB3" s="44"/>
      <c r="VC3" s="44"/>
      <c r="VD3" s="44"/>
      <c r="VE3" s="44"/>
      <c r="VF3" s="44"/>
      <c r="VG3" s="44"/>
      <c r="VH3" s="44"/>
      <c r="VI3" s="44"/>
      <c r="VJ3" s="44"/>
      <c r="VK3" s="44"/>
      <c r="VL3" s="44"/>
      <c r="VM3" s="44"/>
      <c r="VN3" s="44"/>
      <c r="VO3" s="44"/>
      <c r="VP3" s="44"/>
      <c r="VQ3" s="44"/>
      <c r="VR3" s="44"/>
      <c r="VS3" s="44"/>
      <c r="VT3" s="44"/>
      <c r="VU3" s="44"/>
      <c r="VV3" s="44"/>
      <c r="VW3" s="44"/>
      <c r="VX3" s="44"/>
      <c r="VY3" s="44"/>
      <c r="VZ3" s="44"/>
      <c r="WA3" s="44"/>
      <c r="WB3" s="44"/>
      <c r="WC3" s="44"/>
      <c r="WD3" s="44"/>
      <c r="WE3" s="44"/>
      <c r="WF3" s="44"/>
      <c r="WG3" s="44"/>
      <c r="WH3" s="44"/>
      <c r="WI3" s="44"/>
      <c r="WJ3" s="44"/>
      <c r="WK3" s="44"/>
      <c r="WL3" s="44"/>
      <c r="WM3" s="44"/>
      <c r="WN3" s="44"/>
      <c r="WO3" s="44"/>
      <c r="WP3" s="44"/>
      <c r="WQ3" s="44"/>
      <c r="WR3" s="44"/>
      <c r="WS3" s="44"/>
      <c r="WT3" s="44"/>
      <c r="WU3" s="44"/>
      <c r="WV3" s="44"/>
      <c r="WW3" s="44"/>
      <c r="WX3" s="44"/>
      <c r="WY3" s="44"/>
      <c r="WZ3" s="44"/>
      <c r="XA3" s="44"/>
      <c r="XB3" s="44"/>
      <c r="XC3" s="44"/>
      <c r="XD3" s="44"/>
      <c r="XE3" s="44"/>
      <c r="XF3" s="44"/>
      <c r="XG3" s="44"/>
      <c r="XH3" s="44"/>
      <c r="XI3" s="44"/>
      <c r="XJ3" s="44"/>
      <c r="XK3" s="44"/>
      <c r="XL3" s="44"/>
      <c r="XM3" s="44"/>
      <c r="XN3" s="44"/>
      <c r="XO3" s="44"/>
      <c r="XP3" s="44"/>
      <c r="XQ3" s="44"/>
      <c r="XR3" s="44"/>
      <c r="XS3" s="44"/>
      <c r="XT3" s="44"/>
      <c r="XU3" s="44"/>
      <c r="XV3" s="44"/>
      <c r="XW3" s="44"/>
      <c r="XX3" s="44"/>
      <c r="XY3" s="44"/>
      <c r="XZ3" s="44"/>
      <c r="YA3" s="44"/>
      <c r="YB3" s="44"/>
      <c r="YC3" s="44"/>
      <c r="YD3" s="44"/>
      <c r="YE3" s="44"/>
      <c r="YF3" s="44"/>
      <c r="YG3" s="44"/>
      <c r="YH3" s="44"/>
      <c r="YI3" s="44"/>
      <c r="YJ3" s="44"/>
      <c r="YK3" s="44"/>
      <c r="YL3" s="44"/>
      <c r="YM3" s="44"/>
      <c r="YN3" s="44"/>
      <c r="YO3" s="44"/>
      <c r="YP3" s="44"/>
      <c r="YQ3" s="44"/>
      <c r="YR3" s="44"/>
      <c r="YS3" s="44"/>
      <c r="YT3" s="44"/>
      <c r="YU3" s="44"/>
      <c r="YV3" s="44"/>
      <c r="YW3" s="44"/>
      <c r="YX3" s="44"/>
      <c r="YY3" s="44"/>
      <c r="YZ3" s="44"/>
      <c r="ZA3" s="44"/>
      <c r="ZB3" s="44"/>
      <c r="ZC3" s="44"/>
      <c r="ZD3" s="44"/>
      <c r="ZE3" s="44"/>
      <c r="ZF3" s="44"/>
      <c r="ZG3" s="44"/>
      <c r="ZH3" s="44"/>
      <c r="ZI3" s="44"/>
      <c r="ZJ3" s="44"/>
      <c r="ZK3" s="44"/>
      <c r="ZL3" s="44"/>
      <c r="ZM3" s="44"/>
      <c r="ZN3" s="44"/>
      <c r="ZO3" s="44"/>
      <c r="ZP3" s="44"/>
      <c r="ZQ3" s="44"/>
      <c r="ZR3" s="44"/>
      <c r="ZS3" s="44"/>
      <c r="ZT3" s="44"/>
      <c r="ZU3" s="44"/>
      <c r="ZV3" s="44"/>
      <c r="ZW3" s="44"/>
      <c r="ZX3" s="44"/>
      <c r="ZY3" s="44"/>
      <c r="ZZ3" s="44"/>
      <c r="AAA3" s="44"/>
      <c r="AAB3" s="44"/>
      <c r="AAC3" s="44"/>
      <c r="AAD3" s="44"/>
      <c r="AAE3" s="44"/>
      <c r="AAF3" s="44"/>
      <c r="AAG3" s="44"/>
      <c r="AAH3" s="44"/>
      <c r="AAI3" s="44"/>
      <c r="AAJ3" s="44"/>
      <c r="AAK3" s="44"/>
      <c r="AAL3" s="44"/>
      <c r="AAM3" s="44"/>
      <c r="AAN3" s="44"/>
      <c r="AAO3" s="44"/>
      <c r="AAP3" s="44"/>
      <c r="AAQ3" s="44"/>
      <c r="AAR3" s="44"/>
      <c r="AAS3" s="44"/>
      <c r="AAT3" s="44"/>
      <c r="AAU3" s="44"/>
      <c r="AAV3" s="44"/>
      <c r="AAW3" s="44"/>
      <c r="AAX3" s="44"/>
      <c r="AAY3" s="44"/>
      <c r="AAZ3" s="44"/>
      <c r="ABA3" s="44"/>
      <c r="ABB3" s="44"/>
      <c r="ABC3" s="44"/>
      <c r="ABD3" s="44"/>
      <c r="ABE3" s="44"/>
      <c r="ABF3" s="44"/>
      <c r="ABG3" s="44"/>
      <c r="ABH3" s="44"/>
      <c r="ABI3" s="44"/>
      <c r="ABJ3" s="44"/>
      <c r="ABK3" s="44"/>
      <c r="ABL3" s="44"/>
      <c r="ABM3" s="44"/>
      <c r="ABN3" s="44"/>
      <c r="ABO3" s="44"/>
      <c r="ABP3" s="44"/>
      <c r="ABQ3" s="44"/>
      <c r="ABR3" s="44"/>
      <c r="ABS3" s="44"/>
      <c r="ABT3" s="44"/>
      <c r="ABU3" s="44"/>
      <c r="ABV3" s="44"/>
      <c r="ABW3" s="44"/>
      <c r="ABX3" s="44"/>
      <c r="ABY3" s="44"/>
      <c r="ABZ3" s="44"/>
      <c r="ACA3" s="44"/>
      <c r="ACB3" s="44"/>
      <c r="ACC3" s="44"/>
      <c r="ACD3" s="44"/>
      <c r="ACE3" s="44"/>
      <c r="ACF3" s="44"/>
      <c r="ACG3" s="44"/>
      <c r="ACH3" s="44"/>
      <c r="ACI3" s="44"/>
      <c r="ACJ3" s="44"/>
      <c r="ACK3" s="44"/>
      <c r="ACL3" s="44"/>
      <c r="ACM3" s="44"/>
      <c r="ACN3" s="44"/>
      <c r="ACO3" s="44"/>
      <c r="ACP3" s="44"/>
      <c r="ACQ3" s="44"/>
      <c r="ACR3" s="44"/>
      <c r="ACS3" s="44"/>
      <c r="ACT3" s="44"/>
      <c r="ACU3" s="44"/>
      <c r="ACV3" s="44"/>
      <c r="ACW3" s="44"/>
      <c r="ACX3" s="44"/>
      <c r="ACY3" s="44"/>
      <c r="ACZ3" s="44"/>
      <c r="ADA3" s="44"/>
      <c r="ADB3" s="44"/>
      <c r="ADC3" s="44"/>
      <c r="ADD3" s="44"/>
      <c r="ADE3" s="44"/>
      <c r="ADF3" s="44"/>
      <c r="ADG3" s="44"/>
      <c r="ADH3" s="44"/>
      <c r="ADI3" s="44"/>
      <c r="ADJ3" s="44"/>
      <c r="ADK3" s="44"/>
      <c r="ADL3" s="44"/>
      <c r="ADM3" s="44"/>
      <c r="ADN3" s="44"/>
      <c r="ADO3" s="44"/>
      <c r="ADP3" s="44"/>
      <c r="ADQ3" s="44"/>
      <c r="ADR3" s="44"/>
      <c r="ADS3" s="44"/>
      <c r="ADT3" s="44"/>
      <c r="ADU3" s="44"/>
      <c r="ADV3" s="44"/>
      <c r="ADW3" s="44"/>
      <c r="ADX3" s="44"/>
      <c r="ADY3" s="44"/>
      <c r="ADZ3" s="44"/>
      <c r="AEA3" s="44"/>
      <c r="AEB3" s="44"/>
      <c r="AEC3" s="44"/>
      <c r="AED3" s="44"/>
      <c r="AEE3" s="44"/>
      <c r="AEF3" s="44"/>
      <c r="AEG3" s="44"/>
      <c r="AEH3" s="44"/>
      <c r="AEI3" s="44"/>
      <c r="AEJ3" s="44"/>
      <c r="AEK3" s="44"/>
      <c r="AEL3" s="44"/>
      <c r="AEM3" s="44"/>
      <c r="AEN3" s="44"/>
      <c r="AEO3" s="44"/>
      <c r="AEP3" s="44"/>
      <c r="AEQ3" s="44"/>
      <c r="AER3" s="44"/>
      <c r="AES3" s="44"/>
      <c r="AET3" s="44"/>
      <c r="AEU3" s="44"/>
      <c r="AEV3" s="44"/>
      <c r="AEW3" s="44"/>
      <c r="AEX3" s="44"/>
      <c r="AEY3" s="44"/>
      <c r="AEZ3" s="44"/>
      <c r="AFA3" s="44"/>
      <c r="AFB3" s="44"/>
      <c r="AFC3" s="44"/>
      <c r="AFD3" s="44"/>
      <c r="AFE3" s="44"/>
      <c r="AFF3" s="44"/>
      <c r="AFG3" s="44"/>
      <c r="AFH3" s="44"/>
      <c r="AFI3" s="44"/>
      <c r="AFJ3" s="44"/>
      <c r="AFK3" s="44"/>
      <c r="AFL3" s="44"/>
      <c r="AFM3" s="44"/>
      <c r="AFN3" s="44"/>
      <c r="AFO3" s="44"/>
      <c r="AFP3" s="44"/>
      <c r="AFQ3" s="44"/>
      <c r="AFR3" s="44"/>
      <c r="AFS3" s="44"/>
      <c r="AFT3" s="44"/>
      <c r="AFU3" s="44"/>
      <c r="AFV3" s="44"/>
      <c r="AFW3" s="44"/>
      <c r="AFX3" s="44"/>
      <c r="AFY3" s="44"/>
      <c r="AFZ3" s="44"/>
      <c r="AGA3" s="44"/>
      <c r="AGB3" s="44"/>
      <c r="AGC3" s="44"/>
      <c r="AGD3" s="44"/>
      <c r="AGE3" s="44"/>
      <c r="AGF3" s="44"/>
      <c r="AGG3" s="44"/>
      <c r="AGH3" s="44"/>
      <c r="AGI3" s="44"/>
      <c r="AGJ3" s="44"/>
      <c r="AGK3" s="44"/>
      <c r="AGL3" s="44"/>
      <c r="AGM3" s="44"/>
      <c r="AGN3" s="44"/>
      <c r="AGO3" s="44"/>
      <c r="AGP3" s="44"/>
      <c r="AGQ3" s="44"/>
      <c r="AGR3" s="44"/>
      <c r="AGS3" s="44"/>
      <c r="AGT3" s="44"/>
      <c r="AGU3" s="44"/>
      <c r="AGV3" s="44"/>
      <c r="AGW3" s="44"/>
      <c r="AGX3" s="44"/>
      <c r="AGY3" s="44"/>
      <c r="AGZ3" s="44"/>
      <c r="AHA3" s="44"/>
      <c r="AHB3" s="44"/>
      <c r="AHC3" s="44"/>
      <c r="AHD3" s="44"/>
      <c r="AHE3" s="44"/>
      <c r="AHF3" s="44"/>
      <c r="AHG3" s="44"/>
      <c r="AHH3" s="44"/>
      <c r="AHI3" s="44"/>
      <c r="AHJ3" s="44"/>
      <c r="AHK3" s="44"/>
      <c r="AHL3" s="44"/>
      <c r="AHM3" s="44"/>
      <c r="AHN3" s="44"/>
      <c r="AHO3" s="44"/>
      <c r="AHP3" s="44"/>
      <c r="AHQ3" s="44"/>
      <c r="AHR3" s="44"/>
      <c r="AHS3" s="44"/>
      <c r="AHT3" s="44"/>
      <c r="AHU3" s="44"/>
      <c r="AHV3" s="44"/>
      <c r="AHW3" s="44"/>
      <c r="AHX3" s="44"/>
      <c r="AHY3" s="44"/>
      <c r="AHZ3" s="44"/>
      <c r="AIA3" s="44"/>
      <c r="AIB3" s="44"/>
      <c r="AIC3" s="44"/>
      <c r="AID3" s="44"/>
      <c r="AIE3" s="44"/>
      <c r="AIF3" s="44"/>
      <c r="AIG3" s="44"/>
      <c r="AIH3" s="44"/>
      <c r="AII3" s="44"/>
      <c r="AIJ3" s="44"/>
      <c r="AIK3" s="44"/>
      <c r="AIL3" s="44"/>
      <c r="AIM3" s="44"/>
      <c r="AIN3" s="44"/>
      <c r="AIO3" s="44"/>
      <c r="AIP3" s="44"/>
      <c r="AIQ3" s="44"/>
      <c r="AIR3" s="44"/>
      <c r="AIS3" s="44"/>
      <c r="AIT3" s="44"/>
      <c r="AIU3" s="44"/>
      <c r="AIV3" s="44"/>
      <c r="AIW3" s="44"/>
      <c r="AIX3" s="44"/>
      <c r="AIY3" s="44"/>
      <c r="AIZ3" s="44"/>
      <c r="AJA3" s="44"/>
      <c r="AJB3" s="44"/>
      <c r="AJC3" s="44"/>
      <c r="AJD3" s="44"/>
      <c r="AJE3" s="44"/>
      <c r="AJF3" s="44"/>
      <c r="AJG3" s="44"/>
      <c r="AJH3" s="44"/>
      <c r="AJI3" s="44"/>
      <c r="AJJ3" s="44"/>
      <c r="AJK3" s="44"/>
      <c r="AJL3" s="44"/>
      <c r="AJM3" s="44"/>
      <c r="AJN3" s="44"/>
      <c r="AJO3" s="44"/>
      <c r="AJP3" s="44"/>
      <c r="AJQ3" s="44"/>
      <c r="AJR3" s="44"/>
      <c r="AJS3" s="44"/>
      <c r="AJT3" s="44"/>
      <c r="AJU3" s="44"/>
      <c r="AJV3" s="44"/>
      <c r="AJW3" s="44"/>
      <c r="AJX3" s="44"/>
      <c r="AJY3" s="44"/>
      <c r="AJZ3" s="44"/>
      <c r="AKA3" s="44"/>
      <c r="AKB3" s="44"/>
      <c r="AKC3" s="44"/>
      <c r="AKD3" s="44"/>
      <c r="AKE3" s="44"/>
      <c r="AKF3" s="44"/>
      <c r="AKG3" s="44"/>
      <c r="AKH3" s="44"/>
      <c r="AKI3" s="44"/>
      <c r="AKJ3" s="44"/>
      <c r="AKK3" s="44"/>
      <c r="AKL3" s="44"/>
      <c r="AKM3" s="44"/>
      <c r="AKN3" s="44"/>
      <c r="AKO3" s="44"/>
      <c r="AKP3" s="44"/>
      <c r="AKQ3" s="44"/>
      <c r="AKR3" s="44"/>
      <c r="AKS3" s="44"/>
      <c r="AKT3" s="44"/>
      <c r="AKU3" s="44"/>
      <c r="AKV3" s="44"/>
      <c r="AKW3" s="44"/>
      <c r="AKX3" s="44"/>
      <c r="AKY3" s="44"/>
      <c r="AKZ3" s="44"/>
      <c r="ALA3" s="44"/>
      <c r="ALB3" s="44"/>
      <c r="ALC3" s="44"/>
      <c r="ALD3" s="44"/>
      <c r="ALE3" s="44"/>
      <c r="ALF3" s="44"/>
      <c r="ALG3" s="44"/>
      <c r="ALH3" s="44"/>
      <c r="ALI3" s="44"/>
      <c r="ALJ3" s="44"/>
      <c r="ALK3" s="44"/>
      <c r="ALL3" s="44"/>
      <c r="ALM3" s="44"/>
      <c r="ALN3" s="44"/>
      <c r="ALO3" s="44"/>
      <c r="ALP3" s="44"/>
      <c r="ALQ3" s="44"/>
      <c r="ALR3" s="44"/>
      <c r="ALS3" s="44"/>
      <c r="ALT3" s="44"/>
      <c r="ALU3" s="44"/>
      <c r="ALV3" s="44"/>
      <c r="ALW3" s="44"/>
      <c r="ALX3" s="44"/>
      <c r="ALY3" s="44"/>
      <c r="ALZ3" s="44"/>
      <c r="AMA3" s="44"/>
      <c r="AMB3" s="44"/>
      <c r="AMC3" s="44"/>
      <c r="AMD3" s="44"/>
      <c r="AME3" s="44"/>
      <c r="AMF3" s="44"/>
      <c r="AMG3" s="44"/>
      <c r="AMH3" s="44"/>
      <c r="AMI3" s="44"/>
      <c r="AMJ3" s="44"/>
      <c r="AMK3" s="44"/>
      <c r="AML3" s="44"/>
      <c r="AMM3" s="44"/>
      <c r="AMN3" s="44"/>
      <c r="AMO3" s="44"/>
      <c r="AMP3" s="44"/>
      <c r="AMQ3" s="44"/>
      <c r="AMR3" s="44"/>
      <c r="AMS3" s="44"/>
      <c r="AMT3" s="44"/>
      <c r="AMU3" s="44"/>
      <c r="AMV3" s="44"/>
      <c r="AMW3" s="44"/>
      <c r="AMX3" s="44"/>
      <c r="AMY3" s="44"/>
      <c r="AMZ3" s="44"/>
      <c r="ANA3" s="44"/>
      <c r="ANB3" s="44"/>
      <c r="ANC3" s="44"/>
      <c r="AND3" s="44"/>
      <c r="ANE3" s="44"/>
      <c r="ANF3" s="44"/>
      <c r="ANG3" s="44"/>
      <c r="ANH3" s="44"/>
      <c r="ANI3" s="44"/>
      <c r="ANJ3" s="44"/>
      <c r="ANK3" s="44"/>
      <c r="ANL3" s="44"/>
      <c r="ANM3" s="44"/>
      <c r="ANN3" s="44"/>
      <c r="ANO3" s="44"/>
      <c r="ANP3" s="44"/>
      <c r="ANQ3" s="44"/>
      <c r="ANR3" s="44"/>
      <c r="ANS3" s="44"/>
      <c r="ANT3" s="44"/>
      <c r="ANU3" s="44"/>
      <c r="ANV3" s="44"/>
      <c r="ANW3" s="44"/>
      <c r="ANX3" s="44"/>
      <c r="ANY3" s="44"/>
      <c r="ANZ3" s="44"/>
      <c r="AOA3" s="44"/>
      <c r="AOB3" s="44"/>
      <c r="AOC3" s="44"/>
      <c r="AOD3" s="44"/>
      <c r="AOE3" s="44"/>
      <c r="AOF3" s="44"/>
      <c r="AOG3" s="44"/>
      <c r="AOH3" s="44"/>
      <c r="AOI3" s="44"/>
      <c r="AOJ3" s="44"/>
      <c r="AOK3" s="44"/>
      <c r="AOL3" s="44"/>
      <c r="AOM3" s="44"/>
      <c r="AON3" s="44"/>
      <c r="AOO3" s="44"/>
      <c r="AOP3" s="44"/>
      <c r="AOQ3" s="44"/>
      <c r="AOR3" s="44"/>
      <c r="AOS3" s="44"/>
      <c r="AOT3" s="44"/>
      <c r="AOU3" s="44"/>
      <c r="AOV3" s="44"/>
      <c r="AOW3" s="44"/>
      <c r="AOX3" s="44"/>
      <c r="AOY3" s="44"/>
      <c r="AOZ3" s="44"/>
      <c r="APA3" s="44"/>
      <c r="APB3" s="44"/>
      <c r="APC3" s="44"/>
      <c r="APD3" s="44"/>
      <c r="APE3" s="44"/>
      <c r="APF3" s="44"/>
      <c r="APG3" s="44"/>
      <c r="APH3" s="44"/>
      <c r="API3" s="44"/>
      <c r="APJ3" s="44"/>
      <c r="APK3" s="44"/>
      <c r="APL3" s="44"/>
      <c r="APM3" s="44"/>
      <c r="APN3" s="44"/>
      <c r="APO3" s="44"/>
      <c r="APP3" s="44"/>
      <c r="APQ3" s="44"/>
      <c r="APR3" s="44"/>
      <c r="APS3" s="44"/>
      <c r="APT3" s="44"/>
      <c r="APU3" s="44"/>
      <c r="APV3" s="44"/>
      <c r="APW3" s="44"/>
      <c r="APX3" s="44"/>
      <c r="APY3" s="44"/>
      <c r="APZ3" s="44"/>
      <c r="AQA3" s="44"/>
      <c r="AQB3" s="44"/>
      <c r="AQC3" s="44"/>
      <c r="AQD3" s="44"/>
      <c r="AQE3" s="44"/>
      <c r="AQF3" s="44"/>
      <c r="AQG3" s="44"/>
      <c r="AQH3" s="44"/>
      <c r="AQI3" s="44"/>
      <c r="AQJ3" s="44"/>
      <c r="AQK3" s="44"/>
      <c r="AQL3" s="44"/>
      <c r="AQM3" s="44"/>
      <c r="AQN3" s="44"/>
      <c r="AQO3" s="44"/>
      <c r="AQP3" s="44"/>
      <c r="AQQ3" s="44"/>
      <c r="AQR3" s="44"/>
      <c r="AQS3" s="44"/>
      <c r="AQT3" s="44"/>
      <c r="AQU3" s="44"/>
      <c r="AQV3" s="44"/>
      <c r="AQW3" s="44"/>
      <c r="AQX3" s="44"/>
      <c r="AQY3" s="44"/>
      <c r="AQZ3" s="44"/>
      <c r="ARA3" s="44"/>
      <c r="ARB3" s="44"/>
      <c r="ARC3" s="44"/>
      <c r="ARD3" s="44"/>
      <c r="ARE3" s="44"/>
      <c r="ARF3" s="44"/>
      <c r="ARG3" s="44"/>
      <c r="ARH3" s="44"/>
      <c r="ARI3" s="44"/>
      <c r="ARJ3" s="44"/>
      <c r="ARK3" s="44"/>
      <c r="ARL3" s="44"/>
      <c r="ARM3" s="44"/>
      <c r="ARN3" s="44"/>
      <c r="ARO3" s="44"/>
      <c r="ARP3" s="44"/>
      <c r="ARQ3" s="44"/>
      <c r="ARR3" s="44"/>
      <c r="ARS3" s="44"/>
      <c r="ART3" s="44"/>
      <c r="ARU3" s="44"/>
      <c r="ARV3" s="44"/>
      <c r="ARW3" s="44"/>
      <c r="ARX3" s="44"/>
      <c r="ARY3" s="44"/>
      <c r="ARZ3" s="44"/>
      <c r="ASA3" s="44"/>
      <c r="ASB3" s="44"/>
      <c r="ASC3" s="44"/>
      <c r="ASD3" s="44"/>
      <c r="ASE3" s="44"/>
      <c r="ASF3" s="44"/>
      <c r="ASG3" s="44"/>
      <c r="ASH3" s="44"/>
      <c r="ASI3" s="44"/>
      <c r="ASJ3" s="44"/>
      <c r="ASK3" s="44"/>
      <c r="ASL3" s="44"/>
      <c r="ASM3" s="44"/>
      <c r="ASN3" s="44"/>
      <c r="ASO3" s="44"/>
      <c r="ASP3" s="44"/>
      <c r="ASQ3" s="44"/>
      <c r="ASR3" s="44"/>
      <c r="ASS3" s="44"/>
      <c r="AST3" s="44"/>
      <c r="ASU3" s="44"/>
      <c r="ASV3" s="44"/>
      <c r="ASW3" s="44"/>
      <c r="ASX3" s="44"/>
      <c r="ASY3" s="44"/>
      <c r="ASZ3" s="44"/>
      <c r="ATA3" s="44"/>
      <c r="ATB3" s="44"/>
      <c r="ATC3" s="44"/>
      <c r="ATD3" s="44"/>
      <c r="ATE3" s="44"/>
      <c r="ATF3" s="44"/>
      <c r="ATG3" s="44"/>
      <c r="ATH3" s="44"/>
      <c r="ATI3" s="44"/>
      <c r="ATJ3" s="44"/>
      <c r="ATK3" s="44"/>
      <c r="ATL3" s="44"/>
      <c r="ATM3" s="44"/>
      <c r="ATN3" s="44"/>
      <c r="ATO3" s="44"/>
      <c r="ATP3" s="44"/>
      <c r="ATQ3" s="44"/>
      <c r="ATR3" s="44"/>
      <c r="ATS3" s="44"/>
      <c r="ATT3" s="44"/>
      <c r="ATU3" s="44"/>
      <c r="ATV3" s="44"/>
      <c r="ATW3" s="44"/>
      <c r="ATX3" s="44"/>
      <c r="ATY3" s="44"/>
      <c r="ATZ3" s="44"/>
      <c r="AUA3" s="44"/>
      <c r="AUB3" s="44"/>
      <c r="AUC3" s="44"/>
      <c r="AUD3" s="44"/>
      <c r="AUE3" s="44"/>
      <c r="AUF3" s="44"/>
      <c r="AUG3" s="44"/>
      <c r="AUH3" s="44"/>
      <c r="AUI3" s="44"/>
      <c r="AUJ3" s="44"/>
      <c r="AUK3" s="44"/>
      <c r="AUL3" s="44"/>
      <c r="AUM3" s="44"/>
      <c r="AUN3" s="44"/>
      <c r="AUO3" s="44"/>
      <c r="AUP3" s="44"/>
      <c r="AUQ3" s="44"/>
      <c r="AUR3" s="44"/>
      <c r="AUS3" s="44"/>
      <c r="AUT3" s="44"/>
      <c r="AUU3" s="44"/>
      <c r="AUV3" s="44"/>
      <c r="AUW3" s="44"/>
      <c r="AUX3" s="44"/>
      <c r="AUY3" s="44"/>
      <c r="AUZ3" s="44"/>
      <c r="AVA3" s="44"/>
      <c r="AVB3" s="44"/>
      <c r="AVC3" s="44"/>
      <c r="AVD3" s="44"/>
      <c r="AVE3" s="44"/>
      <c r="AVF3" s="44"/>
      <c r="AVG3" s="44"/>
      <c r="AVH3" s="44"/>
      <c r="AVI3" s="44"/>
      <c r="AVJ3" s="44"/>
      <c r="AVK3" s="44"/>
      <c r="AVL3" s="44"/>
      <c r="AVM3" s="44"/>
      <c r="AVN3" s="44"/>
      <c r="AVO3" s="44"/>
      <c r="AVP3" s="44"/>
      <c r="AVQ3" s="44"/>
      <c r="AVR3" s="44"/>
      <c r="AVS3" s="44"/>
      <c r="AVT3" s="44"/>
      <c r="AVU3" s="44"/>
      <c r="AVV3" s="44"/>
      <c r="AVW3" s="44"/>
      <c r="AVX3" s="44"/>
      <c r="AVY3" s="44"/>
      <c r="AVZ3" s="44"/>
      <c r="AWA3" s="44"/>
      <c r="AWB3" s="44"/>
      <c r="AWC3" s="44"/>
      <c r="AWD3" s="44"/>
      <c r="AWE3" s="44"/>
      <c r="AWF3" s="44"/>
      <c r="AWG3" s="44"/>
      <c r="AWH3" s="44"/>
      <c r="AWI3" s="44"/>
      <c r="AWJ3" s="44"/>
      <c r="AWK3" s="44"/>
      <c r="AWL3" s="44"/>
      <c r="AWM3" s="44"/>
      <c r="AWN3" s="44"/>
      <c r="AWO3" s="44"/>
      <c r="AWP3" s="44"/>
      <c r="AWQ3" s="44"/>
      <c r="AWR3" s="44"/>
      <c r="AWS3" s="44"/>
      <c r="AWT3" s="44"/>
      <c r="AWU3" s="44"/>
      <c r="AWV3" s="44"/>
      <c r="AWW3" s="44"/>
      <c r="AWX3" s="44"/>
      <c r="AWY3" s="44"/>
      <c r="AWZ3" s="44"/>
      <c r="AXA3" s="44"/>
      <c r="AXB3" s="44"/>
      <c r="AXC3" s="44"/>
      <c r="AXD3" s="44"/>
      <c r="AXE3" s="44"/>
      <c r="AXF3" s="44"/>
      <c r="AXG3" s="44"/>
      <c r="AXH3" s="44"/>
      <c r="AXI3" s="44"/>
      <c r="AXJ3" s="44"/>
      <c r="AXK3" s="44"/>
      <c r="AXL3" s="44"/>
      <c r="AXM3" s="44"/>
      <c r="AXN3" s="44"/>
      <c r="AXO3" s="44"/>
      <c r="AXP3" s="44"/>
      <c r="AXQ3" s="44"/>
      <c r="AXR3" s="44"/>
      <c r="AXS3" s="44"/>
      <c r="AXT3" s="44"/>
      <c r="AXU3" s="44"/>
      <c r="AXV3" s="44"/>
      <c r="AXW3" s="44"/>
      <c r="AXX3" s="44"/>
      <c r="AXY3" s="44"/>
      <c r="AXZ3" s="44"/>
      <c r="AYA3" s="44"/>
      <c r="AYB3" s="44"/>
      <c r="AYC3" s="44"/>
      <c r="AYD3" s="44"/>
      <c r="AYE3" s="44"/>
      <c r="AYF3" s="44"/>
      <c r="AYG3" s="44"/>
      <c r="AYH3" s="44"/>
      <c r="AYI3" s="44"/>
      <c r="AYJ3" s="44"/>
      <c r="AYK3" s="44"/>
      <c r="AYL3" s="44"/>
      <c r="AYM3" s="44"/>
      <c r="AYN3" s="44"/>
      <c r="AYO3" s="44"/>
      <c r="AYP3" s="44"/>
      <c r="AYQ3" s="44"/>
      <c r="AYR3" s="44"/>
      <c r="AYS3" s="44"/>
      <c r="AYT3" s="44"/>
      <c r="AYU3" s="44"/>
      <c r="AYV3" s="44"/>
      <c r="AYW3" s="44"/>
      <c r="AYX3" s="44"/>
      <c r="AYY3" s="44"/>
      <c r="AYZ3" s="44"/>
      <c r="AZA3" s="44"/>
      <c r="AZB3" s="44"/>
      <c r="AZC3" s="44"/>
      <c r="AZD3" s="44"/>
      <c r="AZE3" s="44"/>
      <c r="AZF3" s="44"/>
      <c r="AZG3" s="44"/>
      <c r="AZH3" s="44"/>
      <c r="AZI3" s="44"/>
      <c r="AZJ3" s="44"/>
      <c r="AZK3" s="44"/>
      <c r="AZL3" s="44"/>
      <c r="AZM3" s="44"/>
      <c r="AZN3" s="44"/>
      <c r="AZO3" s="44"/>
      <c r="AZP3" s="44"/>
      <c r="AZQ3" s="44"/>
      <c r="AZR3" s="44"/>
      <c r="AZS3" s="44"/>
      <c r="AZT3" s="44"/>
      <c r="AZU3" s="44"/>
      <c r="AZV3" s="44"/>
      <c r="AZW3" s="44"/>
      <c r="AZX3" s="44"/>
      <c r="AZY3" s="44"/>
      <c r="AZZ3" s="44"/>
      <c r="BAA3" s="44"/>
      <c r="BAB3" s="44"/>
      <c r="BAC3" s="44"/>
      <c r="BAD3" s="44"/>
      <c r="BAE3" s="44"/>
      <c r="BAF3" s="44"/>
      <c r="BAG3" s="44"/>
      <c r="BAH3" s="44"/>
      <c r="BAI3" s="44"/>
      <c r="BAJ3" s="44"/>
      <c r="BAK3" s="44"/>
      <c r="BAL3" s="44"/>
      <c r="BAM3" s="44"/>
      <c r="BAN3" s="44"/>
      <c r="BAO3" s="44"/>
      <c r="BAP3" s="44"/>
      <c r="BAQ3" s="44"/>
      <c r="BAR3" s="44"/>
      <c r="BAS3" s="44"/>
      <c r="BAT3" s="44"/>
      <c r="BAU3" s="44"/>
      <c r="BAV3" s="44"/>
      <c r="BAW3" s="44"/>
      <c r="BAX3" s="44"/>
      <c r="BAY3" s="44"/>
      <c r="BAZ3" s="44"/>
      <c r="BBA3" s="44"/>
      <c r="BBB3" s="44"/>
      <c r="BBC3" s="44"/>
      <c r="BBD3" s="44"/>
      <c r="BBE3" s="44"/>
      <c r="BBF3" s="44"/>
      <c r="BBG3" s="44"/>
      <c r="BBH3" s="44"/>
      <c r="BBI3" s="44"/>
      <c r="BBJ3" s="44"/>
      <c r="BBK3" s="44"/>
      <c r="BBL3" s="44"/>
      <c r="BBM3" s="44"/>
      <c r="BBN3" s="44"/>
      <c r="BBO3" s="44"/>
      <c r="BBP3" s="44"/>
      <c r="BBQ3" s="44"/>
      <c r="BBR3" s="44"/>
      <c r="BBS3" s="44"/>
      <c r="BBT3" s="44"/>
      <c r="BBU3" s="44"/>
      <c r="BBV3" s="44"/>
      <c r="BBW3" s="44"/>
      <c r="BBX3" s="44"/>
      <c r="BBY3" s="44"/>
      <c r="BBZ3" s="44"/>
      <c r="BCA3" s="44"/>
      <c r="BCB3" s="44"/>
      <c r="BCC3" s="44"/>
      <c r="BCD3" s="44"/>
      <c r="BCE3" s="44"/>
      <c r="BCF3" s="44"/>
      <c r="BCG3" s="44"/>
      <c r="BCH3" s="44"/>
      <c r="BCI3" s="44"/>
      <c r="BCJ3" s="44"/>
      <c r="BCK3" s="44"/>
      <c r="BCL3" s="44"/>
      <c r="BCM3" s="44"/>
      <c r="BCN3" s="44"/>
      <c r="BCO3" s="44"/>
      <c r="BCP3" s="44"/>
      <c r="BCQ3" s="44"/>
      <c r="BCR3" s="44"/>
      <c r="BCS3" s="44"/>
      <c r="BCT3" s="44"/>
      <c r="BCU3" s="44"/>
      <c r="BCV3" s="44"/>
      <c r="BCW3" s="44"/>
      <c r="BCX3" s="44"/>
      <c r="BCY3" s="44"/>
      <c r="BCZ3" s="44"/>
      <c r="BDA3" s="44"/>
      <c r="BDB3" s="44"/>
      <c r="BDC3" s="44"/>
      <c r="BDD3" s="44"/>
      <c r="BDE3" s="44"/>
      <c r="BDF3" s="44"/>
      <c r="BDG3" s="44"/>
      <c r="BDH3" s="44"/>
      <c r="BDI3" s="44"/>
      <c r="BDJ3" s="44"/>
      <c r="BDK3" s="44"/>
      <c r="BDL3" s="44"/>
      <c r="BDM3" s="44"/>
      <c r="BDN3" s="44"/>
      <c r="BDO3" s="44"/>
      <c r="BDP3" s="44"/>
      <c r="BDQ3" s="44"/>
      <c r="BDR3" s="44"/>
      <c r="BDS3" s="44"/>
      <c r="BDT3" s="44"/>
      <c r="BDU3" s="44"/>
      <c r="BDV3" s="44"/>
      <c r="BDW3" s="44"/>
      <c r="BDX3" s="44"/>
      <c r="BDY3" s="44"/>
      <c r="BDZ3" s="44"/>
      <c r="BEA3" s="44"/>
      <c r="BEB3" s="44"/>
      <c r="BEC3" s="44"/>
      <c r="BED3" s="44"/>
      <c r="BEE3" s="44"/>
      <c r="BEF3" s="44"/>
      <c r="BEG3" s="44"/>
      <c r="BEH3" s="44"/>
      <c r="BEI3" s="44"/>
      <c r="BEJ3" s="44"/>
      <c r="BEK3" s="44"/>
      <c r="BEL3" s="44"/>
      <c r="BEM3" s="44"/>
      <c r="BEN3" s="44"/>
      <c r="BEO3" s="44"/>
      <c r="BEP3" s="44"/>
      <c r="BEQ3" s="44"/>
      <c r="BER3" s="44"/>
      <c r="BES3" s="44"/>
      <c r="BET3" s="44"/>
      <c r="BEU3" s="44"/>
      <c r="BEV3" s="44"/>
      <c r="BEW3" s="44"/>
      <c r="BEX3" s="44"/>
      <c r="BEY3" s="44"/>
      <c r="BEZ3" s="44"/>
      <c r="BFA3" s="44"/>
      <c r="BFB3" s="44"/>
      <c r="BFC3" s="44"/>
      <c r="BFD3" s="44"/>
      <c r="BFE3" s="44"/>
      <c r="BFF3" s="44"/>
      <c r="BFG3" s="44"/>
      <c r="BFH3" s="44"/>
      <c r="BFI3" s="44"/>
      <c r="BFJ3" s="44"/>
      <c r="BFK3" s="44"/>
      <c r="BFL3" s="44"/>
      <c r="BFM3" s="44"/>
      <c r="BFN3" s="44"/>
      <c r="BFO3" s="44"/>
      <c r="BFP3" s="44"/>
      <c r="BFQ3" s="44"/>
      <c r="BFR3" s="44"/>
      <c r="BFS3" s="44"/>
      <c r="BFT3" s="44"/>
      <c r="BFU3" s="44"/>
      <c r="BFV3" s="44"/>
      <c r="BFW3" s="44"/>
      <c r="BFX3" s="44"/>
      <c r="BFY3" s="44"/>
      <c r="BFZ3" s="44"/>
      <c r="BGA3" s="44"/>
      <c r="BGB3" s="44"/>
      <c r="BGC3" s="44"/>
      <c r="BGD3" s="44"/>
      <c r="BGE3" s="44"/>
      <c r="BGF3" s="44"/>
      <c r="BGG3" s="44"/>
      <c r="BGH3" s="44"/>
      <c r="BGI3" s="44"/>
      <c r="BGJ3" s="44"/>
      <c r="BGK3" s="44"/>
      <c r="BGL3" s="44"/>
      <c r="BGM3" s="44"/>
      <c r="BGN3" s="44"/>
      <c r="BGO3" s="44"/>
      <c r="BGP3" s="44"/>
      <c r="BGQ3" s="44"/>
      <c r="BGR3" s="44"/>
      <c r="BGS3" s="44"/>
      <c r="BGT3" s="44"/>
      <c r="BGU3" s="44"/>
      <c r="BGV3" s="44"/>
      <c r="BGW3" s="44"/>
      <c r="BGX3" s="44"/>
      <c r="BGY3" s="44"/>
      <c r="BGZ3" s="44"/>
      <c r="BHA3" s="44"/>
      <c r="BHB3" s="44"/>
      <c r="BHC3" s="44"/>
      <c r="BHD3" s="44"/>
      <c r="BHE3" s="44"/>
      <c r="BHF3" s="44"/>
      <c r="BHG3" s="44"/>
      <c r="BHH3" s="44"/>
      <c r="BHI3" s="44"/>
      <c r="BHJ3" s="44"/>
      <c r="BHK3" s="44"/>
      <c r="BHL3" s="44"/>
      <c r="BHM3" s="44"/>
      <c r="BHN3" s="44"/>
      <c r="BHO3" s="44"/>
      <c r="BHP3" s="44"/>
      <c r="BHQ3" s="44"/>
      <c r="BHR3" s="44"/>
      <c r="BHS3" s="44"/>
      <c r="BHT3" s="44"/>
      <c r="BHU3" s="44"/>
      <c r="BHV3" s="44"/>
      <c r="BHW3" s="44"/>
      <c r="BHX3" s="44"/>
      <c r="BHY3" s="44"/>
      <c r="BHZ3" s="44"/>
      <c r="BIA3" s="44"/>
      <c r="BIB3" s="44"/>
      <c r="BIC3" s="44"/>
      <c r="BID3" s="44"/>
      <c r="BIE3" s="44"/>
      <c r="BIF3" s="44"/>
      <c r="BIG3" s="44"/>
      <c r="BIH3" s="44"/>
      <c r="BII3" s="44"/>
      <c r="BIJ3" s="44"/>
      <c r="BIK3" s="44"/>
      <c r="BIL3" s="44"/>
      <c r="BIM3" s="44"/>
      <c r="BIN3" s="44"/>
      <c r="BIO3" s="44"/>
      <c r="BIP3" s="44"/>
      <c r="BIQ3" s="44"/>
      <c r="BIR3" s="44"/>
      <c r="BIS3" s="44"/>
      <c r="BIT3" s="44"/>
      <c r="BIU3" s="44"/>
      <c r="BIV3" s="44"/>
      <c r="BIW3" s="44"/>
      <c r="BIX3" s="44"/>
      <c r="BIY3" s="44"/>
      <c r="BIZ3" s="44"/>
      <c r="BJA3" s="44"/>
      <c r="BJB3" s="44"/>
      <c r="BJC3" s="44"/>
      <c r="BJD3" s="44"/>
      <c r="BJE3" s="44"/>
      <c r="BJF3" s="44"/>
      <c r="BJG3" s="44"/>
      <c r="BJH3" s="44"/>
      <c r="BJI3" s="44"/>
      <c r="BJJ3" s="44"/>
      <c r="BJK3" s="44"/>
      <c r="BJL3" s="44"/>
      <c r="BJM3" s="44"/>
      <c r="BJN3" s="44"/>
      <c r="BJO3" s="44"/>
      <c r="BJP3" s="44"/>
      <c r="BJQ3" s="44"/>
      <c r="BJR3" s="44"/>
      <c r="BJS3" s="44"/>
      <c r="BJT3" s="44"/>
      <c r="BJU3" s="44"/>
      <c r="BJV3" s="44"/>
      <c r="BJW3" s="44"/>
      <c r="BJX3" s="44"/>
      <c r="BJY3" s="44"/>
      <c r="BJZ3" s="44"/>
      <c r="BKA3" s="44"/>
      <c r="BKB3" s="44"/>
      <c r="BKC3" s="44"/>
      <c r="BKD3" s="44"/>
      <c r="BKE3" s="44"/>
      <c r="BKF3" s="44"/>
      <c r="BKG3" s="44"/>
      <c r="BKH3" s="44"/>
      <c r="BKI3" s="44"/>
      <c r="BKJ3" s="44"/>
      <c r="BKK3" s="44"/>
      <c r="BKL3" s="44"/>
      <c r="BKM3" s="44"/>
      <c r="BKN3" s="44"/>
      <c r="BKO3" s="44"/>
      <c r="BKP3" s="44"/>
      <c r="BKQ3" s="44"/>
      <c r="BKR3" s="44"/>
      <c r="BKS3" s="44"/>
      <c r="BKT3" s="44"/>
      <c r="BKU3" s="44"/>
      <c r="BKV3" s="44"/>
      <c r="BKW3" s="44"/>
      <c r="BKX3" s="44"/>
      <c r="BKY3" s="44"/>
      <c r="BKZ3" s="44"/>
      <c r="BLA3" s="44"/>
      <c r="BLB3" s="44"/>
      <c r="BLC3" s="44"/>
      <c r="BLD3" s="44"/>
      <c r="BLE3" s="44"/>
      <c r="BLF3" s="44"/>
      <c r="BLG3" s="44"/>
      <c r="BLH3" s="44"/>
      <c r="BLI3" s="44"/>
      <c r="BLJ3" s="44"/>
      <c r="BLK3" s="44"/>
      <c r="BLL3" s="44"/>
      <c r="BLM3" s="44"/>
      <c r="BLN3" s="44"/>
      <c r="BLO3" s="44"/>
      <c r="BLP3" s="44"/>
      <c r="BLQ3" s="44"/>
      <c r="BLR3" s="44"/>
      <c r="BLS3" s="44"/>
      <c r="BLT3" s="44"/>
      <c r="BLU3" s="44"/>
      <c r="BLV3" s="44"/>
      <c r="BLW3" s="44"/>
      <c r="BLX3" s="44"/>
      <c r="BLY3" s="44"/>
      <c r="BLZ3" s="44"/>
      <c r="BMA3" s="44"/>
      <c r="BMB3" s="44"/>
      <c r="BMC3" s="44"/>
      <c r="BMD3" s="44"/>
      <c r="BME3" s="44"/>
      <c r="BMF3" s="44"/>
      <c r="BMG3" s="44"/>
      <c r="BMH3" s="44"/>
      <c r="BMI3" s="44"/>
      <c r="BMJ3" s="44"/>
      <c r="BMK3" s="44"/>
      <c r="BML3" s="44"/>
      <c r="BMM3" s="44"/>
      <c r="BMN3" s="44"/>
      <c r="BMO3" s="44"/>
      <c r="BMP3" s="44"/>
      <c r="BMQ3" s="44"/>
      <c r="BMR3" s="44"/>
      <c r="BMS3" s="44"/>
      <c r="BMT3" s="44"/>
      <c r="BMU3" s="44"/>
      <c r="BMV3" s="44"/>
      <c r="BMW3" s="44"/>
      <c r="BMX3" s="44"/>
      <c r="BMY3" s="44"/>
      <c r="BMZ3" s="44"/>
      <c r="BNA3" s="44"/>
      <c r="BNB3" s="44"/>
      <c r="BNC3" s="44"/>
      <c r="BND3" s="44"/>
      <c r="BNE3" s="44"/>
      <c r="BNF3" s="44"/>
      <c r="BNG3" s="44"/>
      <c r="BNH3" s="44"/>
      <c r="BNI3" s="44"/>
      <c r="BNJ3" s="44"/>
      <c r="BNK3" s="44"/>
      <c r="BNL3" s="44"/>
      <c r="BNM3" s="44"/>
      <c r="BNN3" s="44"/>
      <c r="BNO3" s="44"/>
      <c r="BNP3" s="44"/>
      <c r="BNQ3" s="44"/>
      <c r="BNR3" s="44"/>
      <c r="BNS3" s="44"/>
      <c r="BNT3" s="44"/>
      <c r="BNU3" s="44"/>
      <c r="BNV3" s="44"/>
      <c r="BNW3" s="44"/>
      <c r="BNX3" s="44"/>
      <c r="BNY3" s="44"/>
      <c r="BNZ3" s="44"/>
      <c r="BOA3" s="44"/>
      <c r="BOB3" s="44"/>
      <c r="BOC3" s="44"/>
      <c r="BOD3" s="44"/>
      <c r="BOE3" s="44"/>
      <c r="BOF3" s="44"/>
      <c r="BOG3" s="44"/>
      <c r="BOH3" s="44"/>
      <c r="BOI3" s="44"/>
      <c r="BOJ3" s="44"/>
      <c r="BOK3" s="44"/>
      <c r="BOL3" s="44"/>
      <c r="BOM3" s="44"/>
      <c r="BON3" s="44"/>
      <c r="BOO3" s="44"/>
      <c r="BOP3" s="44"/>
      <c r="BOQ3" s="44"/>
      <c r="BOR3" s="44"/>
      <c r="BOS3" s="44"/>
      <c r="BOT3" s="44"/>
      <c r="BOU3" s="44"/>
      <c r="BOV3" s="44"/>
      <c r="BOW3" s="44"/>
      <c r="BOX3" s="44"/>
      <c r="BOY3" s="44"/>
      <c r="BOZ3" s="44"/>
      <c r="BPA3" s="44"/>
      <c r="BPB3" s="44"/>
      <c r="BPC3" s="44"/>
      <c r="BPD3" s="44"/>
      <c r="BPE3" s="44"/>
      <c r="BPF3" s="44"/>
      <c r="BPG3" s="44"/>
      <c r="BPH3" s="44"/>
      <c r="BPI3" s="44"/>
      <c r="BPJ3" s="44"/>
      <c r="BPK3" s="44"/>
      <c r="BPL3" s="44"/>
      <c r="BPM3" s="44"/>
      <c r="BPN3" s="44"/>
      <c r="BPO3" s="44"/>
      <c r="BPP3" s="44"/>
      <c r="BPQ3" s="44"/>
      <c r="BPR3" s="44"/>
      <c r="BPS3" s="44"/>
      <c r="BPT3" s="44"/>
      <c r="BPU3" s="44"/>
      <c r="BPV3" s="44"/>
      <c r="BPW3" s="44"/>
      <c r="BPX3" s="44"/>
      <c r="BPY3" s="44"/>
      <c r="BPZ3" s="44"/>
      <c r="BQA3" s="44"/>
      <c r="BQB3" s="44"/>
      <c r="BQC3" s="44"/>
      <c r="BQD3" s="44"/>
      <c r="BQE3" s="44"/>
      <c r="BQF3" s="44"/>
      <c r="BQG3" s="44"/>
      <c r="BQH3" s="44"/>
      <c r="BQI3" s="44"/>
      <c r="BQJ3" s="44"/>
      <c r="BQK3" s="44"/>
      <c r="BQL3" s="44"/>
      <c r="BQM3" s="44"/>
      <c r="BQN3" s="44"/>
      <c r="BQO3" s="44"/>
      <c r="BQP3" s="44"/>
      <c r="BQQ3" s="44"/>
      <c r="BQR3" s="44"/>
      <c r="BQS3" s="44"/>
      <c r="BQT3" s="44"/>
      <c r="BQU3" s="44"/>
      <c r="BQV3" s="44"/>
      <c r="BQW3" s="44"/>
      <c r="BQX3" s="44"/>
      <c r="BQY3" s="44"/>
      <c r="BQZ3" s="44"/>
      <c r="BRA3" s="44"/>
      <c r="BRB3" s="44"/>
      <c r="BRC3" s="44"/>
      <c r="BRD3" s="44"/>
      <c r="BRE3" s="44"/>
      <c r="BRF3" s="44"/>
      <c r="BRG3" s="44"/>
      <c r="BRH3" s="44"/>
      <c r="BRI3" s="44"/>
      <c r="BRJ3" s="44"/>
      <c r="BRK3" s="44"/>
      <c r="BRL3" s="44"/>
      <c r="BRM3" s="44"/>
      <c r="BRN3" s="44"/>
      <c r="BRO3" s="44"/>
      <c r="BRP3" s="44"/>
      <c r="BRQ3" s="44"/>
      <c r="BRR3" s="44"/>
      <c r="BRS3" s="44"/>
      <c r="BRT3" s="44"/>
      <c r="BRU3" s="44"/>
      <c r="BRV3" s="44"/>
      <c r="BRW3" s="44"/>
      <c r="BRX3" s="44"/>
      <c r="BRY3" s="44"/>
      <c r="BRZ3" s="44"/>
      <c r="BSA3" s="44"/>
      <c r="BSB3" s="44"/>
      <c r="BSC3" s="44"/>
      <c r="BSD3" s="44"/>
      <c r="BSE3" s="44"/>
      <c r="BSF3" s="44"/>
      <c r="BSG3" s="44"/>
      <c r="BSH3" s="44"/>
      <c r="BSI3" s="44"/>
      <c r="BSJ3" s="44"/>
      <c r="BSK3" s="44"/>
      <c r="BSL3" s="44"/>
      <c r="BSM3" s="44"/>
      <c r="BSN3" s="44"/>
      <c r="BSO3" s="44"/>
      <c r="BSP3" s="44"/>
      <c r="BSQ3" s="44"/>
      <c r="BSR3" s="44"/>
      <c r="BSS3" s="44"/>
      <c r="BST3" s="44"/>
      <c r="BSU3" s="44"/>
      <c r="BSV3" s="44"/>
      <c r="BSW3" s="44"/>
      <c r="BSX3" s="44"/>
      <c r="BSY3" s="44"/>
      <c r="BSZ3" s="44"/>
      <c r="BTA3" s="44"/>
      <c r="BTB3" s="44"/>
      <c r="BTC3" s="44"/>
      <c r="BTD3" s="44"/>
      <c r="BTE3" s="44"/>
      <c r="BTF3" s="44"/>
      <c r="BTG3" s="44"/>
      <c r="BTH3" s="44"/>
      <c r="BTI3" s="44"/>
      <c r="BTJ3" s="44"/>
      <c r="BTK3" s="44"/>
      <c r="BTL3" s="44"/>
      <c r="BTM3" s="44"/>
      <c r="BTN3" s="44"/>
      <c r="BTO3" s="44"/>
      <c r="BTP3" s="44"/>
      <c r="BTQ3" s="44"/>
      <c r="BTR3" s="44"/>
      <c r="BTS3" s="44"/>
      <c r="BTT3" s="44"/>
      <c r="BTU3" s="44"/>
      <c r="BTV3" s="44"/>
      <c r="BTW3" s="44"/>
      <c r="BTX3" s="44"/>
      <c r="BTY3" s="44"/>
      <c r="BTZ3" s="44"/>
      <c r="BUA3" s="44"/>
      <c r="BUB3" s="44"/>
      <c r="BUC3" s="44"/>
      <c r="BUD3" s="44"/>
      <c r="BUE3" s="44"/>
      <c r="BUF3" s="44"/>
      <c r="BUG3" s="44"/>
      <c r="BUH3" s="44"/>
      <c r="BUI3" s="44"/>
      <c r="BUJ3" s="44"/>
      <c r="BUK3" s="44"/>
      <c r="BUL3" s="44"/>
      <c r="BUM3" s="44"/>
      <c r="BUN3" s="44"/>
      <c r="BUO3" s="44"/>
      <c r="BUP3" s="44"/>
      <c r="BUQ3" s="44"/>
      <c r="BUR3" s="44"/>
      <c r="BUS3" s="44"/>
      <c r="BUT3" s="44"/>
      <c r="BUU3" s="44"/>
      <c r="BUV3" s="44"/>
      <c r="BUW3" s="44"/>
      <c r="BUX3" s="44"/>
      <c r="BUY3" s="44"/>
      <c r="BUZ3" s="44"/>
      <c r="BVA3" s="44"/>
      <c r="BVB3" s="44"/>
      <c r="BVC3" s="44"/>
      <c r="BVD3" s="44"/>
      <c r="BVE3" s="44"/>
      <c r="BVF3" s="44"/>
      <c r="BVG3" s="44"/>
      <c r="BVH3" s="44"/>
      <c r="BVI3" s="44"/>
      <c r="BVJ3" s="44"/>
      <c r="BVK3" s="44"/>
      <c r="BVL3" s="44"/>
      <c r="BVM3" s="44"/>
      <c r="BVN3" s="44"/>
      <c r="BVO3" s="44"/>
      <c r="BVP3" s="44"/>
      <c r="BVQ3" s="44"/>
      <c r="BVR3" s="44"/>
      <c r="BVS3" s="44"/>
      <c r="BVT3" s="44"/>
      <c r="BVU3" s="44"/>
      <c r="BVV3" s="44"/>
      <c r="BVW3" s="44"/>
      <c r="BVX3" s="44"/>
      <c r="BVY3" s="44"/>
      <c r="BVZ3" s="44"/>
      <c r="BWA3" s="44"/>
      <c r="BWB3" s="44"/>
      <c r="BWC3" s="44"/>
      <c r="BWD3" s="44"/>
      <c r="BWE3" s="44"/>
      <c r="BWF3" s="44"/>
      <c r="BWG3" s="44"/>
      <c r="BWH3" s="44"/>
      <c r="BWI3" s="44"/>
      <c r="BWJ3" s="44"/>
      <c r="BWK3" s="44"/>
      <c r="BWL3" s="44"/>
      <c r="BWM3" s="44"/>
      <c r="BWN3" s="44"/>
      <c r="BWO3" s="44"/>
      <c r="BWP3" s="44"/>
      <c r="BWQ3" s="44"/>
      <c r="BWR3" s="44"/>
      <c r="BWS3" s="44"/>
      <c r="BWT3" s="44"/>
      <c r="BWU3" s="44"/>
      <c r="BWV3" s="44"/>
      <c r="BWW3" s="44"/>
      <c r="BWX3" s="44"/>
      <c r="BWY3" s="44"/>
      <c r="BWZ3" s="44"/>
      <c r="BXA3" s="44"/>
      <c r="BXB3" s="44"/>
      <c r="BXC3" s="44"/>
      <c r="BXD3" s="44"/>
      <c r="BXE3" s="44"/>
      <c r="BXF3" s="44"/>
      <c r="BXG3" s="44"/>
      <c r="BXH3" s="44"/>
      <c r="BXI3" s="44"/>
      <c r="BXJ3" s="44"/>
      <c r="BXK3" s="44"/>
      <c r="BXL3" s="44"/>
      <c r="BXM3" s="44"/>
      <c r="BXN3" s="44"/>
      <c r="BXO3" s="44"/>
      <c r="BXP3" s="44"/>
      <c r="BXQ3" s="44"/>
      <c r="BXR3" s="44"/>
      <c r="BXS3" s="44"/>
      <c r="BXT3" s="44"/>
      <c r="BXU3" s="44"/>
      <c r="BXV3" s="44"/>
      <c r="BXW3" s="44"/>
      <c r="BXX3" s="44"/>
      <c r="BXY3" s="44"/>
      <c r="BXZ3" s="44"/>
      <c r="BYA3" s="44"/>
      <c r="BYB3" s="44"/>
      <c r="BYC3" s="44"/>
      <c r="BYD3" s="44"/>
      <c r="BYE3" s="44"/>
      <c r="BYF3" s="44"/>
      <c r="BYG3" s="44"/>
      <c r="BYH3" s="44"/>
      <c r="BYI3" s="44"/>
      <c r="BYJ3" s="44"/>
      <c r="BYK3" s="44"/>
      <c r="BYL3" s="44"/>
      <c r="BYM3" s="44"/>
      <c r="BYN3" s="44"/>
      <c r="BYO3" s="44"/>
      <c r="BYP3" s="44"/>
      <c r="BYQ3" s="44"/>
      <c r="BYR3" s="44"/>
      <c r="BYS3" s="44"/>
      <c r="BYT3" s="44"/>
      <c r="BYU3" s="44"/>
      <c r="BYV3" s="44"/>
      <c r="BYW3" s="44"/>
      <c r="BYX3" s="44"/>
      <c r="BYY3" s="44"/>
      <c r="BYZ3" s="44"/>
      <c r="BZA3" s="44"/>
      <c r="BZB3" s="44"/>
      <c r="BZC3" s="44"/>
      <c r="BZD3" s="44"/>
      <c r="BZE3" s="44"/>
      <c r="BZF3" s="44"/>
      <c r="BZG3" s="44"/>
      <c r="BZH3" s="44"/>
      <c r="BZI3" s="44"/>
      <c r="BZJ3" s="44"/>
      <c r="BZK3" s="44"/>
      <c r="BZL3" s="44"/>
      <c r="BZM3" s="44"/>
      <c r="BZN3" s="44"/>
      <c r="BZO3" s="44"/>
      <c r="BZP3" s="44"/>
      <c r="BZQ3" s="44"/>
      <c r="BZR3" s="44"/>
      <c r="BZS3" s="44"/>
      <c r="BZT3" s="44"/>
      <c r="BZU3" s="44"/>
      <c r="BZV3" s="44"/>
      <c r="BZW3" s="44"/>
      <c r="BZX3" s="44"/>
      <c r="BZY3" s="44"/>
      <c r="BZZ3" s="44"/>
      <c r="CAA3" s="44"/>
      <c r="CAB3" s="44"/>
      <c r="CAC3" s="44"/>
      <c r="CAD3" s="44"/>
      <c r="CAE3" s="44"/>
      <c r="CAF3" s="44"/>
      <c r="CAG3" s="44"/>
      <c r="CAH3" s="44"/>
      <c r="CAI3" s="44"/>
      <c r="CAJ3" s="44"/>
      <c r="CAK3" s="44"/>
      <c r="CAL3" s="44"/>
      <c r="CAM3" s="44"/>
      <c r="CAN3" s="44"/>
      <c r="CAO3" s="44"/>
      <c r="CAP3" s="44"/>
      <c r="CAQ3" s="44"/>
      <c r="CAR3" s="44"/>
      <c r="CAS3" s="44"/>
      <c r="CAT3" s="44"/>
      <c r="CAU3" s="44"/>
      <c r="CAV3" s="44"/>
      <c r="CAW3" s="44"/>
      <c r="CAX3" s="44"/>
      <c r="CAY3" s="44"/>
      <c r="CAZ3" s="44"/>
      <c r="CBA3" s="44"/>
      <c r="CBB3" s="44"/>
      <c r="CBC3" s="44"/>
      <c r="CBD3" s="44"/>
      <c r="CBE3" s="44"/>
      <c r="CBF3" s="44"/>
      <c r="CBG3" s="44"/>
      <c r="CBH3" s="44"/>
      <c r="CBI3" s="44"/>
      <c r="CBJ3" s="44"/>
      <c r="CBK3" s="44"/>
      <c r="CBL3" s="44"/>
      <c r="CBM3" s="44"/>
      <c r="CBN3" s="44"/>
      <c r="CBO3" s="44"/>
      <c r="CBP3" s="44"/>
      <c r="CBQ3" s="44"/>
      <c r="CBR3" s="44"/>
      <c r="CBS3" s="44"/>
      <c r="CBT3" s="44"/>
      <c r="CBU3" s="44"/>
      <c r="CBV3" s="44"/>
      <c r="CBW3" s="44"/>
      <c r="CBX3" s="44"/>
      <c r="CBY3" s="44"/>
      <c r="CBZ3" s="44"/>
      <c r="CCA3" s="44"/>
      <c r="CCB3" s="44"/>
      <c r="CCC3" s="44"/>
      <c r="CCD3" s="44"/>
      <c r="CCE3" s="44"/>
      <c r="CCF3" s="44"/>
      <c r="CCG3" s="44"/>
      <c r="CCH3" s="44"/>
      <c r="CCI3" s="44"/>
      <c r="CCJ3" s="44"/>
      <c r="CCK3" s="44"/>
      <c r="CCL3" s="44"/>
      <c r="CCM3" s="44"/>
      <c r="CCN3" s="44"/>
      <c r="CCO3" s="44"/>
      <c r="CCP3" s="44"/>
      <c r="CCQ3" s="44"/>
      <c r="CCR3" s="44"/>
      <c r="CCS3" s="44"/>
      <c r="CCT3" s="44"/>
      <c r="CCU3" s="44"/>
      <c r="CCV3" s="44"/>
      <c r="CCW3" s="44"/>
      <c r="CCX3" s="44"/>
      <c r="CCY3" s="44"/>
      <c r="CCZ3" s="44"/>
      <c r="CDA3" s="44"/>
      <c r="CDB3" s="44"/>
      <c r="CDC3" s="44"/>
      <c r="CDD3" s="44"/>
      <c r="CDE3" s="44"/>
      <c r="CDF3" s="44"/>
      <c r="CDG3" s="44"/>
      <c r="CDH3" s="44"/>
      <c r="CDI3" s="44"/>
      <c r="CDJ3" s="44"/>
      <c r="CDK3" s="44"/>
      <c r="CDL3" s="44"/>
      <c r="CDM3" s="44"/>
      <c r="CDN3" s="44"/>
      <c r="CDO3" s="44"/>
      <c r="CDP3" s="44"/>
      <c r="CDQ3" s="44"/>
      <c r="CDR3" s="44"/>
      <c r="CDS3" s="44"/>
      <c r="CDT3" s="44"/>
      <c r="CDU3" s="44"/>
      <c r="CDV3" s="44"/>
      <c r="CDW3" s="44"/>
      <c r="CDX3" s="44"/>
      <c r="CDY3" s="44"/>
      <c r="CDZ3" s="44"/>
      <c r="CEA3" s="44"/>
      <c r="CEB3" s="44"/>
      <c r="CEC3" s="44"/>
      <c r="CED3" s="44"/>
      <c r="CEE3" s="44"/>
      <c r="CEF3" s="44"/>
      <c r="CEG3" s="44"/>
      <c r="CEH3" s="44"/>
      <c r="CEI3" s="44"/>
      <c r="CEJ3" s="44"/>
      <c r="CEK3" s="44"/>
      <c r="CEL3" s="44"/>
      <c r="CEM3" s="44"/>
      <c r="CEN3" s="44"/>
      <c r="CEO3" s="44"/>
      <c r="CEP3" s="44"/>
      <c r="CEQ3" s="44"/>
      <c r="CER3" s="44"/>
      <c r="CES3" s="44"/>
      <c r="CET3" s="44"/>
      <c r="CEU3" s="44"/>
      <c r="CEV3" s="44"/>
      <c r="CEW3" s="44"/>
      <c r="CEX3" s="44"/>
      <c r="CEY3" s="44"/>
      <c r="CEZ3" s="44"/>
      <c r="CFA3" s="44"/>
      <c r="CFB3" s="44"/>
      <c r="CFC3" s="44"/>
      <c r="CFD3" s="44"/>
      <c r="CFE3" s="44"/>
      <c r="CFF3" s="44"/>
      <c r="CFG3" s="44"/>
      <c r="CFH3" s="44"/>
      <c r="CFI3" s="44"/>
      <c r="CFJ3" s="44"/>
      <c r="CFK3" s="44"/>
      <c r="CFL3" s="44"/>
      <c r="CFM3" s="44"/>
      <c r="CFN3" s="44"/>
      <c r="CFO3" s="44"/>
      <c r="CFP3" s="44"/>
      <c r="CFQ3" s="44"/>
      <c r="CFR3" s="44"/>
      <c r="CFS3" s="44"/>
      <c r="CFT3" s="44"/>
      <c r="CFU3" s="44"/>
      <c r="CFV3" s="44"/>
      <c r="CFW3" s="44"/>
      <c r="CFX3" s="44"/>
      <c r="CFY3" s="44"/>
      <c r="CFZ3" s="44"/>
      <c r="CGA3" s="44"/>
      <c r="CGB3" s="44"/>
      <c r="CGC3" s="44"/>
      <c r="CGD3" s="44"/>
      <c r="CGE3" s="44"/>
      <c r="CGF3" s="44"/>
      <c r="CGG3" s="44"/>
      <c r="CGH3" s="44"/>
      <c r="CGI3" s="44"/>
      <c r="CGJ3" s="44"/>
      <c r="CGK3" s="44"/>
      <c r="CGL3" s="44"/>
      <c r="CGM3" s="44"/>
      <c r="CGN3" s="44"/>
      <c r="CGO3" s="44"/>
      <c r="CGP3" s="44"/>
      <c r="CGQ3" s="44"/>
      <c r="CGR3" s="44"/>
      <c r="CGS3" s="44"/>
      <c r="CGT3" s="44"/>
      <c r="CGU3" s="44"/>
      <c r="CGV3" s="44"/>
      <c r="CGW3" s="44"/>
      <c r="CGX3" s="44"/>
      <c r="CGY3" s="44"/>
      <c r="CGZ3" s="44"/>
      <c r="CHA3" s="44"/>
      <c r="CHB3" s="44"/>
      <c r="CHC3" s="44"/>
      <c r="CHD3" s="44"/>
      <c r="CHE3" s="44"/>
      <c r="CHF3" s="44"/>
      <c r="CHG3" s="44"/>
      <c r="CHH3" s="44"/>
      <c r="CHI3" s="44"/>
      <c r="CHJ3" s="44"/>
      <c r="CHK3" s="44"/>
      <c r="CHL3" s="44"/>
      <c r="CHM3" s="44"/>
      <c r="CHN3" s="44"/>
      <c r="CHO3" s="44"/>
      <c r="CHP3" s="44"/>
      <c r="CHQ3" s="44"/>
      <c r="CHR3" s="44"/>
      <c r="CHS3" s="44"/>
      <c r="CHT3" s="44"/>
      <c r="CHU3" s="44"/>
      <c r="CHV3" s="44"/>
      <c r="CHW3" s="44"/>
      <c r="CHX3" s="44"/>
      <c r="CHY3" s="44"/>
      <c r="CHZ3" s="44"/>
      <c r="CIA3" s="44"/>
      <c r="CIB3" s="44"/>
      <c r="CIC3" s="44"/>
      <c r="CID3" s="44"/>
      <c r="CIE3" s="44"/>
      <c r="CIF3" s="44"/>
      <c r="CIG3" s="44"/>
      <c r="CIH3" s="44"/>
      <c r="CII3" s="44"/>
      <c r="CIJ3" s="44"/>
      <c r="CIK3" s="44"/>
      <c r="CIL3" s="44"/>
      <c r="CIM3" s="44"/>
      <c r="CIN3" s="44"/>
      <c r="CIO3" s="44"/>
      <c r="CIP3" s="44"/>
      <c r="CIQ3" s="44"/>
      <c r="CIR3" s="44"/>
      <c r="CIS3" s="44"/>
      <c r="CIT3" s="44"/>
      <c r="CIU3" s="44"/>
      <c r="CIV3" s="44"/>
      <c r="CIW3" s="44"/>
      <c r="CIX3" s="44"/>
      <c r="CIY3" s="44"/>
      <c r="CIZ3" s="44"/>
      <c r="CJA3" s="44"/>
      <c r="CJB3" s="44"/>
      <c r="CJC3" s="44"/>
      <c r="CJD3" s="44"/>
      <c r="CJE3" s="44"/>
      <c r="CJF3" s="44"/>
      <c r="CJG3" s="44"/>
      <c r="CJH3" s="44"/>
      <c r="CJI3" s="44"/>
      <c r="CJJ3" s="44"/>
      <c r="CJK3" s="44"/>
      <c r="CJL3" s="44"/>
      <c r="CJM3" s="44"/>
      <c r="CJN3" s="44"/>
      <c r="CJO3" s="44"/>
      <c r="CJP3" s="44"/>
      <c r="CJQ3" s="44"/>
      <c r="CJR3" s="44"/>
      <c r="CJS3" s="44"/>
      <c r="CJT3" s="44"/>
      <c r="CJU3" s="44"/>
      <c r="CJV3" s="44"/>
      <c r="CJW3" s="44"/>
      <c r="CJX3" s="44"/>
      <c r="CJY3" s="44"/>
      <c r="CJZ3" s="44"/>
      <c r="CKA3" s="44"/>
      <c r="CKB3" s="44"/>
      <c r="CKC3" s="44"/>
      <c r="CKD3" s="44"/>
      <c r="CKE3" s="44"/>
      <c r="CKF3" s="44"/>
      <c r="CKG3" s="44"/>
      <c r="CKH3" s="44"/>
      <c r="CKI3" s="44"/>
      <c r="CKJ3" s="44"/>
      <c r="CKK3" s="44"/>
      <c r="CKL3" s="44"/>
      <c r="CKM3" s="44"/>
      <c r="CKN3" s="44"/>
      <c r="CKO3" s="44"/>
      <c r="CKP3" s="44"/>
      <c r="CKQ3" s="44"/>
      <c r="CKR3" s="44"/>
      <c r="CKS3" s="44"/>
      <c r="CKT3" s="44"/>
      <c r="CKU3" s="44"/>
      <c r="CKV3" s="44"/>
      <c r="CKW3" s="44"/>
      <c r="CKX3" s="44"/>
      <c r="CKY3" s="44"/>
      <c r="CKZ3" s="44"/>
      <c r="CLA3" s="44"/>
      <c r="CLB3" s="44"/>
      <c r="CLC3" s="44"/>
      <c r="CLD3" s="44"/>
      <c r="CLE3" s="44"/>
      <c r="CLF3" s="44"/>
      <c r="CLG3" s="44"/>
      <c r="CLH3" s="44"/>
      <c r="CLI3" s="44"/>
      <c r="CLJ3" s="44"/>
      <c r="CLK3" s="44"/>
      <c r="CLL3" s="44"/>
      <c r="CLM3" s="44"/>
      <c r="CLN3" s="44"/>
      <c r="CLO3" s="44"/>
      <c r="CLP3" s="44"/>
      <c r="CLQ3" s="44"/>
      <c r="CLR3" s="44"/>
      <c r="CLS3" s="44"/>
      <c r="CLT3" s="44"/>
      <c r="CLU3" s="44"/>
      <c r="CLV3" s="44"/>
      <c r="CLW3" s="44"/>
      <c r="CLX3" s="44"/>
      <c r="CLY3" s="44"/>
      <c r="CLZ3" s="44"/>
      <c r="CMA3" s="44"/>
      <c r="CMB3" s="44"/>
      <c r="CMC3" s="44"/>
      <c r="CMD3" s="44"/>
      <c r="CME3" s="44"/>
      <c r="CMF3" s="44"/>
      <c r="CMG3" s="44"/>
      <c r="CMH3" s="44"/>
      <c r="CMI3" s="44"/>
      <c r="CMJ3" s="44"/>
      <c r="CMK3" s="44"/>
      <c r="CML3" s="44"/>
      <c r="CMM3" s="44"/>
      <c r="CMN3" s="44"/>
      <c r="CMO3" s="44"/>
      <c r="CMP3" s="44"/>
      <c r="CMQ3" s="44"/>
      <c r="CMR3" s="44"/>
      <c r="CMS3" s="44"/>
      <c r="CMT3" s="44"/>
      <c r="CMU3" s="44"/>
      <c r="CMV3" s="44"/>
      <c r="CMW3" s="44"/>
      <c r="CMX3" s="44"/>
      <c r="CMY3" s="44"/>
      <c r="CMZ3" s="44"/>
      <c r="CNA3" s="44"/>
      <c r="CNB3" s="44"/>
      <c r="CNC3" s="44"/>
      <c r="CND3" s="44"/>
      <c r="CNE3" s="44"/>
      <c r="CNF3" s="44"/>
      <c r="CNG3" s="44"/>
      <c r="CNH3" s="44"/>
      <c r="CNI3" s="44"/>
      <c r="CNJ3" s="44"/>
      <c r="CNK3" s="44"/>
      <c r="CNL3" s="44"/>
      <c r="CNM3" s="44"/>
      <c r="CNN3" s="44"/>
      <c r="CNO3" s="44"/>
      <c r="CNP3" s="44"/>
      <c r="CNQ3" s="44"/>
      <c r="CNR3" s="44"/>
      <c r="CNS3" s="44"/>
      <c r="CNT3" s="44"/>
      <c r="CNU3" s="44"/>
      <c r="CNV3" s="44"/>
      <c r="CNW3" s="44"/>
      <c r="CNX3" s="44"/>
      <c r="CNY3" s="44"/>
      <c r="CNZ3" s="44"/>
      <c r="COA3" s="44"/>
      <c r="COB3" s="44"/>
      <c r="COC3" s="44"/>
      <c r="COD3" s="44"/>
      <c r="COE3" s="44"/>
      <c r="COF3" s="44"/>
      <c r="COG3" s="44"/>
      <c r="COH3" s="44"/>
      <c r="COI3" s="44"/>
      <c r="COJ3" s="44"/>
      <c r="COK3" s="44"/>
      <c r="COL3" s="44"/>
      <c r="COM3" s="44"/>
      <c r="CON3" s="44"/>
      <c r="COO3" s="44"/>
      <c r="COP3" s="44"/>
      <c r="COQ3" s="44"/>
      <c r="COR3" s="44"/>
      <c r="COS3" s="44"/>
      <c r="COT3" s="44"/>
      <c r="COU3" s="44"/>
      <c r="COV3" s="44"/>
      <c r="COW3" s="44"/>
      <c r="COX3" s="44"/>
      <c r="COY3" s="44"/>
      <c r="COZ3" s="44"/>
      <c r="CPA3" s="44"/>
      <c r="CPB3" s="44"/>
      <c r="CPC3" s="44"/>
      <c r="CPD3" s="44"/>
      <c r="CPE3" s="44"/>
      <c r="CPF3" s="44"/>
      <c r="CPG3" s="44"/>
      <c r="CPH3" s="44"/>
      <c r="CPI3" s="44"/>
      <c r="CPJ3" s="44"/>
      <c r="CPK3" s="44"/>
      <c r="CPL3" s="44"/>
      <c r="CPM3" s="44"/>
      <c r="CPN3" s="44"/>
      <c r="CPO3" s="44"/>
      <c r="CPP3" s="44"/>
      <c r="CPQ3" s="44"/>
      <c r="CPR3" s="44"/>
      <c r="CPS3" s="44"/>
      <c r="CPT3" s="44"/>
      <c r="CPU3" s="44"/>
      <c r="CPV3" s="44"/>
      <c r="CPW3" s="44"/>
      <c r="CPX3" s="44"/>
      <c r="CPY3" s="44"/>
      <c r="CPZ3" s="44"/>
      <c r="CQA3" s="44"/>
      <c r="CQB3" s="44"/>
      <c r="CQC3" s="44"/>
      <c r="CQD3" s="44"/>
      <c r="CQE3" s="44"/>
      <c r="CQF3" s="44"/>
      <c r="CQG3" s="44"/>
      <c r="CQH3" s="44"/>
      <c r="CQI3" s="44"/>
      <c r="CQJ3" s="44"/>
      <c r="CQK3" s="44"/>
      <c r="CQL3" s="44"/>
      <c r="CQM3" s="44"/>
      <c r="CQN3" s="44"/>
      <c r="CQO3" s="44"/>
      <c r="CQP3" s="44"/>
      <c r="CQQ3" s="44"/>
      <c r="CQR3" s="44"/>
      <c r="CQS3" s="44"/>
      <c r="CQT3" s="44"/>
      <c r="CQU3" s="44"/>
      <c r="CQV3" s="44"/>
      <c r="CQW3" s="44"/>
      <c r="CQX3" s="44"/>
      <c r="CQY3" s="44"/>
      <c r="CQZ3" s="44"/>
      <c r="CRA3" s="44"/>
      <c r="CRB3" s="44"/>
      <c r="CRC3" s="44"/>
      <c r="CRD3" s="44"/>
      <c r="CRE3" s="44"/>
      <c r="CRF3" s="44"/>
      <c r="CRG3" s="44"/>
      <c r="CRH3" s="44"/>
      <c r="CRI3" s="44"/>
      <c r="CRJ3" s="44"/>
      <c r="CRK3" s="44"/>
      <c r="CRL3" s="44"/>
      <c r="CRM3" s="44"/>
      <c r="CRN3" s="44"/>
      <c r="CRO3" s="44"/>
      <c r="CRP3" s="44"/>
      <c r="CRQ3" s="44"/>
      <c r="CRR3" s="44"/>
      <c r="CRS3" s="44"/>
      <c r="CRT3" s="44"/>
      <c r="CRU3" s="44"/>
      <c r="CRV3" s="44"/>
      <c r="CRW3" s="44"/>
      <c r="CRX3" s="44"/>
      <c r="CRY3" s="44"/>
      <c r="CRZ3" s="44"/>
      <c r="CSA3" s="44"/>
      <c r="CSB3" s="44"/>
      <c r="CSC3" s="44"/>
      <c r="CSD3" s="44"/>
      <c r="CSE3" s="44"/>
      <c r="CSF3" s="44"/>
      <c r="CSG3" s="44"/>
      <c r="CSH3" s="44"/>
      <c r="CSI3" s="44"/>
      <c r="CSJ3" s="44"/>
      <c r="CSK3" s="44"/>
      <c r="CSL3" s="44"/>
      <c r="CSM3" s="44"/>
      <c r="CSN3" s="44"/>
      <c r="CSO3" s="44"/>
      <c r="CSP3" s="44"/>
      <c r="CSQ3" s="44"/>
      <c r="CSR3" s="44"/>
      <c r="CSS3" s="44"/>
      <c r="CST3" s="44"/>
      <c r="CSU3" s="44"/>
      <c r="CSV3" s="44"/>
      <c r="CSW3" s="44"/>
      <c r="CSX3" s="44"/>
      <c r="CSY3" s="44"/>
      <c r="CSZ3" s="44"/>
      <c r="CTA3" s="44"/>
      <c r="CTB3" s="44"/>
      <c r="CTC3" s="44"/>
      <c r="CTD3" s="44"/>
      <c r="CTE3" s="44"/>
      <c r="CTF3" s="44"/>
      <c r="CTG3" s="44"/>
      <c r="CTH3" s="44"/>
      <c r="CTI3" s="44"/>
      <c r="CTJ3" s="44"/>
      <c r="CTK3" s="44"/>
      <c r="CTL3" s="44"/>
      <c r="CTM3" s="44"/>
      <c r="CTN3" s="44"/>
      <c r="CTO3" s="44"/>
      <c r="CTP3" s="44"/>
      <c r="CTQ3" s="44"/>
      <c r="CTR3" s="44"/>
      <c r="CTS3" s="44"/>
      <c r="CTT3" s="44"/>
      <c r="CTU3" s="44"/>
      <c r="CTV3" s="44"/>
      <c r="CTW3" s="44"/>
      <c r="CTX3" s="44"/>
      <c r="CTY3" s="44"/>
      <c r="CTZ3" s="44"/>
      <c r="CUA3" s="44"/>
      <c r="CUB3" s="44"/>
      <c r="CUC3" s="44"/>
      <c r="CUD3" s="44"/>
      <c r="CUE3" s="44"/>
      <c r="CUF3" s="44"/>
      <c r="CUG3" s="44"/>
      <c r="CUH3" s="44"/>
      <c r="CUI3" s="44"/>
      <c r="CUJ3" s="44"/>
      <c r="CUK3" s="44"/>
      <c r="CUL3" s="44"/>
      <c r="CUM3" s="44"/>
      <c r="CUN3" s="44"/>
      <c r="CUO3" s="44"/>
      <c r="CUP3" s="44"/>
      <c r="CUQ3" s="44"/>
      <c r="CUR3" s="44"/>
      <c r="CUS3" s="44"/>
      <c r="CUT3" s="44"/>
      <c r="CUU3" s="44"/>
      <c r="CUV3" s="44"/>
      <c r="CUW3" s="44"/>
      <c r="CUX3" s="44"/>
      <c r="CUY3" s="44"/>
      <c r="CUZ3" s="44"/>
      <c r="CVA3" s="44"/>
      <c r="CVB3" s="44"/>
      <c r="CVC3" s="44"/>
      <c r="CVD3" s="44"/>
      <c r="CVE3" s="44"/>
      <c r="CVF3" s="44"/>
      <c r="CVG3" s="44"/>
      <c r="CVH3" s="44"/>
      <c r="CVI3" s="44"/>
      <c r="CVJ3" s="44"/>
      <c r="CVK3" s="44"/>
      <c r="CVL3" s="44"/>
      <c r="CVM3" s="44"/>
      <c r="CVN3" s="44"/>
      <c r="CVO3" s="44"/>
      <c r="CVP3" s="44"/>
      <c r="CVQ3" s="44"/>
      <c r="CVR3" s="44"/>
      <c r="CVS3" s="44"/>
      <c r="CVT3" s="44"/>
      <c r="CVU3" s="44"/>
      <c r="CVV3" s="44"/>
      <c r="CVW3" s="44"/>
      <c r="CVX3" s="44"/>
      <c r="CVY3" s="44"/>
      <c r="CVZ3" s="44"/>
      <c r="CWA3" s="44"/>
      <c r="CWB3" s="44"/>
      <c r="CWC3" s="44"/>
      <c r="CWD3" s="44"/>
      <c r="CWE3" s="44"/>
      <c r="CWF3" s="44"/>
      <c r="CWG3" s="44"/>
      <c r="CWH3" s="44"/>
      <c r="CWI3" s="44"/>
      <c r="CWJ3" s="44"/>
      <c r="CWK3" s="44"/>
      <c r="CWL3" s="44"/>
      <c r="CWM3" s="44"/>
      <c r="CWN3" s="44"/>
      <c r="CWO3" s="44"/>
      <c r="CWP3" s="44"/>
      <c r="CWQ3" s="44"/>
      <c r="CWR3" s="44"/>
      <c r="CWS3" s="44"/>
      <c r="CWT3" s="44"/>
      <c r="CWU3" s="44"/>
      <c r="CWV3" s="44"/>
      <c r="CWW3" s="44"/>
      <c r="CWX3" s="44"/>
      <c r="CWY3" s="44"/>
      <c r="CWZ3" s="44"/>
      <c r="CXA3" s="44"/>
      <c r="CXB3" s="44"/>
      <c r="CXC3" s="44"/>
      <c r="CXD3" s="44"/>
      <c r="CXE3" s="44"/>
      <c r="CXF3" s="44"/>
      <c r="CXG3" s="44"/>
      <c r="CXH3" s="44"/>
      <c r="CXI3" s="44"/>
      <c r="CXJ3" s="44"/>
      <c r="CXK3" s="44"/>
      <c r="CXL3" s="44"/>
      <c r="CXM3" s="44"/>
      <c r="CXN3" s="44"/>
      <c r="CXO3" s="44"/>
      <c r="CXP3" s="44"/>
      <c r="CXQ3" s="44"/>
      <c r="CXR3" s="44"/>
      <c r="CXS3" s="44"/>
      <c r="CXT3" s="44"/>
      <c r="CXU3" s="44"/>
      <c r="CXV3" s="44"/>
      <c r="CXW3" s="44"/>
      <c r="CXX3" s="44"/>
      <c r="CXY3" s="44"/>
      <c r="CXZ3" s="44"/>
      <c r="CYA3" s="44"/>
      <c r="CYB3" s="44"/>
      <c r="CYC3" s="44"/>
      <c r="CYD3" s="44"/>
      <c r="CYE3" s="44"/>
      <c r="CYF3" s="44"/>
      <c r="CYG3" s="44"/>
      <c r="CYH3" s="44"/>
      <c r="CYI3" s="44"/>
      <c r="CYJ3" s="44"/>
      <c r="CYK3" s="44"/>
      <c r="CYL3" s="44"/>
      <c r="CYM3" s="44"/>
      <c r="CYN3" s="44"/>
      <c r="CYO3" s="44"/>
      <c r="CYP3" s="44"/>
      <c r="CYQ3" s="44"/>
      <c r="CYR3" s="44"/>
      <c r="CYS3" s="44"/>
      <c r="CYT3" s="44"/>
      <c r="CYU3" s="44"/>
      <c r="CYV3" s="44"/>
      <c r="CYW3" s="44"/>
      <c r="CYX3" s="44"/>
      <c r="CYY3" s="44"/>
      <c r="CYZ3" s="44"/>
      <c r="CZA3" s="44"/>
      <c r="CZB3" s="44"/>
      <c r="CZC3" s="44"/>
      <c r="CZD3" s="44"/>
      <c r="CZE3" s="44"/>
      <c r="CZF3" s="44"/>
      <c r="CZG3" s="44"/>
      <c r="CZH3" s="44"/>
      <c r="CZI3" s="44"/>
      <c r="CZJ3" s="44"/>
      <c r="CZK3" s="44"/>
      <c r="CZL3" s="44"/>
      <c r="CZM3" s="44"/>
      <c r="CZN3" s="44"/>
      <c r="CZO3" s="44"/>
      <c r="CZP3" s="44"/>
      <c r="CZQ3" s="44"/>
      <c r="CZR3" s="44"/>
      <c r="CZS3" s="44"/>
      <c r="CZT3" s="44"/>
      <c r="CZU3" s="44"/>
      <c r="CZV3" s="44"/>
      <c r="CZW3" s="44"/>
      <c r="CZX3" s="44"/>
      <c r="CZY3" s="44"/>
      <c r="CZZ3" s="44"/>
      <c r="DAA3" s="44"/>
      <c r="DAB3" s="44"/>
      <c r="DAC3" s="44"/>
      <c r="DAD3" s="44"/>
      <c r="DAE3" s="44"/>
      <c r="DAF3" s="44"/>
      <c r="DAG3" s="44"/>
      <c r="DAH3" s="44"/>
      <c r="DAI3" s="44"/>
      <c r="DAJ3" s="44"/>
      <c r="DAK3" s="44"/>
      <c r="DAL3" s="44"/>
      <c r="DAM3" s="44"/>
      <c r="DAN3" s="44"/>
      <c r="DAO3" s="44"/>
      <c r="DAP3" s="44"/>
      <c r="DAQ3" s="44"/>
      <c r="DAR3" s="44"/>
      <c r="DAS3" s="44"/>
      <c r="DAT3" s="44"/>
      <c r="DAU3" s="44"/>
      <c r="DAV3" s="44"/>
      <c r="DAW3" s="44"/>
      <c r="DAX3" s="44"/>
      <c r="DAY3" s="44"/>
      <c r="DAZ3" s="44"/>
      <c r="DBA3" s="44"/>
      <c r="DBB3" s="44"/>
      <c r="DBC3" s="44"/>
      <c r="DBD3" s="44"/>
      <c r="DBE3" s="44"/>
      <c r="DBF3" s="44"/>
      <c r="DBG3" s="44"/>
      <c r="DBH3" s="44"/>
      <c r="DBI3" s="44"/>
      <c r="DBJ3" s="44"/>
      <c r="DBK3" s="44"/>
      <c r="DBL3" s="44"/>
      <c r="DBM3" s="44"/>
      <c r="DBN3" s="44"/>
      <c r="DBO3" s="44"/>
      <c r="DBP3" s="44"/>
      <c r="DBQ3" s="44"/>
      <c r="DBR3" s="44"/>
      <c r="DBS3" s="44"/>
      <c r="DBT3" s="44"/>
      <c r="DBU3" s="44"/>
      <c r="DBV3" s="44"/>
      <c r="DBW3" s="44"/>
      <c r="DBX3" s="44"/>
      <c r="DBY3" s="44"/>
      <c r="DBZ3" s="44"/>
      <c r="DCA3" s="44"/>
      <c r="DCB3" s="44"/>
      <c r="DCC3" s="44"/>
      <c r="DCD3" s="44"/>
      <c r="DCE3" s="44"/>
      <c r="DCF3" s="44"/>
      <c r="DCG3" s="44"/>
      <c r="DCH3" s="44"/>
      <c r="DCI3" s="44"/>
      <c r="DCJ3" s="44"/>
      <c r="DCK3" s="44"/>
      <c r="DCL3" s="44"/>
      <c r="DCM3" s="44"/>
      <c r="DCN3" s="44"/>
      <c r="DCO3" s="44"/>
      <c r="DCP3" s="44"/>
      <c r="DCQ3" s="44"/>
      <c r="DCR3" s="44"/>
      <c r="DCS3" s="44"/>
      <c r="DCT3" s="44"/>
      <c r="DCU3" s="44"/>
      <c r="DCV3" s="44"/>
      <c r="DCW3" s="44"/>
      <c r="DCX3" s="44"/>
      <c r="DCY3" s="44"/>
      <c r="DCZ3" s="44"/>
      <c r="DDA3" s="44"/>
      <c r="DDB3" s="44"/>
      <c r="DDC3" s="44"/>
      <c r="DDD3" s="44"/>
      <c r="DDE3" s="44"/>
      <c r="DDF3" s="44"/>
      <c r="DDG3" s="44"/>
      <c r="DDH3" s="44"/>
      <c r="DDI3" s="44"/>
      <c r="DDJ3" s="44"/>
      <c r="DDK3" s="44"/>
      <c r="DDL3" s="44"/>
      <c r="DDM3" s="44"/>
      <c r="DDN3" s="44"/>
      <c r="DDO3" s="44"/>
      <c r="DDP3" s="44"/>
      <c r="DDQ3" s="44"/>
      <c r="DDR3" s="44"/>
      <c r="DDS3" s="44"/>
      <c r="DDT3" s="44"/>
      <c r="DDU3" s="44"/>
      <c r="DDV3" s="44"/>
      <c r="DDW3" s="44"/>
      <c r="DDX3" s="44"/>
      <c r="DDY3" s="44"/>
      <c r="DDZ3" s="44"/>
      <c r="DEA3" s="44"/>
      <c r="DEB3" s="44"/>
      <c r="DEC3" s="44"/>
      <c r="DED3" s="44"/>
      <c r="DEE3" s="44"/>
      <c r="DEF3" s="44"/>
      <c r="DEG3" s="44"/>
      <c r="DEH3" s="44"/>
      <c r="DEI3" s="44"/>
      <c r="DEJ3" s="44"/>
      <c r="DEK3" s="44"/>
      <c r="DEL3" s="44"/>
      <c r="DEM3" s="44"/>
      <c r="DEN3" s="44"/>
      <c r="DEO3" s="44"/>
      <c r="DEP3" s="44"/>
      <c r="DEQ3" s="44"/>
      <c r="DER3" s="44"/>
      <c r="DES3" s="44"/>
      <c r="DET3" s="44"/>
      <c r="DEU3" s="44"/>
      <c r="DEV3" s="44"/>
      <c r="DEW3" s="44"/>
      <c r="DEX3" s="44"/>
      <c r="DEY3" s="44"/>
      <c r="DEZ3" s="44"/>
      <c r="DFA3" s="44"/>
      <c r="DFB3" s="44"/>
      <c r="DFC3" s="44"/>
      <c r="DFD3" s="44"/>
      <c r="DFE3" s="44"/>
      <c r="DFF3" s="44"/>
      <c r="DFG3" s="44"/>
      <c r="DFH3" s="44"/>
      <c r="DFI3" s="44"/>
      <c r="DFJ3" s="44"/>
      <c r="DFK3" s="44"/>
      <c r="DFL3" s="44"/>
      <c r="DFM3" s="44"/>
      <c r="DFN3" s="44"/>
      <c r="DFO3" s="44"/>
      <c r="DFP3" s="44"/>
      <c r="DFQ3" s="44"/>
      <c r="DFR3" s="44"/>
      <c r="DFS3" s="44"/>
      <c r="DFT3" s="44"/>
      <c r="DFU3" s="44"/>
      <c r="DFV3" s="44"/>
      <c r="DFW3" s="44"/>
      <c r="DFX3" s="44"/>
      <c r="DFY3" s="44"/>
      <c r="DFZ3" s="44"/>
      <c r="DGA3" s="44"/>
      <c r="DGB3" s="44"/>
      <c r="DGC3" s="44"/>
      <c r="DGD3" s="44"/>
      <c r="DGE3" s="44"/>
      <c r="DGF3" s="44"/>
      <c r="DGG3" s="44"/>
      <c r="DGH3" s="44"/>
      <c r="DGI3" s="44"/>
      <c r="DGJ3" s="44"/>
      <c r="DGK3" s="44"/>
      <c r="DGL3" s="44"/>
      <c r="DGM3" s="44"/>
      <c r="DGN3" s="44"/>
      <c r="DGO3" s="44"/>
      <c r="DGP3" s="44"/>
      <c r="DGQ3" s="44"/>
      <c r="DGR3" s="44"/>
      <c r="DGS3" s="44"/>
      <c r="DGT3" s="44"/>
      <c r="DGU3" s="44"/>
      <c r="DGV3" s="44"/>
      <c r="DGW3" s="44"/>
      <c r="DGX3" s="44"/>
      <c r="DGY3" s="44"/>
      <c r="DGZ3" s="44"/>
      <c r="DHA3" s="44"/>
      <c r="DHB3" s="44"/>
      <c r="DHC3" s="44"/>
      <c r="DHD3" s="44"/>
      <c r="DHE3" s="44"/>
      <c r="DHF3" s="44"/>
      <c r="DHG3" s="44"/>
      <c r="DHH3" s="44"/>
      <c r="DHI3" s="44"/>
      <c r="DHJ3" s="44"/>
      <c r="DHK3" s="44"/>
      <c r="DHL3" s="44"/>
      <c r="DHM3" s="44"/>
      <c r="DHN3" s="44"/>
      <c r="DHO3" s="44"/>
      <c r="DHP3" s="44"/>
      <c r="DHQ3" s="44"/>
      <c r="DHR3" s="44"/>
      <c r="DHS3" s="44"/>
      <c r="DHT3" s="44"/>
      <c r="DHU3" s="44"/>
      <c r="DHV3" s="44"/>
      <c r="DHW3" s="44"/>
      <c r="DHX3" s="44"/>
      <c r="DHY3" s="44"/>
      <c r="DHZ3" s="44"/>
      <c r="DIA3" s="44"/>
      <c r="DIB3" s="44"/>
      <c r="DIC3" s="44"/>
      <c r="DID3" s="44"/>
      <c r="DIE3" s="44"/>
      <c r="DIF3" s="44"/>
      <c r="DIG3" s="44"/>
      <c r="DIH3" s="44"/>
      <c r="DII3" s="44"/>
      <c r="DIJ3" s="44"/>
      <c r="DIK3" s="44"/>
      <c r="DIL3" s="44"/>
      <c r="DIM3" s="44"/>
      <c r="DIN3" s="44"/>
      <c r="DIO3" s="44"/>
      <c r="DIP3" s="44"/>
      <c r="DIQ3" s="44"/>
      <c r="DIR3" s="44"/>
      <c r="DIS3" s="44"/>
      <c r="DIT3" s="44"/>
      <c r="DIU3" s="44"/>
      <c r="DIV3" s="44"/>
      <c r="DIW3" s="44"/>
      <c r="DIX3" s="44"/>
      <c r="DIY3" s="44"/>
      <c r="DIZ3" s="44"/>
      <c r="DJA3" s="44"/>
      <c r="DJB3" s="44"/>
      <c r="DJC3" s="44"/>
      <c r="DJD3" s="44"/>
      <c r="DJE3" s="44"/>
      <c r="DJF3" s="44"/>
      <c r="DJG3" s="44"/>
      <c r="DJH3" s="44"/>
      <c r="DJI3" s="44"/>
      <c r="DJJ3" s="44"/>
      <c r="DJK3" s="44"/>
      <c r="DJL3" s="44"/>
      <c r="DJM3" s="44"/>
      <c r="DJN3" s="44"/>
      <c r="DJO3" s="44"/>
      <c r="DJP3" s="44"/>
      <c r="DJQ3" s="44"/>
      <c r="DJR3" s="44"/>
      <c r="DJS3" s="44"/>
      <c r="DJT3" s="44"/>
      <c r="DJU3" s="44"/>
      <c r="DJV3" s="44"/>
      <c r="DJW3" s="44"/>
      <c r="DJX3" s="44"/>
      <c r="DJY3" s="44"/>
      <c r="DJZ3" s="44"/>
      <c r="DKA3" s="44"/>
      <c r="DKB3" s="44"/>
      <c r="DKC3" s="44"/>
      <c r="DKD3" s="44"/>
      <c r="DKE3" s="44"/>
      <c r="DKF3" s="44"/>
      <c r="DKG3" s="44"/>
      <c r="DKH3" s="44"/>
      <c r="DKI3" s="44"/>
      <c r="DKJ3" s="44"/>
      <c r="DKK3" s="44"/>
      <c r="DKL3" s="44"/>
      <c r="DKM3" s="44"/>
      <c r="DKN3" s="44"/>
      <c r="DKO3" s="44"/>
      <c r="DKP3" s="44"/>
      <c r="DKQ3" s="44"/>
      <c r="DKR3" s="44"/>
      <c r="DKS3" s="44"/>
      <c r="DKT3" s="44"/>
      <c r="DKU3" s="44"/>
      <c r="DKV3" s="44"/>
      <c r="DKW3" s="44"/>
      <c r="DKX3" s="44"/>
      <c r="DKY3" s="44"/>
      <c r="DKZ3" s="44"/>
      <c r="DLA3" s="44"/>
      <c r="DLB3" s="44"/>
      <c r="DLC3" s="44"/>
      <c r="DLD3" s="44"/>
      <c r="DLE3" s="44"/>
      <c r="DLF3" s="44"/>
      <c r="DLG3" s="44"/>
      <c r="DLH3" s="44"/>
      <c r="DLI3" s="44"/>
      <c r="DLJ3" s="44"/>
      <c r="DLK3" s="44"/>
      <c r="DLL3" s="44"/>
      <c r="DLM3" s="44"/>
      <c r="DLN3" s="44"/>
      <c r="DLO3" s="44"/>
      <c r="DLP3" s="44"/>
      <c r="DLQ3" s="44"/>
      <c r="DLR3" s="44"/>
      <c r="DLS3" s="44"/>
      <c r="DLT3" s="44"/>
      <c r="DLU3" s="44"/>
      <c r="DLV3" s="44"/>
      <c r="DLW3" s="44"/>
      <c r="DLX3" s="44"/>
      <c r="DLY3" s="44"/>
      <c r="DLZ3" s="44"/>
      <c r="DMA3" s="44"/>
      <c r="DMB3" s="44"/>
      <c r="DMC3" s="44"/>
      <c r="DMD3" s="44"/>
      <c r="DME3" s="44"/>
      <c r="DMF3" s="44"/>
      <c r="DMG3" s="44"/>
      <c r="DMH3" s="44"/>
      <c r="DMI3" s="44"/>
      <c r="DMJ3" s="44"/>
      <c r="DMK3" s="44"/>
      <c r="DML3" s="44"/>
      <c r="DMM3" s="44"/>
      <c r="DMN3" s="44"/>
      <c r="DMO3" s="44"/>
      <c r="DMP3" s="44"/>
      <c r="DMQ3" s="44"/>
      <c r="DMR3" s="44"/>
      <c r="DMS3" s="44"/>
      <c r="DMT3" s="44"/>
      <c r="DMU3" s="44"/>
      <c r="DMV3" s="44"/>
      <c r="DMW3" s="44"/>
      <c r="DMX3" s="44"/>
      <c r="DMY3" s="44"/>
      <c r="DMZ3" s="44"/>
      <c r="DNA3" s="44"/>
      <c r="DNB3" s="44"/>
      <c r="DNC3" s="44"/>
      <c r="DND3" s="44"/>
      <c r="DNE3" s="44"/>
      <c r="DNF3" s="44"/>
      <c r="DNG3" s="44"/>
      <c r="DNH3" s="44"/>
      <c r="DNI3" s="44"/>
      <c r="DNJ3" s="44"/>
      <c r="DNK3" s="44"/>
      <c r="DNL3" s="44"/>
      <c r="DNM3" s="44"/>
      <c r="DNN3" s="44"/>
      <c r="DNO3" s="44"/>
      <c r="DNP3" s="44"/>
      <c r="DNQ3" s="44"/>
      <c r="DNR3" s="44"/>
      <c r="DNS3" s="44"/>
      <c r="DNT3" s="44"/>
      <c r="DNU3" s="44"/>
      <c r="DNV3" s="44"/>
      <c r="DNW3" s="44"/>
      <c r="DNX3" s="44"/>
      <c r="DNY3" s="44"/>
      <c r="DNZ3" s="44"/>
      <c r="DOA3" s="44"/>
      <c r="DOB3" s="44"/>
      <c r="DOC3" s="44"/>
      <c r="DOD3" s="44"/>
      <c r="DOE3" s="44"/>
      <c r="DOF3" s="44"/>
      <c r="DOG3" s="44"/>
      <c r="DOH3" s="44"/>
      <c r="DOI3" s="44"/>
      <c r="DOJ3" s="44"/>
      <c r="DOK3" s="44"/>
      <c r="DOL3" s="44"/>
      <c r="DOM3" s="44"/>
      <c r="DON3" s="44"/>
      <c r="DOO3" s="44"/>
      <c r="DOP3" s="44"/>
      <c r="DOQ3" s="44"/>
      <c r="DOR3" s="44"/>
      <c r="DOS3" s="44"/>
      <c r="DOT3" s="44"/>
      <c r="DOU3" s="44"/>
      <c r="DOV3" s="44"/>
      <c r="DOW3" s="44"/>
      <c r="DOX3" s="44"/>
      <c r="DOY3" s="44"/>
      <c r="DOZ3" s="44"/>
      <c r="DPA3" s="44"/>
      <c r="DPB3" s="44"/>
      <c r="DPC3" s="44"/>
      <c r="DPD3" s="44"/>
      <c r="DPE3" s="44"/>
      <c r="DPF3" s="44"/>
      <c r="DPG3" s="44"/>
      <c r="DPH3" s="44"/>
      <c r="DPI3" s="44"/>
      <c r="DPJ3" s="44"/>
      <c r="DPK3" s="44"/>
      <c r="DPL3" s="44"/>
      <c r="DPM3" s="44"/>
      <c r="DPN3" s="44"/>
      <c r="DPO3" s="44"/>
      <c r="DPP3" s="44"/>
      <c r="DPQ3" s="44"/>
      <c r="DPR3" s="44"/>
      <c r="DPS3" s="44"/>
      <c r="DPT3" s="44"/>
      <c r="DPU3" s="44"/>
      <c r="DPV3" s="44"/>
      <c r="DPW3" s="44"/>
      <c r="DPX3" s="44"/>
      <c r="DPY3" s="44"/>
      <c r="DPZ3" s="44"/>
      <c r="DQA3" s="44"/>
      <c r="DQB3" s="44"/>
      <c r="DQC3" s="44"/>
      <c r="DQD3" s="44"/>
      <c r="DQE3" s="44"/>
      <c r="DQF3" s="44"/>
      <c r="DQG3" s="44"/>
      <c r="DQH3" s="44"/>
      <c r="DQI3" s="44"/>
      <c r="DQJ3" s="44"/>
      <c r="DQK3" s="44"/>
      <c r="DQL3" s="44"/>
      <c r="DQM3" s="44"/>
      <c r="DQN3" s="44"/>
      <c r="DQO3" s="44"/>
      <c r="DQP3" s="44"/>
      <c r="DQQ3" s="44"/>
      <c r="DQR3" s="44"/>
      <c r="DQS3" s="44"/>
      <c r="DQT3" s="44"/>
      <c r="DQU3" s="44"/>
      <c r="DQV3" s="44"/>
      <c r="DQW3" s="44"/>
      <c r="DQX3" s="44"/>
      <c r="DQY3" s="44"/>
      <c r="DQZ3" s="44"/>
      <c r="DRA3" s="44"/>
      <c r="DRB3" s="44"/>
      <c r="DRC3" s="44"/>
      <c r="DRD3" s="44"/>
      <c r="DRE3" s="44"/>
      <c r="DRF3" s="44"/>
      <c r="DRG3" s="44"/>
      <c r="DRH3" s="44"/>
      <c r="DRI3" s="44"/>
      <c r="DRJ3" s="44"/>
      <c r="DRK3" s="44"/>
      <c r="DRL3" s="44"/>
      <c r="DRM3" s="44"/>
      <c r="DRN3" s="44"/>
      <c r="DRO3" s="44"/>
      <c r="DRP3" s="44"/>
      <c r="DRQ3" s="44"/>
      <c r="DRR3" s="44"/>
      <c r="DRS3" s="44"/>
      <c r="DRT3" s="44"/>
      <c r="DRU3" s="44"/>
      <c r="DRV3" s="44"/>
      <c r="DRW3" s="44"/>
      <c r="DRX3" s="44"/>
      <c r="DRY3" s="44"/>
      <c r="DRZ3" s="44"/>
      <c r="DSA3" s="44"/>
      <c r="DSB3" s="44"/>
      <c r="DSC3" s="44"/>
      <c r="DSD3" s="44"/>
      <c r="DSE3" s="44"/>
      <c r="DSF3" s="44"/>
      <c r="DSG3" s="44"/>
      <c r="DSH3" s="44"/>
      <c r="DSI3" s="44"/>
      <c r="DSJ3" s="44"/>
      <c r="DSK3" s="44"/>
      <c r="DSL3" s="44"/>
      <c r="DSM3" s="44"/>
      <c r="DSN3" s="44"/>
      <c r="DSO3" s="44"/>
      <c r="DSP3" s="44"/>
      <c r="DSQ3" s="44"/>
      <c r="DSR3" s="44"/>
      <c r="DSS3" s="44"/>
      <c r="DST3" s="44"/>
      <c r="DSU3" s="44"/>
      <c r="DSV3" s="44"/>
      <c r="DSW3" s="44"/>
      <c r="DSX3" s="44"/>
      <c r="DSY3" s="44"/>
      <c r="DSZ3" s="44"/>
      <c r="DTA3" s="44"/>
      <c r="DTB3" s="44"/>
      <c r="DTC3" s="44"/>
      <c r="DTD3" s="44"/>
      <c r="DTE3" s="44"/>
      <c r="DTF3" s="44"/>
      <c r="DTG3" s="44"/>
      <c r="DTH3" s="44"/>
      <c r="DTI3" s="44"/>
      <c r="DTJ3" s="44"/>
      <c r="DTK3" s="44"/>
      <c r="DTL3" s="44"/>
      <c r="DTM3" s="44"/>
      <c r="DTN3" s="44"/>
      <c r="DTO3" s="44"/>
      <c r="DTP3" s="44"/>
      <c r="DTQ3" s="44"/>
      <c r="DTR3" s="44"/>
      <c r="DTS3" s="44"/>
      <c r="DTT3" s="44"/>
      <c r="DTU3" s="44"/>
      <c r="DTV3" s="44"/>
      <c r="DTW3" s="44"/>
      <c r="DTX3" s="44"/>
      <c r="DTY3" s="44"/>
      <c r="DTZ3" s="44"/>
      <c r="DUA3" s="44"/>
      <c r="DUB3" s="44"/>
      <c r="DUC3" s="44"/>
      <c r="DUD3" s="44"/>
      <c r="DUE3" s="44"/>
      <c r="DUF3" s="44"/>
      <c r="DUG3" s="44"/>
      <c r="DUH3" s="44"/>
      <c r="DUI3" s="44"/>
      <c r="DUJ3" s="44"/>
      <c r="DUK3" s="44"/>
      <c r="DUL3" s="44"/>
      <c r="DUM3" s="44"/>
      <c r="DUN3" s="44"/>
      <c r="DUO3" s="44"/>
      <c r="DUP3" s="44"/>
      <c r="DUQ3" s="44"/>
      <c r="DUR3" s="44"/>
      <c r="DUS3" s="44"/>
      <c r="DUT3" s="44"/>
      <c r="DUU3" s="44"/>
      <c r="DUV3" s="44"/>
      <c r="DUW3" s="44"/>
      <c r="DUX3" s="44"/>
      <c r="DUY3" s="44"/>
      <c r="DUZ3" s="44"/>
      <c r="DVA3" s="44"/>
      <c r="DVB3" s="44"/>
      <c r="DVC3" s="44"/>
      <c r="DVD3" s="44"/>
      <c r="DVE3" s="44"/>
      <c r="DVF3" s="44"/>
      <c r="DVG3" s="44"/>
      <c r="DVH3" s="44"/>
      <c r="DVI3" s="44"/>
      <c r="DVJ3" s="44"/>
      <c r="DVK3" s="44"/>
      <c r="DVL3" s="44"/>
      <c r="DVM3" s="44"/>
      <c r="DVN3" s="44"/>
      <c r="DVO3" s="44"/>
      <c r="DVP3" s="44"/>
      <c r="DVQ3" s="44"/>
      <c r="DVR3" s="44"/>
      <c r="DVS3" s="44"/>
      <c r="DVT3" s="44"/>
      <c r="DVU3" s="44"/>
      <c r="DVV3" s="44"/>
      <c r="DVW3" s="44"/>
      <c r="DVX3" s="44"/>
      <c r="DVY3" s="44"/>
      <c r="DVZ3" s="44"/>
      <c r="DWA3" s="44"/>
      <c r="DWB3" s="44"/>
      <c r="DWC3" s="44"/>
      <c r="DWD3" s="44"/>
      <c r="DWE3" s="44"/>
      <c r="DWF3" s="44"/>
      <c r="DWG3" s="44"/>
      <c r="DWH3" s="44"/>
      <c r="DWI3" s="44"/>
      <c r="DWJ3" s="44"/>
      <c r="DWK3" s="44"/>
      <c r="DWL3" s="44"/>
      <c r="DWM3" s="44"/>
      <c r="DWN3" s="44"/>
      <c r="DWO3" s="44"/>
      <c r="DWP3" s="44"/>
      <c r="DWQ3" s="44"/>
      <c r="DWR3" s="44"/>
      <c r="DWS3" s="44"/>
      <c r="DWT3" s="44"/>
      <c r="DWU3" s="44"/>
      <c r="DWV3" s="44"/>
      <c r="DWW3" s="44"/>
      <c r="DWX3" s="44"/>
      <c r="DWY3" s="44"/>
      <c r="DWZ3" s="44"/>
      <c r="DXA3" s="44"/>
      <c r="DXB3" s="44"/>
      <c r="DXC3" s="44"/>
      <c r="DXD3" s="44"/>
      <c r="DXE3" s="44"/>
      <c r="DXF3" s="44"/>
      <c r="DXG3" s="44"/>
      <c r="DXH3" s="44"/>
      <c r="DXI3" s="44"/>
      <c r="DXJ3" s="44"/>
      <c r="DXK3" s="44"/>
      <c r="DXL3" s="44"/>
      <c r="DXM3" s="44"/>
      <c r="DXN3" s="44"/>
      <c r="DXO3" s="44"/>
      <c r="DXP3" s="44"/>
      <c r="DXQ3" s="44"/>
      <c r="DXR3" s="44"/>
      <c r="DXS3" s="44"/>
      <c r="DXT3" s="44"/>
      <c r="DXU3" s="44"/>
      <c r="DXV3" s="44"/>
      <c r="DXW3" s="44"/>
      <c r="DXX3" s="44"/>
      <c r="DXY3" s="44"/>
      <c r="DXZ3" s="44"/>
      <c r="DYA3" s="44"/>
      <c r="DYB3" s="44"/>
      <c r="DYC3" s="44"/>
      <c r="DYD3" s="44"/>
      <c r="DYE3" s="44"/>
      <c r="DYF3" s="44"/>
      <c r="DYG3" s="44"/>
      <c r="DYH3" s="44"/>
      <c r="DYI3" s="44"/>
      <c r="DYJ3" s="44"/>
      <c r="DYK3" s="44"/>
      <c r="DYL3" s="44"/>
      <c r="DYM3" s="44"/>
      <c r="DYN3" s="44"/>
      <c r="DYO3" s="44"/>
      <c r="DYP3" s="44"/>
      <c r="DYQ3" s="44"/>
      <c r="DYR3" s="44"/>
      <c r="DYS3" s="44"/>
      <c r="DYT3" s="44"/>
      <c r="DYU3" s="44"/>
      <c r="DYV3" s="44"/>
      <c r="DYW3" s="44"/>
      <c r="DYX3" s="44"/>
      <c r="DYY3" s="44"/>
      <c r="DYZ3" s="44"/>
      <c r="DZA3" s="44"/>
      <c r="DZB3" s="44"/>
      <c r="DZC3" s="44"/>
      <c r="DZD3" s="44"/>
      <c r="DZE3" s="44"/>
      <c r="DZF3" s="44"/>
      <c r="DZG3" s="44"/>
      <c r="DZH3" s="44"/>
      <c r="DZI3" s="44"/>
      <c r="DZJ3" s="44"/>
      <c r="DZK3" s="44"/>
      <c r="DZL3" s="44"/>
      <c r="DZM3" s="44"/>
      <c r="DZN3" s="44"/>
      <c r="DZO3" s="44"/>
      <c r="DZP3" s="44"/>
      <c r="DZQ3" s="44"/>
      <c r="DZR3" s="44"/>
      <c r="DZS3" s="44"/>
      <c r="DZT3" s="44"/>
      <c r="DZU3" s="44"/>
      <c r="DZV3" s="44"/>
      <c r="DZW3" s="44"/>
      <c r="DZX3" s="44"/>
      <c r="DZY3" s="44"/>
      <c r="DZZ3" s="44"/>
      <c r="EAA3" s="44"/>
      <c r="EAB3" s="44"/>
      <c r="EAC3" s="44"/>
      <c r="EAD3" s="44"/>
      <c r="EAE3" s="44"/>
      <c r="EAF3" s="44"/>
      <c r="EAG3" s="44"/>
      <c r="EAH3" s="44"/>
      <c r="EAI3" s="44"/>
      <c r="EAJ3" s="44"/>
      <c r="EAK3" s="44"/>
      <c r="EAL3" s="44"/>
      <c r="EAM3" s="44"/>
      <c r="EAN3" s="44"/>
      <c r="EAO3" s="44"/>
      <c r="EAP3" s="44"/>
      <c r="EAQ3" s="44"/>
      <c r="EAR3" s="44"/>
      <c r="EAS3" s="44"/>
      <c r="EAT3" s="44"/>
      <c r="EAU3" s="44"/>
      <c r="EAV3" s="44"/>
      <c r="EAW3" s="44"/>
      <c r="EAX3" s="44"/>
      <c r="EAY3" s="44"/>
      <c r="EAZ3" s="44"/>
      <c r="EBA3" s="44"/>
      <c r="EBB3" s="44"/>
      <c r="EBC3" s="44"/>
      <c r="EBD3" s="44"/>
      <c r="EBE3" s="44"/>
      <c r="EBF3" s="44"/>
      <c r="EBG3" s="44"/>
      <c r="EBH3" s="44"/>
      <c r="EBI3" s="44"/>
      <c r="EBJ3" s="44"/>
      <c r="EBK3" s="44"/>
      <c r="EBL3" s="44"/>
      <c r="EBM3" s="44"/>
      <c r="EBN3" s="44"/>
      <c r="EBO3" s="44"/>
      <c r="EBP3" s="44"/>
      <c r="EBQ3" s="44"/>
      <c r="EBR3" s="44"/>
      <c r="EBS3" s="44"/>
      <c r="EBT3" s="44"/>
      <c r="EBU3" s="44"/>
      <c r="EBV3" s="44"/>
      <c r="EBW3" s="44"/>
      <c r="EBX3" s="44"/>
      <c r="EBY3" s="44"/>
      <c r="EBZ3" s="44"/>
      <c r="ECA3" s="44"/>
      <c r="ECB3" s="44"/>
      <c r="ECC3" s="44"/>
      <c r="ECD3" s="44"/>
      <c r="ECE3" s="44"/>
      <c r="ECF3" s="44"/>
      <c r="ECG3" s="44"/>
      <c r="ECH3" s="44"/>
      <c r="ECI3" s="44"/>
      <c r="ECJ3" s="44"/>
      <c r="ECK3" s="44"/>
      <c r="ECL3" s="44"/>
      <c r="ECM3" s="44"/>
      <c r="ECN3" s="44"/>
      <c r="ECO3" s="44"/>
      <c r="ECP3" s="44"/>
      <c r="ECQ3" s="44"/>
      <c r="ECR3" s="44"/>
      <c r="ECS3" s="44"/>
      <c r="ECT3" s="44"/>
      <c r="ECU3" s="44"/>
      <c r="ECV3" s="44"/>
      <c r="ECW3" s="44"/>
      <c r="ECX3" s="44"/>
      <c r="ECY3" s="44"/>
      <c r="ECZ3" s="44"/>
      <c r="EDA3" s="44"/>
      <c r="EDB3" s="44"/>
      <c r="EDC3" s="44"/>
      <c r="EDD3" s="44"/>
      <c r="EDE3" s="44"/>
      <c r="EDF3" s="44"/>
      <c r="EDG3" s="44"/>
      <c r="EDH3" s="44"/>
      <c r="EDI3" s="44"/>
      <c r="EDJ3" s="44"/>
      <c r="EDK3" s="44"/>
      <c r="EDL3" s="44"/>
      <c r="EDM3" s="44"/>
      <c r="EDN3" s="44"/>
      <c r="EDO3" s="44"/>
      <c r="EDP3" s="44"/>
      <c r="EDQ3" s="44"/>
      <c r="EDR3" s="44"/>
      <c r="EDS3" s="44"/>
      <c r="EDT3" s="44"/>
      <c r="EDU3" s="44"/>
      <c r="EDV3" s="44"/>
      <c r="EDW3" s="44"/>
      <c r="EDX3" s="44"/>
      <c r="EDY3" s="44"/>
      <c r="EDZ3" s="44"/>
      <c r="EEA3" s="44"/>
      <c r="EEB3" s="44"/>
      <c r="EEC3" s="44"/>
      <c r="EED3" s="44"/>
      <c r="EEE3" s="44"/>
      <c r="EEF3" s="44"/>
      <c r="EEG3" s="44"/>
      <c r="EEH3" s="44"/>
      <c r="EEI3" s="44"/>
      <c r="EEJ3" s="44"/>
      <c r="EEK3" s="44"/>
      <c r="EEL3" s="44"/>
      <c r="EEM3" s="44"/>
      <c r="EEN3" s="44"/>
      <c r="EEO3" s="44"/>
      <c r="EEP3" s="44"/>
      <c r="EEQ3" s="44"/>
      <c r="EER3" s="44"/>
      <c r="EES3" s="44"/>
      <c r="EET3" s="44"/>
      <c r="EEU3" s="44"/>
      <c r="EEV3" s="44"/>
      <c r="EEW3" s="44"/>
      <c r="EEX3" s="44"/>
      <c r="EEY3" s="44"/>
      <c r="EEZ3" s="44"/>
      <c r="EFA3" s="44"/>
      <c r="EFB3" s="44"/>
      <c r="EFC3" s="44"/>
      <c r="EFD3" s="44"/>
      <c r="EFE3" s="44"/>
      <c r="EFF3" s="44"/>
      <c r="EFG3" s="44"/>
      <c r="EFH3" s="44"/>
      <c r="EFI3" s="44"/>
      <c r="EFJ3" s="44"/>
      <c r="EFK3" s="44"/>
      <c r="EFL3" s="44"/>
      <c r="EFM3" s="44"/>
      <c r="EFN3" s="44"/>
      <c r="EFO3" s="44"/>
      <c r="EFP3" s="44"/>
      <c r="EFQ3" s="44"/>
      <c r="EFR3" s="44"/>
      <c r="EFS3" s="44"/>
      <c r="EFT3" s="44"/>
      <c r="EFU3" s="44"/>
      <c r="EFV3" s="44"/>
      <c r="EFW3" s="44"/>
      <c r="EFX3" s="44"/>
      <c r="EFY3" s="44"/>
      <c r="EFZ3" s="44"/>
      <c r="EGA3" s="44"/>
      <c r="EGB3" s="44"/>
      <c r="EGC3" s="44"/>
      <c r="EGD3" s="44"/>
      <c r="EGE3" s="44"/>
      <c r="EGF3" s="44"/>
      <c r="EGG3" s="44"/>
      <c r="EGH3" s="44"/>
      <c r="EGI3" s="44"/>
      <c r="EGJ3" s="44"/>
      <c r="EGK3" s="44"/>
      <c r="EGL3" s="44"/>
      <c r="EGM3" s="44"/>
      <c r="EGN3" s="44"/>
      <c r="EGO3" s="44"/>
      <c r="EGP3" s="44"/>
      <c r="EGQ3" s="44"/>
      <c r="EGR3" s="44"/>
      <c r="EGS3" s="44"/>
      <c r="EGT3" s="44"/>
      <c r="EGU3" s="44"/>
      <c r="EGV3" s="44"/>
      <c r="EGW3" s="44"/>
      <c r="EGX3" s="44"/>
      <c r="EGY3" s="44"/>
      <c r="EGZ3" s="44"/>
      <c r="EHA3" s="44"/>
      <c r="EHB3" s="44"/>
      <c r="EHC3" s="44"/>
      <c r="EHD3" s="44"/>
      <c r="EHE3" s="44"/>
      <c r="EHF3" s="44"/>
      <c r="EHG3" s="44"/>
      <c r="EHH3" s="44"/>
      <c r="EHI3" s="44"/>
      <c r="EHJ3" s="44"/>
      <c r="EHK3" s="44"/>
      <c r="EHL3" s="44"/>
      <c r="EHM3" s="44"/>
      <c r="EHN3" s="44"/>
      <c r="EHO3" s="44"/>
      <c r="EHP3" s="44"/>
      <c r="EHQ3" s="44"/>
      <c r="EHR3" s="44"/>
      <c r="EHS3" s="44"/>
      <c r="EHT3" s="44"/>
      <c r="EHU3" s="44"/>
      <c r="EHV3" s="44"/>
      <c r="EHW3" s="44"/>
      <c r="EHX3" s="44"/>
      <c r="EHY3" s="44"/>
      <c r="EHZ3" s="44"/>
      <c r="EIA3" s="44"/>
      <c r="EIB3" s="44"/>
      <c r="EIC3" s="44"/>
      <c r="EID3" s="44"/>
      <c r="EIE3" s="44"/>
      <c r="EIF3" s="44"/>
      <c r="EIG3" s="44"/>
      <c r="EIH3" s="44"/>
      <c r="EII3" s="44"/>
      <c r="EIJ3" s="44"/>
      <c r="EIK3" s="44"/>
      <c r="EIL3" s="44"/>
      <c r="EIM3" s="44"/>
      <c r="EIN3" s="44"/>
      <c r="EIO3" s="44"/>
      <c r="EIP3" s="44"/>
      <c r="EIQ3" s="44"/>
      <c r="EIR3" s="44"/>
      <c r="EIS3" s="44"/>
      <c r="EIT3" s="44"/>
      <c r="EIU3" s="44"/>
      <c r="EIV3" s="44"/>
      <c r="EIW3" s="44"/>
      <c r="EIX3" s="44"/>
      <c r="EIY3" s="44"/>
      <c r="EIZ3" s="44"/>
      <c r="EJA3" s="44"/>
      <c r="EJB3" s="44"/>
      <c r="EJC3" s="44"/>
      <c r="EJD3" s="44"/>
      <c r="EJE3" s="44"/>
      <c r="EJF3" s="44"/>
      <c r="EJG3" s="44"/>
      <c r="EJH3" s="44"/>
      <c r="EJI3" s="44"/>
      <c r="EJJ3" s="44"/>
      <c r="EJK3" s="44"/>
      <c r="EJL3" s="44"/>
      <c r="EJM3" s="44"/>
      <c r="EJN3" s="44"/>
      <c r="EJO3" s="44"/>
      <c r="EJP3" s="44"/>
      <c r="EJQ3" s="44"/>
      <c r="EJR3" s="44"/>
      <c r="EJS3" s="44"/>
      <c r="EJT3" s="44"/>
      <c r="EJU3" s="44"/>
      <c r="EJV3" s="44"/>
      <c r="EJW3" s="44"/>
      <c r="EJX3" s="44"/>
      <c r="EJY3" s="44"/>
      <c r="EJZ3" s="44"/>
      <c r="EKA3" s="44"/>
      <c r="EKB3" s="44"/>
      <c r="EKC3" s="44"/>
      <c r="EKD3" s="44"/>
      <c r="EKE3" s="44"/>
      <c r="EKF3" s="44"/>
      <c r="EKG3" s="44"/>
      <c r="EKH3" s="44"/>
      <c r="EKI3" s="44"/>
      <c r="EKJ3" s="44"/>
      <c r="EKK3" s="44"/>
      <c r="EKL3" s="44"/>
      <c r="EKM3" s="44"/>
      <c r="EKN3" s="44"/>
      <c r="EKO3" s="44"/>
      <c r="EKP3" s="44"/>
      <c r="EKQ3" s="44"/>
      <c r="EKR3" s="44"/>
      <c r="EKS3" s="44"/>
      <c r="EKT3" s="44"/>
      <c r="EKU3" s="44"/>
      <c r="EKV3" s="44"/>
      <c r="EKW3" s="44"/>
      <c r="EKX3" s="44"/>
      <c r="EKY3" s="44"/>
      <c r="EKZ3" s="44"/>
      <c r="ELA3" s="44"/>
      <c r="ELB3" s="44"/>
      <c r="ELC3" s="44"/>
      <c r="ELD3" s="44"/>
      <c r="ELE3" s="44"/>
      <c r="ELF3" s="44"/>
      <c r="ELG3" s="44"/>
      <c r="ELH3" s="44"/>
      <c r="ELI3" s="44"/>
      <c r="ELJ3" s="44"/>
      <c r="ELK3" s="44"/>
      <c r="ELL3" s="44"/>
      <c r="ELM3" s="44"/>
      <c r="ELN3" s="44"/>
      <c r="ELO3" s="44"/>
      <c r="ELP3" s="44"/>
      <c r="ELQ3" s="44"/>
      <c r="ELR3" s="44"/>
      <c r="ELS3" s="44"/>
      <c r="ELT3" s="44"/>
      <c r="ELU3" s="44"/>
      <c r="ELV3" s="44"/>
      <c r="ELW3" s="44"/>
      <c r="ELX3" s="44"/>
      <c r="ELY3" s="44"/>
      <c r="ELZ3" s="44"/>
      <c r="EMA3" s="44"/>
      <c r="EMB3" s="44"/>
      <c r="EMC3" s="44"/>
      <c r="EMD3" s="44"/>
      <c r="EME3" s="44"/>
      <c r="EMF3" s="44"/>
      <c r="EMG3" s="44"/>
      <c r="EMH3" s="44"/>
      <c r="EMI3" s="44"/>
      <c r="EMJ3" s="44"/>
      <c r="EMK3" s="44"/>
      <c r="EML3" s="44"/>
      <c r="EMM3" s="44"/>
      <c r="EMN3" s="44"/>
      <c r="EMO3" s="44"/>
      <c r="EMP3" s="44"/>
      <c r="EMQ3" s="44"/>
      <c r="EMR3" s="44"/>
      <c r="EMS3" s="44"/>
      <c r="EMT3" s="44"/>
      <c r="EMU3" s="44"/>
      <c r="EMV3" s="44"/>
      <c r="EMW3" s="44"/>
      <c r="EMX3" s="44"/>
      <c r="EMY3" s="44"/>
      <c r="EMZ3" s="44"/>
      <c r="ENA3" s="44"/>
      <c r="ENB3" s="44"/>
      <c r="ENC3" s="44"/>
      <c r="END3" s="44"/>
      <c r="ENE3" s="44"/>
      <c r="ENF3" s="44"/>
      <c r="ENG3" s="44"/>
      <c r="ENH3" s="44"/>
      <c r="ENI3" s="44"/>
      <c r="ENJ3" s="44"/>
      <c r="ENK3" s="44"/>
      <c r="ENL3" s="44"/>
      <c r="ENM3" s="44"/>
      <c r="ENN3" s="44"/>
      <c r="ENO3" s="44"/>
      <c r="ENP3" s="44"/>
      <c r="ENQ3" s="44"/>
      <c r="ENR3" s="44"/>
      <c r="ENS3" s="44"/>
      <c r="ENT3" s="44"/>
      <c r="ENU3" s="44"/>
      <c r="ENV3" s="44"/>
      <c r="ENW3" s="44"/>
      <c r="ENX3" s="44"/>
      <c r="ENY3" s="44"/>
      <c r="ENZ3" s="44"/>
      <c r="EOA3" s="44"/>
      <c r="EOB3" s="44"/>
      <c r="EOC3" s="44"/>
      <c r="EOD3" s="44"/>
      <c r="EOE3" s="44"/>
      <c r="EOF3" s="44"/>
      <c r="EOG3" s="44"/>
      <c r="EOH3" s="44"/>
      <c r="EOI3" s="44"/>
      <c r="EOJ3" s="44"/>
      <c r="EOK3" s="44"/>
      <c r="EOL3" s="44"/>
      <c r="EOM3" s="44"/>
      <c r="EON3" s="44"/>
      <c r="EOO3" s="44"/>
      <c r="EOP3" s="44"/>
      <c r="EOQ3" s="44"/>
      <c r="EOR3" s="44"/>
      <c r="EOS3" s="44"/>
      <c r="EOT3" s="44"/>
      <c r="EOU3" s="44"/>
      <c r="EOV3" s="44"/>
      <c r="EOW3" s="44"/>
      <c r="EOX3" s="44"/>
      <c r="EOY3" s="44"/>
      <c r="EOZ3" s="44"/>
      <c r="EPA3" s="44"/>
      <c r="EPB3" s="44"/>
      <c r="EPC3" s="44"/>
      <c r="EPD3" s="44"/>
      <c r="EPE3" s="44"/>
      <c r="EPF3" s="44"/>
      <c r="EPG3" s="44"/>
      <c r="EPH3" s="44"/>
      <c r="EPI3" s="44"/>
      <c r="EPJ3" s="44"/>
      <c r="EPK3" s="44"/>
      <c r="EPL3" s="44"/>
      <c r="EPM3" s="44"/>
      <c r="EPN3" s="44"/>
      <c r="EPO3" s="44"/>
      <c r="EPP3" s="44"/>
      <c r="EPQ3" s="44"/>
      <c r="EPR3" s="44"/>
      <c r="EPS3" s="44"/>
      <c r="EPT3" s="44"/>
      <c r="EPU3" s="44"/>
      <c r="EPV3" s="44"/>
      <c r="EPW3" s="44"/>
      <c r="EPX3" s="44"/>
      <c r="EPY3" s="44"/>
      <c r="EPZ3" s="44"/>
      <c r="EQA3" s="44"/>
      <c r="EQB3" s="44"/>
      <c r="EQC3" s="44"/>
      <c r="EQD3" s="44"/>
      <c r="EQE3" s="44"/>
      <c r="EQF3" s="44"/>
      <c r="EQG3" s="44"/>
      <c r="EQH3" s="44"/>
      <c r="EQI3" s="44"/>
      <c r="EQJ3" s="44"/>
      <c r="EQK3" s="44"/>
      <c r="EQL3" s="44"/>
      <c r="EQM3" s="44"/>
      <c r="EQN3" s="44"/>
      <c r="EQO3" s="44"/>
      <c r="EQP3" s="44"/>
      <c r="EQQ3" s="44"/>
      <c r="EQR3" s="44"/>
      <c r="EQS3" s="44"/>
      <c r="EQT3" s="44"/>
      <c r="EQU3" s="44"/>
      <c r="EQV3" s="44"/>
      <c r="EQW3" s="44"/>
      <c r="EQX3" s="44"/>
      <c r="EQY3" s="44"/>
      <c r="EQZ3" s="44"/>
      <c r="ERA3" s="44"/>
      <c r="ERB3" s="44"/>
      <c r="ERC3" s="44"/>
      <c r="ERD3" s="44"/>
      <c r="ERE3" s="44"/>
      <c r="ERF3" s="44"/>
      <c r="ERG3" s="44"/>
      <c r="ERH3" s="44"/>
      <c r="ERI3" s="44"/>
      <c r="ERJ3" s="44"/>
      <c r="ERK3" s="44"/>
      <c r="ERL3" s="44"/>
      <c r="ERM3" s="44"/>
      <c r="ERN3" s="44"/>
      <c r="ERO3" s="44"/>
      <c r="ERP3" s="44"/>
      <c r="ERQ3" s="44"/>
      <c r="ERR3" s="44"/>
      <c r="ERS3" s="44"/>
      <c r="ERT3" s="44"/>
      <c r="ERU3" s="44"/>
      <c r="ERV3" s="44"/>
      <c r="ERW3" s="44"/>
      <c r="ERX3" s="44"/>
      <c r="ERY3" s="44"/>
      <c r="ERZ3" s="44"/>
      <c r="ESA3" s="44"/>
      <c r="ESB3" s="44"/>
      <c r="ESC3" s="44"/>
      <c r="ESD3" s="44"/>
      <c r="ESE3" s="44"/>
      <c r="ESF3" s="44"/>
      <c r="ESG3" s="44"/>
      <c r="ESH3" s="44"/>
      <c r="ESI3" s="44"/>
      <c r="ESJ3" s="44"/>
      <c r="ESK3" s="44"/>
      <c r="ESL3" s="44"/>
      <c r="ESM3" s="44"/>
      <c r="ESN3" s="44"/>
      <c r="ESO3" s="44"/>
      <c r="ESP3" s="44"/>
      <c r="ESQ3" s="44"/>
      <c r="ESR3" s="44"/>
      <c r="ESS3" s="44"/>
      <c r="EST3" s="44"/>
      <c r="ESU3" s="44"/>
      <c r="ESV3" s="44"/>
      <c r="ESW3" s="44"/>
      <c r="ESX3" s="44"/>
      <c r="ESY3" s="44"/>
      <c r="ESZ3" s="44"/>
      <c r="ETA3" s="44"/>
      <c r="ETB3" s="44"/>
      <c r="ETC3" s="44"/>
      <c r="ETD3" s="44"/>
      <c r="ETE3" s="44"/>
      <c r="ETF3" s="44"/>
      <c r="ETG3" s="44"/>
      <c r="ETH3" s="44"/>
      <c r="ETI3" s="44"/>
      <c r="ETJ3" s="44"/>
      <c r="ETK3" s="44"/>
      <c r="ETL3" s="44"/>
      <c r="ETM3" s="44"/>
      <c r="ETN3" s="44"/>
      <c r="ETO3" s="44"/>
      <c r="ETP3" s="44"/>
      <c r="ETQ3" s="44"/>
      <c r="ETR3" s="44"/>
      <c r="ETS3" s="44"/>
      <c r="ETT3" s="44"/>
      <c r="ETU3" s="44"/>
      <c r="ETV3" s="44"/>
      <c r="ETW3" s="44"/>
      <c r="ETX3" s="44"/>
      <c r="ETY3" s="44"/>
      <c r="ETZ3" s="44"/>
      <c r="EUA3" s="44"/>
      <c r="EUB3" s="44"/>
      <c r="EUC3" s="44"/>
      <c r="EUD3" s="44"/>
      <c r="EUE3" s="44"/>
      <c r="EUF3" s="44"/>
      <c r="EUG3" s="44"/>
      <c r="EUH3" s="44"/>
      <c r="EUI3" s="44"/>
      <c r="EUJ3" s="44"/>
      <c r="EUK3" s="44"/>
      <c r="EUL3" s="44"/>
      <c r="EUM3" s="44"/>
      <c r="EUN3" s="44"/>
      <c r="EUO3" s="44"/>
      <c r="EUP3" s="44"/>
      <c r="EUQ3" s="44"/>
      <c r="EUR3" s="44"/>
      <c r="EUS3" s="44"/>
      <c r="EUT3" s="44"/>
      <c r="EUU3" s="44"/>
      <c r="EUV3" s="44"/>
      <c r="EUW3" s="44"/>
      <c r="EUX3" s="44"/>
      <c r="EUY3" s="44"/>
      <c r="EUZ3" s="44"/>
      <c r="EVA3" s="44"/>
      <c r="EVB3" s="44"/>
      <c r="EVC3" s="44"/>
      <c r="EVD3" s="44"/>
      <c r="EVE3" s="44"/>
      <c r="EVF3" s="44"/>
      <c r="EVG3" s="44"/>
      <c r="EVH3" s="44"/>
      <c r="EVI3" s="44"/>
      <c r="EVJ3" s="44"/>
      <c r="EVK3" s="44"/>
      <c r="EVL3" s="44"/>
      <c r="EVM3" s="44"/>
      <c r="EVN3" s="44"/>
      <c r="EVO3" s="44"/>
      <c r="EVP3" s="44"/>
      <c r="EVQ3" s="44"/>
      <c r="EVR3" s="44"/>
      <c r="EVS3" s="44"/>
      <c r="EVT3" s="44"/>
      <c r="EVU3" s="44"/>
      <c r="EVV3" s="44"/>
      <c r="EVW3" s="44"/>
      <c r="EVX3" s="44"/>
      <c r="EVY3" s="44"/>
      <c r="EVZ3" s="44"/>
      <c r="EWA3" s="44"/>
      <c r="EWB3" s="44"/>
      <c r="EWC3" s="44"/>
      <c r="EWD3" s="44"/>
      <c r="EWE3" s="44"/>
      <c r="EWF3" s="44"/>
      <c r="EWG3" s="44"/>
      <c r="EWH3" s="44"/>
      <c r="EWI3" s="44"/>
      <c r="EWJ3" s="44"/>
      <c r="EWK3" s="44"/>
      <c r="EWL3" s="44"/>
      <c r="EWM3" s="44"/>
      <c r="EWN3" s="44"/>
      <c r="EWO3" s="44"/>
      <c r="EWP3" s="44"/>
      <c r="EWQ3" s="44"/>
      <c r="EWR3" s="44"/>
      <c r="EWS3" s="44"/>
      <c r="EWT3" s="44"/>
      <c r="EWU3" s="44"/>
      <c r="EWV3" s="44"/>
      <c r="EWW3" s="44"/>
      <c r="EWX3" s="44"/>
      <c r="EWY3" s="44"/>
      <c r="EWZ3" s="44"/>
      <c r="EXA3" s="44"/>
      <c r="EXB3" s="44"/>
      <c r="EXC3" s="44"/>
      <c r="EXD3" s="44"/>
      <c r="EXE3" s="44"/>
      <c r="EXF3" s="44"/>
      <c r="EXG3" s="44"/>
      <c r="EXH3" s="44"/>
      <c r="EXI3" s="44"/>
      <c r="EXJ3" s="44"/>
      <c r="EXK3" s="44"/>
      <c r="EXL3" s="44"/>
      <c r="EXM3" s="44"/>
      <c r="EXN3" s="44"/>
      <c r="EXO3" s="44"/>
      <c r="EXP3" s="44"/>
      <c r="EXQ3" s="44"/>
      <c r="EXR3" s="44"/>
      <c r="EXS3" s="44"/>
      <c r="EXT3" s="44"/>
      <c r="EXU3" s="44"/>
      <c r="EXV3" s="44"/>
      <c r="EXW3" s="44"/>
      <c r="EXX3" s="44"/>
      <c r="EXY3" s="44"/>
      <c r="EXZ3" s="44"/>
      <c r="EYA3" s="44"/>
      <c r="EYB3" s="44"/>
      <c r="EYC3" s="44"/>
      <c r="EYD3" s="44"/>
      <c r="EYE3" s="44"/>
      <c r="EYF3" s="44"/>
      <c r="EYG3" s="44"/>
      <c r="EYH3" s="44"/>
      <c r="EYI3" s="44"/>
      <c r="EYJ3" s="44"/>
      <c r="EYK3" s="44"/>
      <c r="EYL3" s="44"/>
      <c r="EYM3" s="44"/>
      <c r="EYN3" s="44"/>
      <c r="EYO3" s="44"/>
      <c r="EYP3" s="44"/>
      <c r="EYQ3" s="44"/>
      <c r="EYR3" s="44"/>
      <c r="EYS3" s="44"/>
      <c r="EYT3" s="44"/>
      <c r="EYU3" s="44"/>
      <c r="EYV3" s="44"/>
      <c r="EYW3" s="44"/>
      <c r="EYX3" s="44"/>
      <c r="EYY3" s="44"/>
      <c r="EYZ3" s="44"/>
      <c r="EZA3" s="44"/>
      <c r="EZB3" s="44"/>
      <c r="EZC3" s="44"/>
      <c r="EZD3" s="44"/>
      <c r="EZE3" s="44"/>
      <c r="EZF3" s="44"/>
      <c r="EZG3" s="44"/>
      <c r="EZH3" s="44"/>
      <c r="EZI3" s="44"/>
      <c r="EZJ3" s="44"/>
      <c r="EZK3" s="44"/>
      <c r="EZL3" s="44"/>
      <c r="EZM3" s="44"/>
      <c r="EZN3" s="44"/>
      <c r="EZO3" s="44"/>
      <c r="EZP3" s="44"/>
      <c r="EZQ3" s="44"/>
      <c r="EZR3" s="44"/>
      <c r="EZS3" s="44"/>
      <c r="EZT3" s="44"/>
      <c r="EZU3" s="44"/>
      <c r="EZV3" s="44"/>
      <c r="EZW3" s="44"/>
      <c r="EZX3" s="44"/>
      <c r="EZY3" s="44"/>
      <c r="EZZ3" s="44"/>
      <c r="FAA3" s="44"/>
      <c r="FAB3" s="44"/>
      <c r="FAC3" s="44"/>
      <c r="FAD3" s="44"/>
      <c r="FAE3" s="44"/>
      <c r="FAF3" s="44"/>
      <c r="FAG3" s="44"/>
      <c r="FAH3" s="44"/>
      <c r="FAI3" s="44"/>
      <c r="FAJ3" s="44"/>
      <c r="FAK3" s="44"/>
      <c r="FAL3" s="44"/>
      <c r="FAM3" s="44"/>
      <c r="FAN3" s="44"/>
      <c r="FAO3" s="44"/>
      <c r="FAP3" s="44"/>
      <c r="FAQ3" s="44"/>
      <c r="FAR3" s="44"/>
      <c r="FAS3" s="44"/>
      <c r="FAT3" s="44"/>
      <c r="FAU3" s="44"/>
      <c r="FAV3" s="44"/>
      <c r="FAW3" s="44"/>
      <c r="FAX3" s="44"/>
      <c r="FAY3" s="44"/>
      <c r="FAZ3" s="44"/>
      <c r="FBA3" s="44"/>
      <c r="FBB3" s="44"/>
      <c r="FBC3" s="44"/>
      <c r="FBD3" s="44"/>
      <c r="FBE3" s="44"/>
      <c r="FBF3" s="44"/>
      <c r="FBG3" s="44"/>
      <c r="FBH3" s="44"/>
      <c r="FBI3" s="44"/>
      <c r="FBJ3" s="44"/>
      <c r="FBK3" s="44"/>
      <c r="FBL3" s="44"/>
      <c r="FBM3" s="44"/>
      <c r="FBN3" s="44"/>
      <c r="FBO3" s="44"/>
      <c r="FBP3" s="44"/>
      <c r="FBQ3" s="44"/>
      <c r="FBR3" s="44"/>
      <c r="FBS3" s="44"/>
      <c r="FBT3" s="44"/>
      <c r="FBU3" s="44"/>
      <c r="FBV3" s="44"/>
      <c r="FBW3" s="44"/>
      <c r="FBX3" s="44"/>
      <c r="FBY3" s="44"/>
      <c r="FBZ3" s="44"/>
      <c r="FCA3" s="44"/>
      <c r="FCB3" s="44"/>
      <c r="FCC3" s="44"/>
      <c r="FCD3" s="44"/>
      <c r="FCE3" s="44"/>
      <c r="FCF3" s="44"/>
      <c r="FCG3" s="44"/>
      <c r="FCH3" s="44"/>
      <c r="FCI3" s="44"/>
      <c r="FCJ3" s="44"/>
      <c r="FCK3" s="44"/>
      <c r="FCL3" s="44"/>
      <c r="FCM3" s="44"/>
      <c r="FCN3" s="44"/>
      <c r="FCO3" s="44"/>
      <c r="FCP3" s="44"/>
      <c r="FCQ3" s="44"/>
      <c r="FCR3" s="44"/>
      <c r="FCS3" s="44"/>
      <c r="FCT3" s="44"/>
      <c r="FCU3" s="44"/>
      <c r="FCV3" s="44"/>
      <c r="FCW3" s="44"/>
      <c r="FCX3" s="44"/>
      <c r="FCY3" s="44"/>
      <c r="FCZ3" s="44"/>
      <c r="FDA3" s="44"/>
      <c r="FDB3" s="44"/>
      <c r="FDC3" s="44"/>
      <c r="FDD3" s="44"/>
      <c r="FDE3" s="44"/>
      <c r="FDF3" s="44"/>
      <c r="FDG3" s="44"/>
      <c r="FDH3" s="44"/>
      <c r="FDI3" s="44"/>
      <c r="FDJ3" s="44"/>
      <c r="FDK3" s="44"/>
      <c r="FDL3" s="44"/>
      <c r="FDM3" s="44"/>
      <c r="FDN3" s="44"/>
      <c r="FDO3" s="44"/>
      <c r="FDP3" s="44"/>
      <c r="FDQ3" s="44"/>
      <c r="FDR3" s="44"/>
      <c r="FDS3" s="44"/>
      <c r="FDT3" s="44"/>
      <c r="FDU3" s="44"/>
      <c r="FDV3" s="44"/>
      <c r="FDW3" s="44"/>
      <c r="FDX3" s="44"/>
      <c r="FDY3" s="44"/>
      <c r="FDZ3" s="44"/>
      <c r="FEA3" s="44"/>
      <c r="FEB3" s="44"/>
      <c r="FEC3" s="44"/>
      <c r="FED3" s="44"/>
      <c r="FEE3" s="44"/>
      <c r="FEF3" s="44"/>
      <c r="FEG3" s="44"/>
      <c r="FEH3" s="44"/>
      <c r="FEI3" s="44"/>
      <c r="FEJ3" s="44"/>
      <c r="FEK3" s="44"/>
      <c r="FEL3" s="44"/>
      <c r="FEM3" s="44"/>
      <c r="FEN3" s="44"/>
      <c r="FEO3" s="44"/>
      <c r="FEP3" s="44"/>
      <c r="FEQ3" s="44"/>
      <c r="FER3" s="44"/>
      <c r="FES3" s="44"/>
      <c r="FET3" s="44"/>
      <c r="FEU3" s="44"/>
      <c r="FEV3" s="44"/>
      <c r="FEW3" s="44"/>
      <c r="FEX3" s="44"/>
      <c r="FEY3" s="44"/>
      <c r="FEZ3" s="44"/>
      <c r="FFA3" s="44"/>
      <c r="FFB3" s="44"/>
      <c r="FFC3" s="44"/>
      <c r="FFD3" s="44"/>
      <c r="FFE3" s="44"/>
      <c r="FFF3" s="44"/>
      <c r="FFG3" s="44"/>
      <c r="FFH3" s="44"/>
      <c r="FFI3" s="44"/>
      <c r="FFJ3" s="44"/>
      <c r="FFK3" s="44"/>
      <c r="FFL3" s="44"/>
      <c r="FFM3" s="44"/>
      <c r="FFN3" s="44"/>
      <c r="FFO3" s="44"/>
      <c r="FFP3" s="44"/>
      <c r="FFQ3" s="44"/>
      <c r="FFR3" s="44"/>
      <c r="FFS3" s="44"/>
      <c r="FFT3" s="44"/>
      <c r="FFU3" s="44"/>
      <c r="FFV3" s="44"/>
      <c r="FFW3" s="44"/>
      <c r="FFX3" s="44"/>
      <c r="FFY3" s="44"/>
      <c r="FFZ3" s="44"/>
      <c r="FGA3" s="44"/>
      <c r="FGB3" s="44"/>
      <c r="FGC3" s="44"/>
      <c r="FGD3" s="44"/>
      <c r="FGE3" s="44"/>
      <c r="FGF3" s="44"/>
      <c r="FGG3" s="44"/>
      <c r="FGH3" s="44"/>
      <c r="FGI3" s="44"/>
      <c r="FGJ3" s="44"/>
      <c r="FGK3" s="44"/>
      <c r="FGL3" s="44"/>
      <c r="FGM3" s="44"/>
      <c r="FGN3" s="44"/>
      <c r="FGO3" s="44"/>
      <c r="FGP3" s="44"/>
      <c r="FGQ3" s="44"/>
      <c r="FGR3" s="44"/>
      <c r="FGS3" s="44"/>
      <c r="FGT3" s="44"/>
      <c r="FGU3" s="44"/>
      <c r="FGV3" s="44"/>
      <c r="FGW3" s="44"/>
      <c r="FGX3" s="44"/>
      <c r="FGY3" s="44"/>
      <c r="FGZ3" s="44"/>
      <c r="FHA3" s="44"/>
      <c r="FHB3" s="44"/>
      <c r="FHC3" s="44"/>
      <c r="FHD3" s="44"/>
      <c r="FHE3" s="44"/>
      <c r="FHF3" s="44"/>
      <c r="FHG3" s="44"/>
      <c r="FHH3" s="44"/>
      <c r="FHI3" s="44"/>
      <c r="FHJ3" s="44"/>
      <c r="FHK3" s="44"/>
      <c r="FHL3" s="44"/>
      <c r="FHM3" s="44"/>
      <c r="FHN3" s="44"/>
      <c r="FHO3" s="44"/>
      <c r="FHP3" s="44"/>
      <c r="FHQ3" s="44"/>
      <c r="FHR3" s="44"/>
      <c r="FHS3" s="44"/>
      <c r="FHT3" s="44"/>
      <c r="FHU3" s="44"/>
      <c r="FHV3" s="44"/>
      <c r="FHW3" s="44"/>
      <c r="FHX3" s="44"/>
      <c r="FHY3" s="44"/>
      <c r="FHZ3" s="44"/>
      <c r="FIA3" s="44"/>
      <c r="FIB3" s="44"/>
      <c r="FIC3" s="44"/>
      <c r="FID3" s="44"/>
      <c r="FIE3" s="44"/>
      <c r="FIF3" s="44"/>
      <c r="FIG3" s="44"/>
      <c r="FIH3" s="44"/>
      <c r="FII3" s="44"/>
      <c r="FIJ3" s="44"/>
      <c r="FIK3" s="44"/>
      <c r="FIL3" s="44"/>
      <c r="FIM3" s="44"/>
      <c r="FIN3" s="44"/>
      <c r="FIO3" s="44"/>
      <c r="FIP3" s="44"/>
      <c r="FIQ3" s="44"/>
      <c r="FIR3" s="44"/>
      <c r="FIS3" s="44"/>
      <c r="FIT3" s="44"/>
      <c r="FIU3" s="44"/>
      <c r="FIV3" s="44"/>
      <c r="FIW3" s="44"/>
      <c r="FIX3" s="44"/>
      <c r="FIY3" s="44"/>
      <c r="FIZ3" s="44"/>
      <c r="FJA3" s="44"/>
      <c r="FJB3" s="44"/>
      <c r="FJC3" s="44"/>
      <c r="FJD3" s="44"/>
      <c r="FJE3" s="44"/>
      <c r="FJF3" s="44"/>
      <c r="FJG3" s="44"/>
      <c r="FJH3" s="44"/>
      <c r="FJI3" s="44"/>
      <c r="FJJ3" s="44"/>
      <c r="FJK3" s="44"/>
      <c r="FJL3" s="44"/>
      <c r="FJM3" s="44"/>
      <c r="FJN3" s="44"/>
      <c r="FJO3" s="44"/>
      <c r="FJP3" s="44"/>
      <c r="FJQ3" s="44"/>
      <c r="FJR3" s="44"/>
      <c r="FJS3" s="44"/>
      <c r="FJT3" s="44"/>
      <c r="FJU3" s="44"/>
      <c r="FJV3" s="44"/>
      <c r="FJW3" s="44"/>
      <c r="FJX3" s="44"/>
      <c r="FJY3" s="44"/>
      <c r="FJZ3" s="44"/>
      <c r="FKA3" s="44"/>
      <c r="FKB3" s="44"/>
      <c r="FKC3" s="44"/>
      <c r="FKD3" s="44"/>
      <c r="FKE3" s="44"/>
      <c r="FKF3" s="44"/>
      <c r="FKG3" s="44"/>
      <c r="FKH3" s="44"/>
      <c r="FKI3" s="44"/>
      <c r="FKJ3" s="44"/>
      <c r="FKK3" s="44"/>
      <c r="FKL3" s="44"/>
      <c r="FKM3" s="44"/>
      <c r="FKN3" s="44"/>
      <c r="FKO3" s="44"/>
      <c r="FKP3" s="44"/>
      <c r="FKQ3" s="44"/>
      <c r="FKR3" s="44"/>
      <c r="FKS3" s="44"/>
      <c r="FKT3" s="44"/>
      <c r="FKU3" s="44"/>
      <c r="FKV3" s="44"/>
      <c r="FKW3" s="44"/>
      <c r="FKX3" s="44"/>
      <c r="FKY3" s="44"/>
      <c r="FKZ3" s="44"/>
      <c r="FLA3" s="44"/>
      <c r="FLB3" s="44"/>
      <c r="FLC3" s="44"/>
      <c r="FLD3" s="44"/>
      <c r="FLE3" s="44"/>
      <c r="FLF3" s="44"/>
      <c r="FLG3" s="44"/>
      <c r="FLH3" s="44"/>
      <c r="FLI3" s="44"/>
      <c r="FLJ3" s="44"/>
      <c r="FLK3" s="44"/>
      <c r="FLL3" s="44"/>
      <c r="FLM3" s="44"/>
      <c r="FLN3" s="44"/>
      <c r="FLO3" s="44"/>
      <c r="FLP3" s="44"/>
      <c r="FLQ3" s="44"/>
      <c r="FLR3" s="44"/>
      <c r="FLS3" s="44"/>
      <c r="FLT3" s="44"/>
      <c r="FLU3" s="44"/>
      <c r="FLV3" s="44"/>
      <c r="FLW3" s="44"/>
      <c r="FLX3" s="44"/>
      <c r="FLY3" s="44"/>
      <c r="FLZ3" s="44"/>
      <c r="FMA3" s="44"/>
      <c r="FMB3" s="44"/>
      <c r="FMC3" s="44"/>
      <c r="FMD3" s="44"/>
      <c r="FME3" s="44"/>
      <c r="FMF3" s="44"/>
      <c r="FMG3" s="44"/>
      <c r="FMH3" s="44"/>
      <c r="FMI3" s="44"/>
      <c r="FMJ3" s="44"/>
      <c r="FMK3" s="44"/>
      <c r="FML3" s="44"/>
      <c r="FMM3" s="44"/>
      <c r="FMN3" s="44"/>
      <c r="FMO3" s="44"/>
      <c r="FMP3" s="44"/>
      <c r="FMQ3" s="44"/>
      <c r="FMR3" s="44"/>
      <c r="FMS3" s="44"/>
      <c r="FMT3" s="44"/>
      <c r="FMU3" s="44"/>
      <c r="FMV3" s="44"/>
      <c r="FMW3" s="44"/>
      <c r="FMX3" s="44"/>
      <c r="FMY3" s="44"/>
      <c r="FMZ3" s="44"/>
      <c r="FNA3" s="44"/>
      <c r="FNB3" s="44"/>
      <c r="FNC3" s="44"/>
      <c r="FND3" s="44"/>
      <c r="FNE3" s="44"/>
      <c r="FNF3" s="44"/>
      <c r="FNG3" s="44"/>
      <c r="FNH3" s="44"/>
      <c r="FNI3" s="44"/>
      <c r="FNJ3" s="44"/>
      <c r="FNK3" s="44"/>
      <c r="FNL3" s="44"/>
      <c r="FNM3" s="44"/>
      <c r="FNN3" s="44"/>
      <c r="FNO3" s="44"/>
      <c r="FNP3" s="44"/>
      <c r="FNQ3" s="44"/>
      <c r="FNR3" s="44"/>
      <c r="FNS3" s="44"/>
      <c r="FNT3" s="44"/>
      <c r="FNU3" s="44"/>
      <c r="FNV3" s="44"/>
      <c r="FNW3" s="44"/>
      <c r="FNX3" s="44"/>
      <c r="FNY3" s="44"/>
      <c r="FNZ3" s="44"/>
      <c r="FOA3" s="44"/>
      <c r="FOB3" s="44"/>
      <c r="FOC3" s="44"/>
      <c r="FOD3" s="44"/>
      <c r="FOE3" s="44"/>
      <c r="FOF3" s="44"/>
      <c r="FOG3" s="44"/>
      <c r="FOH3" s="44"/>
      <c r="FOI3" s="44"/>
      <c r="FOJ3" s="44"/>
      <c r="FOK3" s="44"/>
      <c r="FOL3" s="44"/>
      <c r="FOM3" s="44"/>
      <c r="FON3" s="44"/>
      <c r="FOO3" s="44"/>
      <c r="FOP3" s="44"/>
      <c r="FOQ3" s="44"/>
      <c r="FOR3" s="44"/>
      <c r="FOS3" s="44"/>
      <c r="FOT3" s="44"/>
      <c r="FOU3" s="44"/>
      <c r="FOV3" s="44"/>
      <c r="FOW3" s="44"/>
      <c r="FOX3" s="44"/>
      <c r="FOY3" s="44"/>
      <c r="FOZ3" s="44"/>
      <c r="FPA3" s="44"/>
      <c r="FPB3" s="44"/>
      <c r="FPC3" s="44"/>
      <c r="FPD3" s="44"/>
      <c r="FPE3" s="44"/>
      <c r="FPF3" s="44"/>
      <c r="FPG3" s="44"/>
      <c r="FPH3" s="44"/>
      <c r="FPI3" s="44"/>
      <c r="FPJ3" s="44"/>
      <c r="FPK3" s="44"/>
      <c r="FPL3" s="44"/>
      <c r="FPM3" s="44"/>
      <c r="FPN3" s="44"/>
      <c r="FPO3" s="44"/>
      <c r="FPP3" s="44"/>
      <c r="FPQ3" s="44"/>
      <c r="FPR3" s="44"/>
      <c r="FPS3" s="44"/>
      <c r="FPT3" s="44"/>
      <c r="FPU3" s="44"/>
      <c r="FPV3" s="44"/>
      <c r="FPW3" s="44"/>
      <c r="FPX3" s="44"/>
      <c r="FPY3" s="44"/>
      <c r="FPZ3" s="44"/>
      <c r="FQA3" s="44"/>
      <c r="FQB3" s="44"/>
      <c r="FQC3" s="44"/>
      <c r="FQD3" s="44"/>
      <c r="FQE3" s="44"/>
      <c r="FQF3" s="44"/>
      <c r="FQG3" s="44"/>
      <c r="FQH3" s="44"/>
      <c r="FQI3" s="44"/>
      <c r="FQJ3" s="44"/>
      <c r="FQK3" s="44"/>
      <c r="FQL3" s="44"/>
      <c r="FQM3" s="44"/>
      <c r="FQN3" s="44"/>
      <c r="FQO3" s="44"/>
      <c r="FQP3" s="44"/>
      <c r="FQQ3" s="44"/>
      <c r="FQR3" s="44"/>
      <c r="FQS3" s="44"/>
      <c r="FQT3" s="44"/>
      <c r="FQU3" s="44"/>
      <c r="FQV3" s="44"/>
      <c r="FQW3" s="44"/>
      <c r="FQX3" s="44"/>
      <c r="FQY3" s="44"/>
      <c r="FQZ3" s="44"/>
      <c r="FRA3" s="44"/>
      <c r="FRB3" s="44"/>
      <c r="FRC3" s="44"/>
      <c r="FRD3" s="44"/>
      <c r="FRE3" s="44"/>
      <c r="FRF3" s="44"/>
      <c r="FRG3" s="44"/>
      <c r="FRH3" s="44"/>
      <c r="FRI3" s="44"/>
      <c r="FRJ3" s="44"/>
      <c r="FRK3" s="44"/>
      <c r="FRL3" s="44"/>
      <c r="FRM3" s="44"/>
      <c r="FRN3" s="44"/>
      <c r="FRO3" s="44"/>
      <c r="FRP3" s="44"/>
      <c r="FRQ3" s="44"/>
      <c r="FRR3" s="44"/>
      <c r="FRS3" s="44"/>
      <c r="FRT3" s="44"/>
      <c r="FRU3" s="44"/>
      <c r="FRV3" s="44"/>
      <c r="FRW3" s="44"/>
      <c r="FRX3" s="44"/>
      <c r="FRY3" s="44"/>
      <c r="FRZ3" s="44"/>
      <c r="FSA3" s="44"/>
      <c r="FSB3" s="44"/>
      <c r="FSC3" s="44"/>
      <c r="FSD3" s="44"/>
      <c r="FSE3" s="44"/>
      <c r="FSF3" s="44"/>
      <c r="FSG3" s="44"/>
      <c r="FSH3" s="44"/>
      <c r="FSI3" s="44"/>
      <c r="FSJ3" s="44"/>
      <c r="FSK3" s="44"/>
      <c r="FSL3" s="44"/>
      <c r="FSM3" s="44"/>
      <c r="FSN3" s="44"/>
      <c r="FSO3" s="44"/>
      <c r="FSP3" s="44"/>
      <c r="FSQ3" s="44"/>
      <c r="FSR3" s="44"/>
      <c r="FSS3" s="44"/>
      <c r="FST3" s="44"/>
      <c r="FSU3" s="44"/>
      <c r="FSV3" s="44"/>
      <c r="FSW3" s="44"/>
      <c r="FSX3" s="44"/>
      <c r="FSY3" s="44"/>
      <c r="FSZ3" s="44"/>
      <c r="FTA3" s="44"/>
      <c r="FTB3" s="44"/>
      <c r="FTC3" s="44"/>
      <c r="FTD3" s="44"/>
      <c r="FTE3" s="44"/>
      <c r="FTF3" s="44"/>
      <c r="FTG3" s="44"/>
      <c r="FTH3" s="44"/>
      <c r="FTI3" s="44"/>
      <c r="FTJ3" s="44"/>
      <c r="FTK3" s="44"/>
      <c r="FTL3" s="44"/>
      <c r="FTM3" s="44"/>
      <c r="FTN3" s="44"/>
      <c r="FTO3" s="44"/>
      <c r="FTP3" s="44"/>
      <c r="FTQ3" s="44"/>
      <c r="FTR3" s="44"/>
      <c r="FTS3" s="44"/>
      <c r="FTT3" s="44"/>
      <c r="FTU3" s="44"/>
      <c r="FTV3" s="44"/>
      <c r="FTW3" s="44"/>
      <c r="FTX3" s="44"/>
      <c r="FTY3" s="44"/>
      <c r="FTZ3" s="44"/>
      <c r="FUA3" s="44"/>
      <c r="FUB3" s="44"/>
      <c r="FUC3" s="44"/>
      <c r="FUD3" s="44"/>
      <c r="FUE3" s="44"/>
      <c r="FUF3" s="44"/>
      <c r="FUG3" s="44"/>
      <c r="FUH3" s="44"/>
      <c r="FUI3" s="44"/>
      <c r="FUJ3" s="44"/>
      <c r="FUK3" s="44"/>
      <c r="FUL3" s="44"/>
      <c r="FUM3" s="44"/>
      <c r="FUN3" s="44"/>
      <c r="FUO3" s="44"/>
      <c r="FUP3" s="44"/>
      <c r="FUQ3" s="44"/>
      <c r="FUR3" s="44"/>
      <c r="FUS3" s="44"/>
      <c r="FUT3" s="44"/>
      <c r="FUU3" s="44"/>
      <c r="FUV3" s="44"/>
      <c r="FUW3" s="44"/>
      <c r="FUX3" s="44"/>
      <c r="FUY3" s="44"/>
      <c r="FUZ3" s="44"/>
      <c r="FVA3" s="44"/>
      <c r="FVB3" s="44"/>
      <c r="FVC3" s="44"/>
      <c r="FVD3" s="44"/>
      <c r="FVE3" s="44"/>
      <c r="FVF3" s="44"/>
      <c r="FVG3" s="44"/>
      <c r="FVH3" s="44"/>
      <c r="FVI3" s="44"/>
      <c r="FVJ3" s="44"/>
      <c r="FVK3" s="44"/>
      <c r="FVL3" s="44"/>
      <c r="FVM3" s="44"/>
      <c r="FVN3" s="44"/>
      <c r="FVO3" s="44"/>
      <c r="FVP3" s="44"/>
      <c r="FVQ3" s="44"/>
      <c r="FVR3" s="44"/>
      <c r="FVS3" s="44"/>
      <c r="FVT3" s="44"/>
      <c r="FVU3" s="44"/>
      <c r="FVV3" s="44"/>
      <c r="FVW3" s="44"/>
      <c r="FVX3" s="44"/>
      <c r="FVY3" s="44"/>
      <c r="FVZ3" s="44"/>
      <c r="FWA3" s="44"/>
      <c r="FWB3" s="44"/>
      <c r="FWC3" s="44"/>
      <c r="FWD3" s="44"/>
      <c r="FWE3" s="44"/>
      <c r="FWF3" s="44"/>
      <c r="FWG3" s="44"/>
      <c r="FWH3" s="44"/>
      <c r="FWI3" s="44"/>
      <c r="FWJ3" s="44"/>
      <c r="FWK3" s="44"/>
      <c r="FWL3" s="44"/>
      <c r="FWM3" s="44"/>
      <c r="FWN3" s="44"/>
      <c r="FWO3" s="44"/>
      <c r="FWP3" s="44"/>
      <c r="FWQ3" s="44"/>
      <c r="FWR3" s="44"/>
      <c r="FWS3" s="44"/>
      <c r="FWT3" s="44"/>
      <c r="FWU3" s="44"/>
      <c r="FWV3" s="44"/>
      <c r="FWW3" s="44"/>
      <c r="FWX3" s="44"/>
      <c r="FWY3" s="44"/>
      <c r="FWZ3" s="44"/>
      <c r="FXA3" s="44"/>
      <c r="FXB3" s="44"/>
      <c r="FXC3" s="44"/>
      <c r="FXD3" s="44"/>
      <c r="FXE3" s="44"/>
      <c r="FXF3" s="44"/>
      <c r="FXG3" s="44"/>
      <c r="FXH3" s="44"/>
      <c r="FXI3" s="44"/>
      <c r="FXJ3" s="44"/>
      <c r="FXK3" s="44"/>
      <c r="FXL3" s="44"/>
      <c r="FXM3" s="44"/>
      <c r="FXN3" s="44"/>
      <c r="FXO3" s="44"/>
      <c r="FXP3" s="44"/>
      <c r="FXQ3" s="44"/>
      <c r="FXR3" s="44"/>
      <c r="FXS3" s="44"/>
      <c r="FXT3" s="44"/>
      <c r="FXU3" s="44"/>
      <c r="FXV3" s="44"/>
      <c r="FXW3" s="44"/>
      <c r="FXX3" s="44"/>
      <c r="FXY3" s="44"/>
      <c r="FXZ3" s="44"/>
      <c r="FYA3" s="44"/>
      <c r="FYB3" s="44"/>
      <c r="FYC3" s="44"/>
      <c r="FYD3" s="44"/>
      <c r="FYE3" s="44"/>
      <c r="FYF3" s="44"/>
      <c r="FYG3" s="44"/>
      <c r="FYH3" s="44"/>
      <c r="FYI3" s="44"/>
      <c r="FYJ3" s="44"/>
      <c r="FYK3" s="44"/>
      <c r="FYL3" s="44"/>
      <c r="FYM3" s="44"/>
      <c r="FYN3" s="44"/>
      <c r="FYO3" s="44"/>
      <c r="FYP3" s="44"/>
      <c r="FYQ3" s="44"/>
      <c r="FYR3" s="44"/>
      <c r="FYS3" s="44"/>
      <c r="FYT3" s="44"/>
      <c r="FYU3" s="44"/>
      <c r="FYV3" s="44"/>
      <c r="FYW3" s="44"/>
      <c r="FYX3" s="44"/>
      <c r="FYY3" s="44"/>
      <c r="FYZ3" s="44"/>
      <c r="FZA3" s="44"/>
      <c r="FZB3" s="44"/>
      <c r="FZC3" s="44"/>
      <c r="FZD3" s="44"/>
      <c r="FZE3" s="44"/>
      <c r="FZF3" s="44"/>
      <c r="FZG3" s="44"/>
      <c r="FZH3" s="44"/>
      <c r="FZI3" s="44"/>
      <c r="FZJ3" s="44"/>
      <c r="FZK3" s="44"/>
      <c r="FZL3" s="44"/>
      <c r="FZM3" s="44"/>
      <c r="FZN3" s="44"/>
      <c r="FZO3" s="44"/>
      <c r="FZP3" s="44"/>
      <c r="FZQ3" s="44"/>
      <c r="FZR3" s="44"/>
      <c r="FZS3" s="44"/>
      <c r="FZT3" s="44"/>
      <c r="FZU3" s="44"/>
      <c r="FZV3" s="44"/>
      <c r="FZW3" s="44"/>
      <c r="FZX3" s="44"/>
      <c r="FZY3" s="44"/>
      <c r="FZZ3" s="44"/>
      <c r="GAA3" s="44"/>
      <c r="GAB3" s="44"/>
      <c r="GAC3" s="44"/>
      <c r="GAD3" s="44"/>
      <c r="GAE3" s="44"/>
      <c r="GAF3" s="44"/>
      <c r="GAG3" s="44"/>
      <c r="GAH3" s="44"/>
      <c r="GAI3" s="44"/>
      <c r="GAJ3" s="44"/>
      <c r="GAK3" s="44"/>
      <c r="GAL3" s="44"/>
      <c r="GAM3" s="44"/>
      <c r="GAN3" s="44"/>
      <c r="GAO3" s="44"/>
      <c r="GAP3" s="44"/>
      <c r="GAQ3" s="44"/>
      <c r="GAR3" s="44"/>
      <c r="GAS3" s="44"/>
      <c r="GAT3" s="44"/>
      <c r="GAU3" s="44"/>
      <c r="GAV3" s="44"/>
      <c r="GAW3" s="44"/>
      <c r="GAX3" s="44"/>
      <c r="GAY3" s="44"/>
      <c r="GAZ3" s="44"/>
      <c r="GBA3" s="44"/>
      <c r="GBB3" s="44"/>
      <c r="GBC3" s="44"/>
      <c r="GBD3" s="44"/>
      <c r="GBE3" s="44"/>
      <c r="GBF3" s="44"/>
      <c r="GBG3" s="44"/>
      <c r="GBH3" s="44"/>
      <c r="GBI3" s="44"/>
      <c r="GBJ3" s="44"/>
      <c r="GBK3" s="44"/>
      <c r="GBL3" s="44"/>
      <c r="GBM3" s="44"/>
      <c r="GBN3" s="44"/>
      <c r="GBO3" s="44"/>
      <c r="GBP3" s="44"/>
      <c r="GBQ3" s="44"/>
      <c r="GBR3" s="44"/>
      <c r="GBS3" s="44"/>
      <c r="GBT3" s="44"/>
      <c r="GBU3" s="44"/>
      <c r="GBV3" s="44"/>
      <c r="GBW3" s="44"/>
      <c r="GBX3" s="44"/>
      <c r="GBY3" s="44"/>
      <c r="GBZ3" s="44"/>
      <c r="GCA3" s="44"/>
      <c r="GCB3" s="44"/>
      <c r="GCC3" s="44"/>
      <c r="GCD3" s="44"/>
      <c r="GCE3" s="44"/>
      <c r="GCF3" s="44"/>
      <c r="GCG3" s="44"/>
      <c r="GCH3" s="44"/>
      <c r="GCI3" s="44"/>
      <c r="GCJ3" s="44"/>
      <c r="GCK3" s="44"/>
      <c r="GCL3" s="44"/>
      <c r="GCM3" s="44"/>
      <c r="GCN3" s="44"/>
      <c r="GCO3" s="44"/>
      <c r="GCP3" s="44"/>
      <c r="GCQ3" s="44"/>
      <c r="GCR3" s="44"/>
      <c r="GCS3" s="44"/>
      <c r="GCT3" s="44"/>
      <c r="GCU3" s="44"/>
      <c r="GCV3" s="44"/>
      <c r="GCW3" s="44"/>
      <c r="GCX3" s="44"/>
      <c r="GCY3" s="44"/>
      <c r="GCZ3" s="44"/>
      <c r="GDA3" s="44"/>
      <c r="GDB3" s="44"/>
      <c r="GDC3" s="44"/>
      <c r="GDD3" s="44"/>
      <c r="GDE3" s="44"/>
      <c r="GDF3" s="44"/>
      <c r="GDG3" s="44"/>
      <c r="GDH3" s="44"/>
      <c r="GDI3" s="44"/>
      <c r="GDJ3" s="44"/>
      <c r="GDK3" s="44"/>
      <c r="GDL3" s="44"/>
      <c r="GDM3" s="44"/>
      <c r="GDN3" s="44"/>
      <c r="GDO3" s="44"/>
      <c r="GDP3" s="44"/>
      <c r="GDQ3" s="44"/>
      <c r="GDR3" s="44"/>
      <c r="GDS3" s="44"/>
      <c r="GDT3" s="44"/>
      <c r="GDU3" s="44"/>
      <c r="GDV3" s="44"/>
      <c r="GDW3" s="44"/>
      <c r="GDX3" s="44"/>
      <c r="GDY3" s="44"/>
      <c r="GDZ3" s="44"/>
      <c r="GEA3" s="44"/>
      <c r="GEB3" s="44"/>
      <c r="GEC3" s="44"/>
      <c r="GED3" s="44"/>
      <c r="GEE3" s="44"/>
      <c r="GEF3" s="44"/>
      <c r="GEG3" s="44"/>
      <c r="GEH3" s="44"/>
      <c r="GEI3" s="44"/>
      <c r="GEJ3" s="44"/>
      <c r="GEK3" s="44"/>
      <c r="GEL3" s="44"/>
      <c r="GEM3" s="44"/>
      <c r="GEN3" s="44"/>
      <c r="GEO3" s="44"/>
      <c r="GEP3" s="44"/>
      <c r="GEQ3" s="44"/>
      <c r="GER3" s="44"/>
      <c r="GES3" s="44"/>
      <c r="GET3" s="44"/>
      <c r="GEU3" s="44"/>
      <c r="GEV3" s="44"/>
      <c r="GEW3" s="44"/>
      <c r="GEX3" s="44"/>
      <c r="GEY3" s="44"/>
      <c r="GEZ3" s="44"/>
      <c r="GFA3" s="44"/>
      <c r="GFB3" s="44"/>
      <c r="GFC3" s="44"/>
      <c r="GFD3" s="44"/>
      <c r="GFE3" s="44"/>
      <c r="GFF3" s="44"/>
      <c r="GFG3" s="44"/>
      <c r="GFH3" s="44"/>
      <c r="GFI3" s="44"/>
      <c r="GFJ3" s="44"/>
      <c r="GFK3" s="44"/>
      <c r="GFL3" s="44"/>
      <c r="GFM3" s="44"/>
      <c r="GFN3" s="44"/>
      <c r="GFO3" s="44"/>
      <c r="GFP3" s="44"/>
      <c r="GFQ3" s="44"/>
      <c r="GFR3" s="44"/>
      <c r="GFS3" s="44"/>
      <c r="GFT3" s="44"/>
      <c r="GFU3" s="44"/>
      <c r="GFV3" s="44"/>
      <c r="GFW3" s="44"/>
      <c r="GFX3" s="44"/>
      <c r="GFY3" s="44"/>
      <c r="GFZ3" s="44"/>
      <c r="GGA3" s="44"/>
      <c r="GGB3" s="44"/>
      <c r="GGC3" s="44"/>
      <c r="GGD3" s="44"/>
      <c r="GGE3" s="44"/>
      <c r="GGF3" s="44"/>
      <c r="GGG3" s="44"/>
      <c r="GGH3" s="44"/>
      <c r="GGI3" s="44"/>
      <c r="GGJ3" s="44"/>
      <c r="GGK3" s="44"/>
      <c r="GGL3" s="44"/>
      <c r="GGM3" s="44"/>
      <c r="GGN3" s="44"/>
      <c r="GGO3" s="44"/>
      <c r="GGP3" s="44"/>
      <c r="GGQ3" s="44"/>
      <c r="GGR3" s="44"/>
      <c r="GGS3" s="44"/>
      <c r="GGT3" s="44"/>
      <c r="GGU3" s="44"/>
      <c r="GGV3" s="44"/>
      <c r="GGW3" s="44"/>
      <c r="GGX3" s="44"/>
      <c r="GGY3" s="44"/>
      <c r="GGZ3" s="44"/>
      <c r="GHA3" s="44"/>
      <c r="GHB3" s="44"/>
      <c r="GHC3" s="44"/>
      <c r="GHD3" s="44"/>
      <c r="GHE3" s="44"/>
      <c r="GHF3" s="44"/>
      <c r="GHG3" s="44"/>
      <c r="GHH3" s="44"/>
      <c r="GHI3" s="44"/>
      <c r="GHJ3" s="44"/>
      <c r="GHK3" s="44"/>
      <c r="GHL3" s="44"/>
      <c r="GHM3" s="44"/>
      <c r="GHN3" s="44"/>
      <c r="GHO3" s="44"/>
      <c r="GHP3" s="44"/>
      <c r="GHQ3" s="44"/>
      <c r="GHR3" s="44"/>
      <c r="GHS3" s="44"/>
      <c r="GHT3" s="44"/>
      <c r="GHU3" s="44"/>
      <c r="GHV3" s="44"/>
      <c r="GHW3" s="44"/>
      <c r="GHX3" s="44"/>
      <c r="GHY3" s="44"/>
      <c r="GHZ3" s="44"/>
      <c r="GIA3" s="44"/>
      <c r="GIB3" s="44"/>
      <c r="GIC3" s="44"/>
      <c r="GID3" s="44"/>
      <c r="GIE3" s="44"/>
      <c r="GIF3" s="44"/>
      <c r="GIG3" s="44"/>
      <c r="GIH3" s="44"/>
      <c r="GII3" s="44"/>
      <c r="GIJ3" s="44"/>
      <c r="GIK3" s="44"/>
      <c r="GIL3" s="44"/>
      <c r="GIM3" s="44"/>
      <c r="GIN3" s="44"/>
      <c r="GIO3" s="44"/>
      <c r="GIP3" s="44"/>
      <c r="GIQ3" s="44"/>
      <c r="GIR3" s="44"/>
      <c r="GIS3" s="44"/>
      <c r="GIT3" s="44"/>
      <c r="GIU3" s="44"/>
      <c r="GIV3" s="44"/>
      <c r="GIW3" s="44"/>
      <c r="GIX3" s="44"/>
      <c r="GIY3" s="44"/>
      <c r="GIZ3" s="44"/>
      <c r="GJA3" s="44"/>
      <c r="GJB3" s="44"/>
      <c r="GJC3" s="44"/>
      <c r="GJD3" s="44"/>
      <c r="GJE3" s="44"/>
      <c r="GJF3" s="44"/>
      <c r="GJG3" s="44"/>
      <c r="GJH3" s="44"/>
      <c r="GJI3" s="44"/>
      <c r="GJJ3" s="44"/>
      <c r="GJK3" s="44"/>
      <c r="GJL3" s="44"/>
      <c r="GJM3" s="44"/>
      <c r="GJN3" s="44"/>
      <c r="GJO3" s="44"/>
      <c r="GJP3" s="44"/>
      <c r="GJQ3" s="44"/>
      <c r="GJR3" s="44"/>
      <c r="GJS3" s="44"/>
      <c r="GJT3" s="44"/>
      <c r="GJU3" s="44"/>
      <c r="GJV3" s="44"/>
      <c r="GJW3" s="44"/>
      <c r="GJX3" s="44"/>
      <c r="GJY3" s="44"/>
      <c r="GJZ3" s="44"/>
      <c r="GKA3" s="44"/>
      <c r="GKB3" s="44"/>
      <c r="GKC3" s="44"/>
      <c r="GKD3" s="44"/>
      <c r="GKE3" s="44"/>
      <c r="GKF3" s="44"/>
      <c r="GKG3" s="44"/>
      <c r="GKH3" s="44"/>
      <c r="GKI3" s="44"/>
      <c r="GKJ3" s="44"/>
      <c r="GKK3" s="44"/>
      <c r="GKL3" s="44"/>
      <c r="GKM3" s="44"/>
      <c r="GKN3" s="44"/>
      <c r="GKO3" s="44"/>
      <c r="GKP3" s="44"/>
      <c r="GKQ3" s="44"/>
      <c r="GKR3" s="44"/>
      <c r="GKS3" s="44"/>
      <c r="GKT3" s="44"/>
      <c r="GKU3" s="44"/>
      <c r="GKV3" s="44"/>
      <c r="GKW3" s="44"/>
      <c r="GKX3" s="44"/>
      <c r="GKY3" s="44"/>
      <c r="GKZ3" s="44"/>
      <c r="GLA3" s="44"/>
      <c r="GLB3" s="44"/>
      <c r="GLC3" s="44"/>
      <c r="GLD3" s="44"/>
      <c r="GLE3" s="44"/>
      <c r="GLF3" s="44"/>
      <c r="GLG3" s="44"/>
      <c r="GLH3" s="44"/>
      <c r="GLI3" s="44"/>
      <c r="GLJ3" s="44"/>
      <c r="GLK3" s="44"/>
      <c r="GLL3" s="44"/>
      <c r="GLM3" s="44"/>
      <c r="GLN3" s="44"/>
      <c r="GLO3" s="44"/>
      <c r="GLP3" s="44"/>
      <c r="GLQ3" s="44"/>
      <c r="GLR3" s="44"/>
      <c r="GLS3" s="44"/>
      <c r="GLT3" s="44"/>
      <c r="GLU3" s="44"/>
      <c r="GLV3" s="44"/>
      <c r="GLW3" s="44"/>
      <c r="GLX3" s="44"/>
      <c r="GLY3" s="44"/>
      <c r="GLZ3" s="44"/>
      <c r="GMA3" s="44"/>
      <c r="GMB3" s="44"/>
      <c r="GMC3" s="44"/>
      <c r="GMD3" s="44"/>
      <c r="GME3" s="44"/>
      <c r="GMF3" s="44"/>
      <c r="GMG3" s="44"/>
      <c r="GMH3" s="44"/>
      <c r="GMI3" s="44"/>
      <c r="GMJ3" s="44"/>
      <c r="GMK3" s="44"/>
      <c r="GML3" s="44"/>
      <c r="GMM3" s="44"/>
      <c r="GMN3" s="44"/>
      <c r="GMO3" s="44"/>
      <c r="GMP3" s="44"/>
      <c r="GMQ3" s="44"/>
      <c r="GMR3" s="44"/>
      <c r="GMS3" s="44"/>
      <c r="GMT3" s="44"/>
      <c r="GMU3" s="44"/>
      <c r="GMV3" s="44"/>
      <c r="GMW3" s="44"/>
      <c r="GMX3" s="44"/>
      <c r="GMY3" s="44"/>
      <c r="GMZ3" s="44"/>
      <c r="GNA3" s="44"/>
      <c r="GNB3" s="44"/>
      <c r="GNC3" s="44"/>
      <c r="GND3" s="44"/>
      <c r="GNE3" s="44"/>
      <c r="GNF3" s="44"/>
      <c r="GNG3" s="44"/>
      <c r="GNH3" s="44"/>
      <c r="GNI3" s="44"/>
      <c r="GNJ3" s="44"/>
      <c r="GNK3" s="44"/>
      <c r="GNL3" s="44"/>
      <c r="GNM3" s="44"/>
      <c r="GNN3" s="44"/>
      <c r="GNO3" s="44"/>
      <c r="GNP3" s="44"/>
      <c r="GNQ3" s="44"/>
      <c r="GNR3" s="44"/>
      <c r="GNS3" s="44"/>
      <c r="GNT3" s="44"/>
      <c r="GNU3" s="44"/>
      <c r="GNV3" s="44"/>
      <c r="GNW3" s="44"/>
      <c r="GNX3" s="44"/>
      <c r="GNY3" s="44"/>
      <c r="GNZ3" s="44"/>
      <c r="GOA3" s="44"/>
      <c r="GOB3" s="44"/>
      <c r="GOC3" s="44"/>
      <c r="GOD3" s="44"/>
      <c r="GOE3" s="44"/>
      <c r="GOF3" s="44"/>
      <c r="GOG3" s="44"/>
      <c r="GOH3" s="44"/>
      <c r="GOI3" s="44"/>
      <c r="GOJ3" s="44"/>
      <c r="GOK3" s="44"/>
      <c r="GOL3" s="44"/>
      <c r="GOM3" s="44"/>
      <c r="GON3" s="44"/>
      <c r="GOO3" s="44"/>
      <c r="GOP3" s="44"/>
      <c r="GOQ3" s="44"/>
      <c r="GOR3" s="44"/>
      <c r="GOS3" s="44"/>
      <c r="GOT3" s="44"/>
      <c r="GOU3" s="44"/>
      <c r="GOV3" s="44"/>
      <c r="GOW3" s="44"/>
      <c r="GOX3" s="44"/>
      <c r="GOY3" s="44"/>
      <c r="GOZ3" s="44"/>
      <c r="GPA3" s="44"/>
      <c r="GPB3" s="44"/>
      <c r="GPC3" s="44"/>
      <c r="GPD3" s="44"/>
      <c r="GPE3" s="44"/>
      <c r="GPF3" s="44"/>
      <c r="GPG3" s="44"/>
      <c r="GPH3" s="44"/>
      <c r="GPI3" s="44"/>
      <c r="GPJ3" s="44"/>
      <c r="GPK3" s="44"/>
      <c r="GPL3" s="44"/>
      <c r="GPM3" s="44"/>
      <c r="GPN3" s="44"/>
      <c r="GPO3" s="44"/>
      <c r="GPP3" s="44"/>
      <c r="GPQ3" s="44"/>
      <c r="GPR3" s="44"/>
      <c r="GPS3" s="44"/>
      <c r="GPT3" s="44"/>
      <c r="GPU3" s="44"/>
      <c r="GPV3" s="44"/>
      <c r="GPW3" s="44"/>
      <c r="GPX3" s="44"/>
      <c r="GPY3" s="44"/>
      <c r="GPZ3" s="44"/>
      <c r="GQA3" s="44"/>
      <c r="GQB3" s="44"/>
      <c r="GQC3" s="44"/>
      <c r="GQD3" s="44"/>
      <c r="GQE3" s="44"/>
      <c r="GQF3" s="44"/>
      <c r="GQG3" s="44"/>
      <c r="GQH3" s="44"/>
      <c r="GQI3" s="44"/>
      <c r="GQJ3" s="44"/>
      <c r="GQK3" s="44"/>
      <c r="GQL3" s="44"/>
      <c r="GQM3" s="44"/>
      <c r="GQN3" s="44"/>
      <c r="GQO3" s="44"/>
      <c r="GQP3" s="44"/>
      <c r="GQQ3" s="44"/>
      <c r="GQR3" s="44"/>
      <c r="GQS3" s="44"/>
      <c r="GQT3" s="44"/>
      <c r="GQU3" s="44"/>
      <c r="GQV3" s="44"/>
      <c r="GQW3" s="44"/>
      <c r="GQX3" s="44"/>
      <c r="GQY3" s="44"/>
      <c r="GQZ3" s="44"/>
      <c r="GRA3" s="44"/>
      <c r="GRB3" s="44"/>
      <c r="GRC3" s="44"/>
      <c r="GRD3" s="44"/>
      <c r="GRE3" s="44"/>
      <c r="GRF3" s="44"/>
      <c r="GRG3" s="44"/>
      <c r="GRH3" s="44"/>
      <c r="GRI3" s="44"/>
      <c r="GRJ3" s="44"/>
      <c r="GRK3" s="44"/>
      <c r="GRL3" s="44"/>
      <c r="GRM3" s="44"/>
      <c r="GRN3" s="44"/>
      <c r="GRO3" s="44"/>
      <c r="GRP3" s="44"/>
      <c r="GRQ3" s="44"/>
      <c r="GRR3" s="44"/>
      <c r="GRS3" s="44"/>
      <c r="GRT3" s="44"/>
      <c r="GRU3" s="44"/>
      <c r="GRV3" s="44"/>
      <c r="GRW3" s="44"/>
      <c r="GRX3" s="44"/>
      <c r="GRY3" s="44"/>
      <c r="GRZ3" s="44"/>
      <c r="GSA3" s="44"/>
      <c r="GSB3" s="44"/>
      <c r="GSC3" s="44"/>
      <c r="GSD3" s="44"/>
      <c r="GSE3" s="44"/>
      <c r="GSF3" s="44"/>
      <c r="GSG3" s="44"/>
      <c r="GSH3" s="44"/>
      <c r="GSI3" s="44"/>
      <c r="GSJ3" s="44"/>
      <c r="GSK3" s="44"/>
      <c r="GSL3" s="44"/>
      <c r="GSM3" s="44"/>
      <c r="GSN3" s="44"/>
      <c r="GSO3" s="44"/>
      <c r="GSP3" s="44"/>
      <c r="GSQ3" s="44"/>
      <c r="GSR3" s="44"/>
      <c r="GSS3" s="44"/>
      <c r="GST3" s="44"/>
      <c r="GSU3" s="44"/>
      <c r="GSV3" s="44"/>
      <c r="GSW3" s="44"/>
      <c r="GSX3" s="44"/>
      <c r="GSY3" s="44"/>
      <c r="GSZ3" s="44"/>
      <c r="GTA3" s="44"/>
      <c r="GTB3" s="44"/>
      <c r="GTC3" s="44"/>
      <c r="GTD3" s="44"/>
      <c r="GTE3" s="44"/>
      <c r="GTF3" s="44"/>
      <c r="GTG3" s="44"/>
      <c r="GTH3" s="44"/>
      <c r="GTI3" s="44"/>
      <c r="GTJ3" s="44"/>
      <c r="GTK3" s="44"/>
      <c r="GTL3" s="44"/>
      <c r="GTM3" s="44"/>
      <c r="GTN3" s="44"/>
      <c r="GTO3" s="44"/>
      <c r="GTP3" s="44"/>
      <c r="GTQ3" s="44"/>
      <c r="GTR3" s="44"/>
      <c r="GTS3" s="44"/>
      <c r="GTT3" s="44"/>
      <c r="GTU3" s="44"/>
      <c r="GTV3" s="44"/>
      <c r="GTW3" s="44"/>
      <c r="GTX3" s="44"/>
      <c r="GTY3" s="44"/>
      <c r="GTZ3" s="44"/>
      <c r="GUA3" s="44"/>
      <c r="GUB3" s="44"/>
      <c r="GUC3" s="44"/>
      <c r="GUD3" s="44"/>
      <c r="GUE3" s="44"/>
      <c r="GUF3" s="44"/>
      <c r="GUG3" s="44"/>
      <c r="GUH3" s="44"/>
      <c r="GUI3" s="44"/>
      <c r="GUJ3" s="44"/>
      <c r="GUK3" s="44"/>
      <c r="GUL3" s="44"/>
      <c r="GUM3" s="44"/>
      <c r="GUN3" s="44"/>
      <c r="GUO3" s="44"/>
      <c r="GUP3" s="44"/>
      <c r="GUQ3" s="44"/>
      <c r="GUR3" s="44"/>
      <c r="GUS3" s="44"/>
      <c r="GUT3" s="44"/>
      <c r="GUU3" s="44"/>
      <c r="GUV3" s="44"/>
      <c r="GUW3" s="44"/>
      <c r="GUX3" s="44"/>
      <c r="GUY3" s="44"/>
      <c r="GUZ3" s="44"/>
      <c r="GVA3" s="44"/>
      <c r="GVB3" s="44"/>
      <c r="GVC3" s="44"/>
      <c r="GVD3" s="44"/>
      <c r="GVE3" s="44"/>
      <c r="GVF3" s="44"/>
      <c r="GVG3" s="44"/>
      <c r="GVH3" s="44"/>
      <c r="GVI3" s="44"/>
      <c r="GVJ3" s="44"/>
      <c r="GVK3" s="44"/>
      <c r="GVL3" s="44"/>
      <c r="GVM3" s="44"/>
      <c r="GVN3" s="44"/>
      <c r="GVO3" s="44"/>
      <c r="GVP3" s="44"/>
      <c r="GVQ3" s="44"/>
      <c r="GVR3" s="44"/>
      <c r="GVS3" s="44"/>
      <c r="GVT3" s="44"/>
      <c r="GVU3" s="44"/>
      <c r="GVV3" s="44"/>
      <c r="GVW3" s="44"/>
      <c r="GVX3" s="44"/>
      <c r="GVY3" s="44"/>
      <c r="GVZ3" s="44"/>
      <c r="GWA3" s="44"/>
      <c r="GWB3" s="44"/>
      <c r="GWC3" s="44"/>
      <c r="GWD3" s="44"/>
      <c r="GWE3" s="44"/>
      <c r="GWF3" s="44"/>
      <c r="GWG3" s="44"/>
      <c r="GWH3" s="44"/>
      <c r="GWI3" s="44"/>
      <c r="GWJ3" s="44"/>
      <c r="GWK3" s="44"/>
      <c r="GWL3" s="44"/>
      <c r="GWM3" s="44"/>
      <c r="GWN3" s="44"/>
      <c r="GWO3" s="44"/>
      <c r="GWP3" s="44"/>
      <c r="GWQ3" s="44"/>
      <c r="GWR3" s="44"/>
      <c r="GWS3" s="44"/>
      <c r="GWT3" s="44"/>
      <c r="GWU3" s="44"/>
      <c r="GWV3" s="44"/>
      <c r="GWW3" s="44"/>
      <c r="GWX3" s="44"/>
      <c r="GWY3" s="44"/>
      <c r="GWZ3" s="44"/>
      <c r="GXA3" s="44"/>
      <c r="GXB3" s="44"/>
      <c r="GXC3" s="44"/>
      <c r="GXD3" s="44"/>
      <c r="GXE3" s="44"/>
      <c r="GXF3" s="44"/>
      <c r="GXG3" s="44"/>
      <c r="GXH3" s="44"/>
      <c r="GXI3" s="44"/>
      <c r="GXJ3" s="44"/>
      <c r="GXK3" s="44"/>
      <c r="GXL3" s="44"/>
      <c r="GXM3" s="44"/>
      <c r="GXN3" s="44"/>
      <c r="GXO3" s="44"/>
      <c r="GXP3" s="44"/>
      <c r="GXQ3" s="44"/>
      <c r="GXR3" s="44"/>
      <c r="GXS3" s="44"/>
      <c r="GXT3" s="44"/>
      <c r="GXU3" s="44"/>
      <c r="GXV3" s="44"/>
      <c r="GXW3" s="44"/>
      <c r="GXX3" s="44"/>
      <c r="GXY3" s="44"/>
      <c r="GXZ3" s="44"/>
      <c r="GYA3" s="44"/>
      <c r="GYB3" s="44"/>
      <c r="GYC3" s="44"/>
      <c r="GYD3" s="44"/>
      <c r="GYE3" s="44"/>
      <c r="GYF3" s="44"/>
      <c r="GYG3" s="44"/>
      <c r="GYH3" s="44"/>
      <c r="GYI3" s="44"/>
      <c r="GYJ3" s="44"/>
      <c r="GYK3" s="44"/>
      <c r="GYL3" s="44"/>
      <c r="GYM3" s="44"/>
      <c r="GYN3" s="44"/>
      <c r="GYO3" s="44"/>
      <c r="GYP3" s="44"/>
      <c r="GYQ3" s="44"/>
      <c r="GYR3" s="44"/>
      <c r="GYS3" s="44"/>
      <c r="GYT3" s="44"/>
      <c r="GYU3" s="44"/>
      <c r="GYV3" s="44"/>
      <c r="GYW3" s="44"/>
      <c r="GYX3" s="44"/>
      <c r="GYY3" s="44"/>
      <c r="GYZ3" s="44"/>
      <c r="GZA3" s="44"/>
      <c r="GZB3" s="44"/>
      <c r="GZC3" s="44"/>
      <c r="GZD3" s="44"/>
      <c r="GZE3" s="44"/>
      <c r="GZF3" s="44"/>
      <c r="GZG3" s="44"/>
      <c r="GZH3" s="44"/>
      <c r="GZI3" s="44"/>
      <c r="GZJ3" s="44"/>
      <c r="GZK3" s="44"/>
      <c r="GZL3" s="44"/>
      <c r="GZM3" s="44"/>
      <c r="GZN3" s="44"/>
      <c r="GZO3" s="44"/>
      <c r="GZP3" s="44"/>
      <c r="GZQ3" s="44"/>
      <c r="GZR3" s="44"/>
      <c r="GZS3" s="44"/>
      <c r="GZT3" s="44"/>
      <c r="GZU3" s="44"/>
      <c r="GZV3" s="44"/>
      <c r="GZW3" s="44"/>
      <c r="GZX3" s="44"/>
      <c r="GZY3" s="44"/>
      <c r="GZZ3" s="44"/>
      <c r="HAA3" s="44"/>
      <c r="HAB3" s="44"/>
      <c r="HAC3" s="44"/>
      <c r="HAD3" s="44"/>
      <c r="HAE3" s="44"/>
      <c r="HAF3" s="44"/>
      <c r="HAG3" s="44"/>
      <c r="HAH3" s="44"/>
      <c r="HAI3" s="44"/>
      <c r="HAJ3" s="44"/>
      <c r="HAK3" s="44"/>
      <c r="HAL3" s="44"/>
      <c r="HAM3" s="44"/>
      <c r="HAN3" s="44"/>
      <c r="HAO3" s="44"/>
      <c r="HAP3" s="44"/>
      <c r="HAQ3" s="44"/>
      <c r="HAR3" s="44"/>
      <c r="HAS3" s="44"/>
      <c r="HAT3" s="44"/>
      <c r="HAU3" s="44"/>
      <c r="HAV3" s="44"/>
      <c r="HAW3" s="44"/>
      <c r="HAX3" s="44"/>
      <c r="HAY3" s="44"/>
      <c r="HAZ3" s="44"/>
      <c r="HBA3" s="44"/>
      <c r="HBB3" s="44"/>
      <c r="HBC3" s="44"/>
      <c r="HBD3" s="44"/>
      <c r="HBE3" s="44"/>
      <c r="HBF3" s="44"/>
      <c r="HBG3" s="44"/>
      <c r="HBH3" s="44"/>
      <c r="HBI3" s="44"/>
      <c r="HBJ3" s="44"/>
      <c r="HBK3" s="44"/>
      <c r="HBL3" s="44"/>
      <c r="HBM3" s="44"/>
      <c r="HBN3" s="44"/>
      <c r="HBO3" s="44"/>
      <c r="HBP3" s="44"/>
      <c r="HBQ3" s="44"/>
      <c r="HBR3" s="44"/>
      <c r="HBS3" s="44"/>
      <c r="HBT3" s="44"/>
      <c r="HBU3" s="44"/>
      <c r="HBV3" s="44"/>
      <c r="HBW3" s="44"/>
      <c r="HBX3" s="44"/>
      <c r="HBY3" s="44"/>
      <c r="HBZ3" s="44"/>
      <c r="HCA3" s="44"/>
      <c r="HCB3" s="44"/>
      <c r="HCC3" s="44"/>
      <c r="HCD3" s="44"/>
      <c r="HCE3" s="44"/>
      <c r="HCF3" s="44"/>
      <c r="HCG3" s="44"/>
      <c r="HCH3" s="44"/>
      <c r="HCI3" s="44"/>
      <c r="HCJ3" s="44"/>
      <c r="HCK3" s="44"/>
      <c r="HCL3" s="44"/>
      <c r="HCM3" s="44"/>
      <c r="HCN3" s="44"/>
      <c r="HCO3" s="44"/>
      <c r="HCP3" s="44"/>
      <c r="HCQ3" s="44"/>
      <c r="HCR3" s="44"/>
      <c r="HCS3" s="44"/>
      <c r="HCT3" s="44"/>
      <c r="HCU3" s="44"/>
      <c r="HCV3" s="44"/>
      <c r="HCW3" s="44"/>
      <c r="HCX3" s="44"/>
      <c r="HCY3" s="44"/>
      <c r="HCZ3" s="44"/>
      <c r="HDA3" s="44"/>
      <c r="HDB3" s="44"/>
      <c r="HDC3" s="44"/>
      <c r="HDD3" s="44"/>
      <c r="HDE3" s="44"/>
      <c r="HDF3" s="44"/>
      <c r="HDG3" s="44"/>
      <c r="HDH3" s="44"/>
      <c r="HDI3" s="44"/>
      <c r="HDJ3" s="44"/>
      <c r="HDK3" s="44"/>
      <c r="HDL3" s="44"/>
      <c r="HDM3" s="44"/>
      <c r="HDN3" s="44"/>
      <c r="HDO3" s="44"/>
      <c r="HDP3" s="44"/>
      <c r="HDQ3" s="44"/>
      <c r="HDR3" s="44"/>
      <c r="HDS3" s="44"/>
      <c r="HDT3" s="44"/>
      <c r="HDU3" s="44"/>
      <c r="HDV3" s="44"/>
      <c r="HDW3" s="44"/>
      <c r="HDX3" s="44"/>
      <c r="HDY3" s="44"/>
      <c r="HDZ3" s="44"/>
      <c r="HEA3" s="44"/>
      <c r="HEB3" s="44"/>
      <c r="HEC3" s="44"/>
      <c r="HED3" s="44"/>
      <c r="HEE3" s="44"/>
      <c r="HEF3" s="44"/>
      <c r="HEG3" s="44"/>
      <c r="HEH3" s="44"/>
      <c r="HEI3" s="44"/>
      <c r="HEJ3" s="44"/>
      <c r="HEK3" s="44"/>
      <c r="HEL3" s="44"/>
      <c r="HEM3" s="44"/>
      <c r="HEN3" s="44"/>
      <c r="HEO3" s="44"/>
      <c r="HEP3" s="44"/>
      <c r="HEQ3" s="44"/>
      <c r="HER3" s="44"/>
      <c r="HES3" s="44"/>
      <c r="HET3" s="44"/>
      <c r="HEU3" s="44"/>
      <c r="HEV3" s="44"/>
      <c r="HEW3" s="44"/>
      <c r="HEX3" s="44"/>
      <c r="HEY3" s="44"/>
      <c r="HEZ3" s="44"/>
      <c r="HFA3" s="44"/>
      <c r="HFB3" s="44"/>
      <c r="HFC3" s="44"/>
      <c r="HFD3" s="44"/>
      <c r="HFE3" s="44"/>
      <c r="HFF3" s="44"/>
      <c r="HFG3" s="44"/>
      <c r="HFH3" s="44"/>
      <c r="HFI3" s="44"/>
      <c r="HFJ3" s="44"/>
      <c r="HFK3" s="44"/>
      <c r="HFL3" s="44"/>
      <c r="HFM3" s="44"/>
      <c r="HFN3" s="44"/>
      <c r="HFO3" s="44"/>
      <c r="HFP3" s="44"/>
      <c r="HFQ3" s="44"/>
      <c r="HFR3" s="44"/>
      <c r="HFS3" s="44"/>
      <c r="HFT3" s="44"/>
      <c r="HFU3" s="44"/>
      <c r="HFV3" s="44"/>
      <c r="HFW3" s="44"/>
      <c r="HFX3" s="44"/>
      <c r="HFY3" s="44"/>
      <c r="HFZ3" s="44"/>
      <c r="HGA3" s="44"/>
      <c r="HGB3" s="44"/>
      <c r="HGC3" s="44"/>
      <c r="HGD3" s="44"/>
      <c r="HGE3" s="44"/>
      <c r="HGF3" s="44"/>
      <c r="HGG3" s="44"/>
      <c r="HGH3" s="44"/>
      <c r="HGI3" s="44"/>
      <c r="HGJ3" s="44"/>
      <c r="HGK3" s="44"/>
      <c r="HGL3" s="44"/>
      <c r="HGM3" s="44"/>
      <c r="HGN3" s="44"/>
      <c r="HGO3" s="44"/>
      <c r="HGP3" s="44"/>
      <c r="HGQ3" s="44"/>
      <c r="HGR3" s="44"/>
      <c r="HGS3" s="44"/>
      <c r="HGT3" s="44"/>
      <c r="HGU3" s="44"/>
      <c r="HGV3" s="44"/>
      <c r="HGW3" s="44"/>
      <c r="HGX3" s="44"/>
      <c r="HGY3" s="44"/>
      <c r="HGZ3" s="44"/>
      <c r="HHA3" s="44"/>
      <c r="HHB3" s="44"/>
      <c r="HHC3" s="44"/>
      <c r="HHD3" s="44"/>
      <c r="HHE3" s="44"/>
      <c r="HHF3" s="44"/>
      <c r="HHG3" s="44"/>
      <c r="HHH3" s="44"/>
      <c r="HHI3" s="44"/>
      <c r="HHJ3" s="44"/>
      <c r="HHK3" s="44"/>
      <c r="HHL3" s="44"/>
      <c r="HHM3" s="44"/>
      <c r="HHN3" s="44"/>
      <c r="HHO3" s="44"/>
      <c r="HHP3" s="44"/>
      <c r="HHQ3" s="44"/>
      <c r="HHR3" s="44"/>
      <c r="HHS3" s="44"/>
      <c r="HHT3" s="44"/>
      <c r="HHU3" s="44"/>
      <c r="HHV3" s="44"/>
      <c r="HHW3" s="44"/>
      <c r="HHX3" s="44"/>
      <c r="HHY3" s="44"/>
      <c r="HHZ3" s="44"/>
      <c r="HIA3" s="44"/>
      <c r="HIB3" s="44"/>
      <c r="HIC3" s="44"/>
      <c r="HID3" s="44"/>
      <c r="HIE3" s="44"/>
      <c r="HIF3" s="44"/>
      <c r="HIG3" s="44"/>
      <c r="HIH3" s="44"/>
      <c r="HII3" s="44"/>
      <c r="HIJ3" s="44"/>
      <c r="HIK3" s="44"/>
      <c r="HIL3" s="44"/>
      <c r="HIM3" s="44"/>
      <c r="HIN3" s="44"/>
      <c r="HIO3" s="44"/>
      <c r="HIP3" s="44"/>
      <c r="HIQ3" s="44"/>
      <c r="HIR3" s="44"/>
      <c r="HIS3" s="44"/>
      <c r="HIT3" s="44"/>
      <c r="HIU3" s="44"/>
      <c r="HIV3" s="44"/>
      <c r="HIW3" s="44"/>
      <c r="HIX3" s="44"/>
      <c r="HIY3" s="44"/>
      <c r="HIZ3" s="44"/>
      <c r="HJA3" s="44"/>
      <c r="HJB3" s="44"/>
      <c r="HJC3" s="44"/>
      <c r="HJD3" s="44"/>
      <c r="HJE3" s="44"/>
      <c r="HJF3" s="44"/>
      <c r="HJG3" s="44"/>
      <c r="HJH3" s="44"/>
      <c r="HJI3" s="44"/>
      <c r="HJJ3" s="44"/>
      <c r="HJK3" s="44"/>
      <c r="HJL3" s="44"/>
      <c r="HJM3" s="44"/>
      <c r="HJN3" s="44"/>
      <c r="HJO3" s="44"/>
      <c r="HJP3" s="44"/>
      <c r="HJQ3" s="44"/>
      <c r="HJR3" s="44"/>
      <c r="HJS3" s="44"/>
      <c r="HJT3" s="44"/>
      <c r="HJU3" s="44"/>
      <c r="HJV3" s="44"/>
      <c r="HJW3" s="44"/>
      <c r="HJX3" s="44"/>
      <c r="HJY3" s="44"/>
      <c r="HJZ3" s="44"/>
      <c r="HKA3" s="44"/>
      <c r="HKB3" s="44"/>
      <c r="HKC3" s="44"/>
      <c r="HKD3" s="44"/>
      <c r="HKE3" s="44"/>
      <c r="HKF3" s="44"/>
      <c r="HKG3" s="44"/>
      <c r="HKH3" s="44"/>
      <c r="HKI3" s="44"/>
      <c r="HKJ3" s="44"/>
      <c r="HKK3" s="44"/>
      <c r="HKL3" s="44"/>
      <c r="HKM3" s="44"/>
      <c r="HKN3" s="44"/>
      <c r="HKO3" s="44"/>
      <c r="HKP3" s="44"/>
      <c r="HKQ3" s="44"/>
      <c r="HKR3" s="44"/>
      <c r="HKS3" s="44"/>
      <c r="HKT3" s="44"/>
      <c r="HKU3" s="44"/>
      <c r="HKV3" s="44"/>
      <c r="HKW3" s="44"/>
      <c r="HKX3" s="44"/>
      <c r="HKY3" s="44"/>
      <c r="HKZ3" s="44"/>
      <c r="HLA3" s="44"/>
      <c r="HLB3" s="44"/>
      <c r="HLC3" s="44"/>
      <c r="HLD3" s="44"/>
      <c r="HLE3" s="44"/>
      <c r="HLF3" s="44"/>
      <c r="HLG3" s="44"/>
      <c r="HLH3" s="44"/>
      <c r="HLI3" s="44"/>
      <c r="HLJ3" s="44"/>
      <c r="HLK3" s="44"/>
      <c r="HLL3" s="44"/>
      <c r="HLM3" s="44"/>
      <c r="HLN3" s="44"/>
      <c r="HLO3" s="44"/>
      <c r="HLP3" s="44"/>
      <c r="HLQ3" s="44"/>
      <c r="HLR3" s="44"/>
      <c r="HLS3" s="44"/>
      <c r="HLT3" s="44"/>
      <c r="HLU3" s="44"/>
      <c r="HLV3" s="44"/>
      <c r="HLW3" s="44"/>
      <c r="HLX3" s="44"/>
      <c r="HLY3" s="44"/>
      <c r="HLZ3" s="44"/>
      <c r="HMA3" s="44"/>
      <c r="HMB3" s="44"/>
      <c r="HMC3" s="44"/>
      <c r="HMD3" s="44"/>
      <c r="HME3" s="44"/>
      <c r="HMF3" s="44"/>
      <c r="HMG3" s="44"/>
      <c r="HMH3" s="44"/>
      <c r="HMI3" s="44"/>
      <c r="HMJ3" s="44"/>
      <c r="HMK3" s="44"/>
      <c r="HML3" s="44"/>
      <c r="HMM3" s="44"/>
      <c r="HMN3" s="44"/>
      <c r="HMO3" s="44"/>
      <c r="HMP3" s="44"/>
      <c r="HMQ3" s="44"/>
      <c r="HMR3" s="44"/>
      <c r="HMS3" s="44"/>
      <c r="HMT3" s="44"/>
      <c r="HMU3" s="44"/>
      <c r="HMV3" s="44"/>
      <c r="HMW3" s="44"/>
      <c r="HMX3" s="44"/>
      <c r="HMY3" s="44"/>
      <c r="HMZ3" s="44"/>
      <c r="HNA3" s="44"/>
      <c r="HNB3" s="44"/>
      <c r="HNC3" s="44"/>
      <c r="HND3" s="44"/>
      <c r="HNE3" s="44"/>
      <c r="HNF3" s="44"/>
      <c r="HNG3" s="44"/>
      <c r="HNH3" s="44"/>
      <c r="HNI3" s="44"/>
      <c r="HNJ3" s="44"/>
      <c r="HNK3" s="44"/>
      <c r="HNL3" s="44"/>
      <c r="HNM3" s="44"/>
      <c r="HNN3" s="44"/>
      <c r="HNO3" s="44"/>
      <c r="HNP3" s="44"/>
      <c r="HNQ3" s="44"/>
      <c r="HNR3" s="44"/>
      <c r="HNS3" s="44"/>
      <c r="HNT3" s="44"/>
      <c r="HNU3" s="44"/>
      <c r="HNV3" s="44"/>
      <c r="HNW3" s="44"/>
      <c r="HNX3" s="44"/>
      <c r="HNY3" s="44"/>
      <c r="HNZ3" s="44"/>
      <c r="HOA3" s="44"/>
      <c r="HOB3" s="44"/>
      <c r="HOC3" s="44"/>
      <c r="HOD3" s="44"/>
      <c r="HOE3" s="44"/>
      <c r="HOF3" s="44"/>
      <c r="HOG3" s="44"/>
      <c r="HOH3" s="44"/>
      <c r="HOI3" s="44"/>
      <c r="HOJ3" s="44"/>
      <c r="HOK3" s="44"/>
      <c r="HOL3" s="44"/>
      <c r="HOM3" s="44"/>
      <c r="HON3" s="44"/>
      <c r="HOO3" s="44"/>
      <c r="HOP3" s="44"/>
      <c r="HOQ3" s="44"/>
      <c r="HOR3" s="44"/>
      <c r="HOS3" s="44"/>
      <c r="HOT3" s="44"/>
      <c r="HOU3" s="44"/>
      <c r="HOV3" s="44"/>
      <c r="HOW3" s="44"/>
      <c r="HOX3" s="44"/>
      <c r="HOY3" s="44"/>
      <c r="HOZ3" s="44"/>
      <c r="HPA3" s="44"/>
      <c r="HPB3" s="44"/>
      <c r="HPC3" s="44"/>
      <c r="HPD3" s="44"/>
      <c r="HPE3" s="44"/>
      <c r="HPF3" s="44"/>
      <c r="HPG3" s="44"/>
      <c r="HPH3" s="44"/>
      <c r="HPI3" s="44"/>
      <c r="HPJ3" s="44"/>
      <c r="HPK3" s="44"/>
      <c r="HPL3" s="44"/>
      <c r="HPM3" s="44"/>
      <c r="HPN3" s="44"/>
      <c r="HPO3" s="44"/>
      <c r="HPP3" s="44"/>
      <c r="HPQ3" s="44"/>
      <c r="HPR3" s="44"/>
      <c r="HPS3" s="44"/>
      <c r="HPT3" s="44"/>
      <c r="HPU3" s="44"/>
      <c r="HPV3" s="44"/>
      <c r="HPW3" s="44"/>
      <c r="HPX3" s="44"/>
      <c r="HPY3" s="44"/>
      <c r="HPZ3" s="44"/>
      <c r="HQA3" s="44"/>
      <c r="HQB3" s="44"/>
      <c r="HQC3" s="44"/>
      <c r="HQD3" s="44"/>
      <c r="HQE3" s="44"/>
      <c r="HQF3" s="44"/>
      <c r="HQG3" s="44"/>
      <c r="HQH3" s="44"/>
      <c r="HQI3" s="44"/>
      <c r="HQJ3" s="44"/>
      <c r="HQK3" s="44"/>
      <c r="HQL3" s="44"/>
      <c r="HQM3" s="44"/>
      <c r="HQN3" s="44"/>
      <c r="HQO3" s="44"/>
      <c r="HQP3" s="44"/>
      <c r="HQQ3" s="44"/>
      <c r="HQR3" s="44"/>
      <c r="HQS3" s="44"/>
      <c r="HQT3" s="44"/>
      <c r="HQU3" s="44"/>
      <c r="HQV3" s="44"/>
      <c r="HQW3" s="44"/>
      <c r="HQX3" s="44"/>
      <c r="HQY3" s="44"/>
      <c r="HQZ3" s="44"/>
      <c r="HRA3" s="44"/>
      <c r="HRB3" s="44"/>
      <c r="HRC3" s="44"/>
      <c r="HRD3" s="44"/>
      <c r="HRE3" s="44"/>
      <c r="HRF3" s="44"/>
      <c r="HRG3" s="44"/>
      <c r="HRH3" s="44"/>
      <c r="HRI3" s="44"/>
      <c r="HRJ3" s="44"/>
      <c r="HRK3" s="44"/>
      <c r="HRL3" s="44"/>
      <c r="HRM3" s="44"/>
      <c r="HRN3" s="44"/>
      <c r="HRO3" s="44"/>
      <c r="HRP3" s="44"/>
      <c r="HRQ3" s="44"/>
      <c r="HRR3" s="44"/>
      <c r="HRS3" s="44"/>
      <c r="HRT3" s="44"/>
      <c r="HRU3" s="44"/>
      <c r="HRV3" s="44"/>
      <c r="HRW3" s="44"/>
      <c r="HRX3" s="44"/>
      <c r="HRY3" s="44"/>
      <c r="HRZ3" s="44"/>
      <c r="HSA3" s="44"/>
      <c r="HSB3" s="44"/>
      <c r="HSC3" s="44"/>
      <c r="HSD3" s="44"/>
      <c r="HSE3" s="44"/>
      <c r="HSF3" s="44"/>
      <c r="HSG3" s="44"/>
      <c r="HSH3" s="44"/>
      <c r="HSI3" s="44"/>
      <c r="HSJ3" s="44"/>
      <c r="HSK3" s="44"/>
      <c r="HSL3" s="44"/>
      <c r="HSM3" s="44"/>
      <c r="HSN3" s="44"/>
      <c r="HSO3" s="44"/>
      <c r="HSP3" s="44"/>
      <c r="HSQ3" s="44"/>
      <c r="HSR3" s="44"/>
      <c r="HSS3" s="44"/>
      <c r="HST3" s="44"/>
      <c r="HSU3" s="44"/>
      <c r="HSV3" s="44"/>
      <c r="HSW3" s="44"/>
      <c r="HSX3" s="44"/>
      <c r="HSY3" s="44"/>
      <c r="HSZ3" s="44"/>
      <c r="HTA3" s="44"/>
      <c r="HTB3" s="44"/>
      <c r="HTC3" s="44"/>
      <c r="HTD3" s="44"/>
      <c r="HTE3" s="44"/>
      <c r="HTF3" s="44"/>
      <c r="HTG3" s="44"/>
      <c r="HTH3" s="44"/>
      <c r="HTI3" s="44"/>
      <c r="HTJ3" s="44"/>
      <c r="HTK3" s="44"/>
      <c r="HTL3" s="44"/>
      <c r="HTM3" s="44"/>
      <c r="HTN3" s="44"/>
      <c r="HTO3" s="44"/>
      <c r="HTP3" s="44"/>
      <c r="HTQ3" s="44"/>
      <c r="HTR3" s="44"/>
      <c r="HTS3" s="44"/>
      <c r="HTT3" s="44"/>
      <c r="HTU3" s="44"/>
      <c r="HTV3" s="44"/>
      <c r="HTW3" s="44"/>
      <c r="HTX3" s="44"/>
      <c r="HTY3" s="44"/>
      <c r="HTZ3" s="44"/>
      <c r="HUA3" s="44"/>
      <c r="HUB3" s="44"/>
      <c r="HUC3" s="44"/>
      <c r="HUD3" s="44"/>
      <c r="HUE3" s="44"/>
      <c r="HUF3" s="44"/>
      <c r="HUG3" s="44"/>
      <c r="HUH3" s="44"/>
      <c r="HUI3" s="44"/>
      <c r="HUJ3" s="44"/>
      <c r="HUK3" s="44"/>
      <c r="HUL3" s="44"/>
      <c r="HUM3" s="44"/>
      <c r="HUN3" s="44"/>
      <c r="HUO3" s="44"/>
      <c r="HUP3" s="44"/>
      <c r="HUQ3" s="44"/>
      <c r="HUR3" s="44"/>
      <c r="HUS3" s="44"/>
      <c r="HUT3" s="44"/>
      <c r="HUU3" s="44"/>
      <c r="HUV3" s="44"/>
      <c r="HUW3" s="44"/>
      <c r="HUX3" s="44"/>
      <c r="HUY3" s="44"/>
      <c r="HUZ3" s="44"/>
      <c r="HVA3" s="44"/>
      <c r="HVB3" s="44"/>
      <c r="HVC3" s="44"/>
      <c r="HVD3" s="44"/>
      <c r="HVE3" s="44"/>
      <c r="HVF3" s="44"/>
      <c r="HVG3" s="44"/>
      <c r="HVH3" s="44"/>
      <c r="HVI3" s="44"/>
      <c r="HVJ3" s="44"/>
      <c r="HVK3" s="44"/>
      <c r="HVL3" s="44"/>
      <c r="HVM3" s="44"/>
      <c r="HVN3" s="44"/>
      <c r="HVO3" s="44"/>
      <c r="HVP3" s="44"/>
      <c r="HVQ3" s="44"/>
      <c r="HVR3" s="44"/>
      <c r="HVS3" s="44"/>
      <c r="HVT3" s="44"/>
      <c r="HVU3" s="44"/>
      <c r="HVV3" s="44"/>
      <c r="HVW3" s="44"/>
      <c r="HVX3" s="44"/>
      <c r="HVY3" s="44"/>
      <c r="HVZ3" s="44"/>
      <c r="HWA3" s="44"/>
      <c r="HWB3" s="44"/>
      <c r="HWC3" s="44"/>
      <c r="HWD3" s="44"/>
      <c r="HWE3" s="44"/>
      <c r="HWF3" s="44"/>
      <c r="HWG3" s="44"/>
      <c r="HWH3" s="44"/>
      <c r="HWI3" s="44"/>
      <c r="HWJ3" s="44"/>
      <c r="HWK3" s="44"/>
      <c r="HWL3" s="44"/>
      <c r="HWM3" s="44"/>
      <c r="HWN3" s="44"/>
      <c r="HWO3" s="44"/>
      <c r="HWP3" s="44"/>
      <c r="HWQ3" s="44"/>
      <c r="HWR3" s="44"/>
      <c r="HWS3" s="44"/>
      <c r="HWT3" s="44"/>
      <c r="HWU3" s="44"/>
      <c r="HWV3" s="44"/>
      <c r="HWW3" s="44"/>
      <c r="HWX3" s="44"/>
      <c r="HWY3" s="44"/>
      <c r="HWZ3" s="44"/>
      <c r="HXA3" s="44"/>
      <c r="HXB3" s="44"/>
      <c r="HXC3" s="44"/>
      <c r="HXD3" s="44"/>
      <c r="HXE3" s="44"/>
      <c r="HXF3" s="44"/>
      <c r="HXG3" s="44"/>
      <c r="HXH3" s="44"/>
      <c r="HXI3" s="44"/>
      <c r="HXJ3" s="44"/>
      <c r="HXK3" s="44"/>
      <c r="HXL3" s="44"/>
      <c r="HXM3" s="44"/>
      <c r="HXN3" s="44"/>
      <c r="HXO3" s="44"/>
      <c r="HXP3" s="44"/>
      <c r="HXQ3" s="44"/>
      <c r="HXR3" s="44"/>
      <c r="HXS3" s="44"/>
      <c r="HXT3" s="44"/>
      <c r="HXU3" s="44"/>
      <c r="HXV3" s="44"/>
      <c r="HXW3" s="44"/>
      <c r="HXX3" s="44"/>
      <c r="HXY3" s="44"/>
      <c r="HXZ3" s="44"/>
      <c r="HYA3" s="44"/>
      <c r="HYB3" s="44"/>
      <c r="HYC3" s="44"/>
      <c r="HYD3" s="44"/>
      <c r="HYE3" s="44"/>
      <c r="HYF3" s="44"/>
      <c r="HYG3" s="44"/>
      <c r="HYH3" s="44"/>
      <c r="HYI3" s="44"/>
      <c r="HYJ3" s="44"/>
      <c r="HYK3" s="44"/>
      <c r="HYL3" s="44"/>
      <c r="HYM3" s="44"/>
      <c r="HYN3" s="44"/>
      <c r="HYO3" s="44"/>
      <c r="HYP3" s="44"/>
      <c r="HYQ3" s="44"/>
      <c r="HYR3" s="44"/>
      <c r="HYS3" s="44"/>
      <c r="HYT3" s="44"/>
      <c r="HYU3" s="44"/>
      <c r="HYV3" s="44"/>
      <c r="HYW3" s="44"/>
      <c r="HYX3" s="44"/>
      <c r="HYY3" s="44"/>
      <c r="HYZ3" s="44"/>
      <c r="HZA3" s="44"/>
      <c r="HZB3" s="44"/>
      <c r="HZC3" s="44"/>
      <c r="HZD3" s="44"/>
      <c r="HZE3" s="44"/>
      <c r="HZF3" s="44"/>
      <c r="HZG3" s="44"/>
      <c r="HZH3" s="44"/>
      <c r="HZI3" s="44"/>
      <c r="HZJ3" s="44"/>
      <c r="HZK3" s="44"/>
      <c r="HZL3" s="44"/>
      <c r="HZM3" s="44"/>
      <c r="HZN3" s="44"/>
      <c r="HZO3" s="44"/>
      <c r="HZP3" s="44"/>
      <c r="HZQ3" s="44"/>
      <c r="HZR3" s="44"/>
      <c r="HZS3" s="44"/>
      <c r="HZT3" s="44"/>
      <c r="HZU3" s="44"/>
      <c r="HZV3" s="44"/>
      <c r="HZW3" s="44"/>
      <c r="HZX3" s="44"/>
      <c r="HZY3" s="44"/>
      <c r="HZZ3" s="44"/>
      <c r="IAA3" s="44"/>
      <c r="IAB3" s="44"/>
      <c r="IAC3" s="44"/>
      <c r="IAD3" s="44"/>
      <c r="IAE3" s="44"/>
      <c r="IAF3" s="44"/>
      <c r="IAG3" s="44"/>
      <c r="IAH3" s="44"/>
      <c r="IAI3" s="44"/>
      <c r="IAJ3" s="44"/>
      <c r="IAK3" s="44"/>
      <c r="IAL3" s="44"/>
      <c r="IAM3" s="44"/>
      <c r="IAN3" s="44"/>
      <c r="IAO3" s="44"/>
      <c r="IAP3" s="44"/>
      <c r="IAQ3" s="44"/>
      <c r="IAR3" s="44"/>
      <c r="IAS3" s="44"/>
      <c r="IAT3" s="44"/>
      <c r="IAU3" s="44"/>
      <c r="IAV3" s="44"/>
      <c r="IAW3" s="44"/>
      <c r="IAX3" s="44"/>
      <c r="IAY3" s="44"/>
      <c r="IAZ3" s="44"/>
      <c r="IBA3" s="44"/>
      <c r="IBB3" s="44"/>
      <c r="IBC3" s="44"/>
      <c r="IBD3" s="44"/>
      <c r="IBE3" s="44"/>
      <c r="IBF3" s="44"/>
      <c r="IBG3" s="44"/>
      <c r="IBH3" s="44"/>
      <c r="IBI3" s="44"/>
      <c r="IBJ3" s="44"/>
      <c r="IBK3" s="44"/>
      <c r="IBL3" s="44"/>
      <c r="IBM3" s="44"/>
      <c r="IBN3" s="44"/>
      <c r="IBO3" s="44"/>
      <c r="IBP3" s="44"/>
      <c r="IBQ3" s="44"/>
      <c r="IBR3" s="44"/>
      <c r="IBS3" s="44"/>
      <c r="IBT3" s="44"/>
      <c r="IBU3" s="44"/>
      <c r="IBV3" s="44"/>
      <c r="IBW3" s="44"/>
      <c r="IBX3" s="44"/>
      <c r="IBY3" s="44"/>
      <c r="IBZ3" s="44"/>
      <c r="ICA3" s="44"/>
      <c r="ICB3" s="44"/>
      <c r="ICC3" s="44"/>
      <c r="ICD3" s="44"/>
      <c r="ICE3" s="44"/>
      <c r="ICF3" s="44"/>
      <c r="ICG3" s="44"/>
      <c r="ICH3" s="44"/>
      <c r="ICI3" s="44"/>
      <c r="ICJ3" s="44"/>
      <c r="ICK3" s="44"/>
      <c r="ICL3" s="44"/>
      <c r="ICM3" s="44"/>
      <c r="ICN3" s="44"/>
      <c r="ICO3" s="44"/>
      <c r="ICP3" s="44"/>
      <c r="ICQ3" s="44"/>
      <c r="ICR3" s="44"/>
      <c r="ICS3" s="44"/>
      <c r="ICT3" s="44"/>
      <c r="ICU3" s="44"/>
      <c r="ICV3" s="44"/>
      <c r="ICW3" s="44"/>
      <c r="ICX3" s="44"/>
      <c r="ICY3" s="44"/>
      <c r="ICZ3" s="44"/>
      <c r="IDA3" s="44"/>
      <c r="IDB3" s="44"/>
      <c r="IDC3" s="44"/>
      <c r="IDD3" s="44"/>
      <c r="IDE3" s="44"/>
      <c r="IDF3" s="44"/>
      <c r="IDG3" s="44"/>
      <c r="IDH3" s="44"/>
      <c r="IDI3" s="44"/>
      <c r="IDJ3" s="44"/>
      <c r="IDK3" s="44"/>
      <c r="IDL3" s="44"/>
      <c r="IDM3" s="44"/>
      <c r="IDN3" s="44"/>
      <c r="IDO3" s="44"/>
      <c r="IDP3" s="44"/>
      <c r="IDQ3" s="44"/>
      <c r="IDR3" s="44"/>
      <c r="IDS3" s="44"/>
      <c r="IDT3" s="44"/>
      <c r="IDU3" s="44"/>
      <c r="IDV3" s="44"/>
      <c r="IDW3" s="44"/>
      <c r="IDX3" s="44"/>
      <c r="IDY3" s="44"/>
      <c r="IDZ3" s="44"/>
      <c r="IEA3" s="44"/>
      <c r="IEB3" s="44"/>
      <c r="IEC3" s="44"/>
      <c r="IED3" s="44"/>
      <c r="IEE3" s="44"/>
      <c r="IEF3" s="44"/>
      <c r="IEG3" s="44"/>
      <c r="IEH3" s="44"/>
      <c r="IEI3" s="44"/>
      <c r="IEJ3" s="44"/>
      <c r="IEK3" s="44"/>
      <c r="IEL3" s="44"/>
      <c r="IEM3" s="44"/>
      <c r="IEN3" s="44"/>
      <c r="IEO3" s="44"/>
      <c r="IEP3" s="44"/>
      <c r="IEQ3" s="44"/>
      <c r="IER3" s="44"/>
      <c r="IES3" s="44"/>
      <c r="IET3" s="44"/>
      <c r="IEU3" s="44"/>
      <c r="IEV3" s="44"/>
      <c r="IEW3" s="44"/>
      <c r="IEX3" s="44"/>
      <c r="IEY3" s="44"/>
      <c r="IEZ3" s="44"/>
      <c r="IFA3" s="44"/>
      <c r="IFB3" s="44"/>
      <c r="IFC3" s="44"/>
      <c r="IFD3" s="44"/>
      <c r="IFE3" s="44"/>
      <c r="IFF3" s="44"/>
      <c r="IFG3" s="44"/>
      <c r="IFH3" s="44"/>
      <c r="IFI3" s="44"/>
      <c r="IFJ3" s="44"/>
      <c r="IFK3" s="44"/>
      <c r="IFL3" s="44"/>
      <c r="IFM3" s="44"/>
      <c r="IFN3" s="44"/>
      <c r="IFO3" s="44"/>
      <c r="IFP3" s="44"/>
      <c r="IFQ3" s="44"/>
      <c r="IFR3" s="44"/>
      <c r="IFS3" s="44"/>
      <c r="IFT3" s="44"/>
      <c r="IFU3" s="44"/>
      <c r="IFV3" s="44"/>
      <c r="IFW3" s="44"/>
      <c r="IFX3" s="44"/>
      <c r="IFY3" s="44"/>
      <c r="IFZ3" s="44"/>
      <c r="IGA3" s="44"/>
      <c r="IGB3" s="44"/>
      <c r="IGC3" s="44"/>
      <c r="IGD3" s="44"/>
      <c r="IGE3" s="44"/>
      <c r="IGF3" s="44"/>
      <c r="IGG3" s="44"/>
      <c r="IGH3" s="44"/>
      <c r="IGI3" s="44"/>
      <c r="IGJ3" s="44"/>
      <c r="IGK3" s="44"/>
      <c r="IGL3" s="44"/>
      <c r="IGM3" s="44"/>
      <c r="IGN3" s="44"/>
      <c r="IGO3" s="44"/>
      <c r="IGP3" s="44"/>
      <c r="IGQ3" s="44"/>
      <c r="IGR3" s="44"/>
      <c r="IGS3" s="44"/>
      <c r="IGT3" s="44"/>
      <c r="IGU3" s="44"/>
      <c r="IGV3" s="44"/>
      <c r="IGW3" s="44"/>
      <c r="IGX3" s="44"/>
      <c r="IGY3" s="44"/>
      <c r="IGZ3" s="44"/>
      <c r="IHA3" s="44"/>
      <c r="IHB3" s="44"/>
      <c r="IHC3" s="44"/>
      <c r="IHD3" s="44"/>
      <c r="IHE3" s="44"/>
      <c r="IHF3" s="44"/>
      <c r="IHG3" s="44"/>
      <c r="IHH3" s="44"/>
      <c r="IHI3" s="44"/>
      <c r="IHJ3" s="44"/>
      <c r="IHK3" s="44"/>
      <c r="IHL3" s="44"/>
      <c r="IHM3" s="44"/>
      <c r="IHN3" s="44"/>
      <c r="IHO3" s="44"/>
      <c r="IHP3" s="44"/>
      <c r="IHQ3" s="44"/>
      <c r="IHR3" s="44"/>
      <c r="IHS3" s="44"/>
      <c r="IHT3" s="44"/>
      <c r="IHU3" s="44"/>
      <c r="IHV3" s="44"/>
      <c r="IHW3" s="44"/>
      <c r="IHX3" s="44"/>
      <c r="IHY3" s="44"/>
      <c r="IHZ3" s="44"/>
      <c r="IIA3" s="44"/>
      <c r="IIB3" s="44"/>
      <c r="IIC3" s="44"/>
      <c r="IID3" s="44"/>
      <c r="IIE3" s="44"/>
      <c r="IIF3" s="44"/>
      <c r="IIG3" s="44"/>
      <c r="IIH3" s="44"/>
      <c r="III3" s="44"/>
      <c r="IIJ3" s="44"/>
      <c r="IIK3" s="44"/>
      <c r="IIL3" s="44"/>
      <c r="IIM3" s="44"/>
      <c r="IIN3" s="44"/>
      <c r="IIO3" s="44"/>
      <c r="IIP3" s="44"/>
      <c r="IIQ3" s="44"/>
      <c r="IIR3" s="44"/>
      <c r="IIS3" s="44"/>
      <c r="IIT3" s="44"/>
      <c r="IIU3" s="44"/>
      <c r="IIV3" s="44"/>
      <c r="IIW3" s="44"/>
      <c r="IIX3" s="44"/>
      <c r="IIY3" s="44"/>
      <c r="IIZ3" s="44"/>
      <c r="IJA3" s="44"/>
      <c r="IJB3" s="44"/>
      <c r="IJC3" s="44"/>
      <c r="IJD3" s="44"/>
      <c r="IJE3" s="44"/>
      <c r="IJF3" s="44"/>
      <c r="IJG3" s="44"/>
      <c r="IJH3" s="44"/>
      <c r="IJI3" s="44"/>
      <c r="IJJ3" s="44"/>
      <c r="IJK3" s="44"/>
      <c r="IJL3" s="44"/>
      <c r="IJM3" s="44"/>
      <c r="IJN3" s="44"/>
      <c r="IJO3" s="44"/>
      <c r="IJP3" s="44"/>
      <c r="IJQ3" s="44"/>
      <c r="IJR3" s="44"/>
      <c r="IJS3" s="44"/>
      <c r="IJT3" s="44"/>
      <c r="IJU3" s="44"/>
      <c r="IJV3" s="44"/>
      <c r="IJW3" s="44"/>
      <c r="IJX3" s="44"/>
      <c r="IJY3" s="44"/>
      <c r="IJZ3" s="44"/>
      <c r="IKA3" s="44"/>
      <c r="IKB3" s="44"/>
      <c r="IKC3" s="44"/>
      <c r="IKD3" s="44"/>
      <c r="IKE3" s="44"/>
      <c r="IKF3" s="44"/>
      <c r="IKG3" s="44"/>
      <c r="IKH3" s="44"/>
      <c r="IKI3" s="44"/>
      <c r="IKJ3" s="44"/>
      <c r="IKK3" s="44"/>
      <c r="IKL3" s="44"/>
      <c r="IKM3" s="44"/>
      <c r="IKN3" s="44"/>
      <c r="IKO3" s="44"/>
      <c r="IKP3" s="44"/>
      <c r="IKQ3" s="44"/>
      <c r="IKR3" s="44"/>
      <c r="IKS3" s="44"/>
      <c r="IKT3" s="44"/>
      <c r="IKU3" s="44"/>
      <c r="IKV3" s="44"/>
      <c r="IKW3" s="44"/>
      <c r="IKX3" s="44"/>
      <c r="IKY3" s="44"/>
      <c r="IKZ3" s="44"/>
      <c r="ILA3" s="44"/>
      <c r="ILB3" s="44"/>
      <c r="ILC3" s="44"/>
      <c r="ILD3" s="44"/>
      <c r="ILE3" s="44"/>
      <c r="ILF3" s="44"/>
      <c r="ILG3" s="44"/>
      <c r="ILH3" s="44"/>
      <c r="ILI3" s="44"/>
      <c r="ILJ3" s="44"/>
      <c r="ILK3" s="44"/>
      <c r="ILL3" s="44"/>
      <c r="ILM3" s="44"/>
      <c r="ILN3" s="44"/>
      <c r="ILO3" s="44"/>
      <c r="ILP3" s="44"/>
      <c r="ILQ3" s="44"/>
      <c r="ILR3" s="44"/>
      <c r="ILS3" s="44"/>
      <c r="ILT3" s="44"/>
      <c r="ILU3" s="44"/>
      <c r="ILV3" s="44"/>
      <c r="ILW3" s="44"/>
      <c r="ILX3" s="44"/>
      <c r="ILY3" s="44"/>
      <c r="ILZ3" s="44"/>
      <c r="IMA3" s="44"/>
      <c r="IMB3" s="44"/>
      <c r="IMC3" s="44"/>
      <c r="IMD3" s="44"/>
      <c r="IME3" s="44"/>
      <c r="IMF3" s="44"/>
      <c r="IMG3" s="44"/>
      <c r="IMH3" s="44"/>
      <c r="IMI3" s="44"/>
      <c r="IMJ3" s="44"/>
      <c r="IMK3" s="44"/>
      <c r="IML3" s="44"/>
      <c r="IMM3" s="44"/>
      <c r="IMN3" s="44"/>
      <c r="IMO3" s="44"/>
      <c r="IMP3" s="44"/>
      <c r="IMQ3" s="44"/>
      <c r="IMR3" s="44"/>
      <c r="IMS3" s="44"/>
      <c r="IMT3" s="44"/>
      <c r="IMU3" s="44"/>
      <c r="IMV3" s="44"/>
      <c r="IMW3" s="44"/>
      <c r="IMX3" s="44"/>
      <c r="IMY3" s="44"/>
      <c r="IMZ3" s="44"/>
      <c r="INA3" s="44"/>
      <c r="INB3" s="44"/>
      <c r="INC3" s="44"/>
      <c r="IND3" s="44"/>
      <c r="INE3" s="44"/>
      <c r="INF3" s="44"/>
      <c r="ING3" s="44"/>
      <c r="INH3" s="44"/>
      <c r="INI3" s="44"/>
      <c r="INJ3" s="44"/>
      <c r="INK3" s="44"/>
      <c r="INL3" s="44"/>
      <c r="INM3" s="44"/>
      <c r="INN3" s="44"/>
      <c r="INO3" s="44"/>
      <c r="INP3" s="44"/>
      <c r="INQ3" s="44"/>
      <c r="INR3" s="44"/>
      <c r="INS3" s="44"/>
      <c r="INT3" s="44"/>
      <c r="INU3" s="44"/>
      <c r="INV3" s="44"/>
      <c r="INW3" s="44"/>
      <c r="INX3" s="44"/>
      <c r="INY3" s="44"/>
      <c r="INZ3" s="44"/>
      <c r="IOA3" s="44"/>
      <c r="IOB3" s="44"/>
      <c r="IOC3" s="44"/>
      <c r="IOD3" s="44"/>
      <c r="IOE3" s="44"/>
      <c r="IOF3" s="44"/>
      <c r="IOG3" s="44"/>
      <c r="IOH3" s="44"/>
      <c r="IOI3" s="44"/>
      <c r="IOJ3" s="44"/>
      <c r="IOK3" s="44"/>
      <c r="IOL3" s="44"/>
      <c r="IOM3" s="44"/>
      <c r="ION3" s="44"/>
      <c r="IOO3" s="44"/>
      <c r="IOP3" s="44"/>
      <c r="IOQ3" s="44"/>
      <c r="IOR3" s="44"/>
      <c r="IOS3" s="44"/>
      <c r="IOT3" s="44"/>
      <c r="IOU3" s="44"/>
      <c r="IOV3" s="44"/>
      <c r="IOW3" s="44"/>
      <c r="IOX3" s="44"/>
      <c r="IOY3" s="44"/>
      <c r="IOZ3" s="44"/>
      <c r="IPA3" s="44"/>
      <c r="IPB3" s="44"/>
      <c r="IPC3" s="44"/>
      <c r="IPD3" s="44"/>
      <c r="IPE3" s="44"/>
      <c r="IPF3" s="44"/>
      <c r="IPG3" s="44"/>
      <c r="IPH3" s="44"/>
      <c r="IPI3" s="44"/>
      <c r="IPJ3" s="44"/>
      <c r="IPK3" s="44"/>
      <c r="IPL3" s="44"/>
      <c r="IPM3" s="44"/>
      <c r="IPN3" s="44"/>
      <c r="IPO3" s="44"/>
      <c r="IPP3" s="44"/>
      <c r="IPQ3" s="44"/>
      <c r="IPR3" s="44"/>
      <c r="IPS3" s="44"/>
      <c r="IPT3" s="44"/>
      <c r="IPU3" s="44"/>
      <c r="IPV3" s="44"/>
      <c r="IPW3" s="44"/>
      <c r="IPX3" s="44"/>
      <c r="IPY3" s="44"/>
      <c r="IPZ3" s="44"/>
      <c r="IQA3" s="44"/>
      <c r="IQB3" s="44"/>
      <c r="IQC3" s="44"/>
      <c r="IQD3" s="44"/>
      <c r="IQE3" s="44"/>
      <c r="IQF3" s="44"/>
      <c r="IQG3" s="44"/>
      <c r="IQH3" s="44"/>
      <c r="IQI3" s="44"/>
      <c r="IQJ3" s="44"/>
      <c r="IQK3" s="44"/>
      <c r="IQL3" s="44"/>
      <c r="IQM3" s="44"/>
      <c r="IQN3" s="44"/>
      <c r="IQO3" s="44"/>
      <c r="IQP3" s="44"/>
      <c r="IQQ3" s="44"/>
      <c r="IQR3" s="44"/>
      <c r="IQS3" s="44"/>
      <c r="IQT3" s="44"/>
      <c r="IQU3" s="44"/>
      <c r="IQV3" s="44"/>
      <c r="IQW3" s="44"/>
      <c r="IQX3" s="44"/>
      <c r="IQY3" s="44"/>
      <c r="IQZ3" s="44"/>
      <c r="IRA3" s="44"/>
      <c r="IRB3" s="44"/>
      <c r="IRC3" s="44"/>
      <c r="IRD3" s="44"/>
      <c r="IRE3" s="44"/>
      <c r="IRF3" s="44"/>
      <c r="IRG3" s="44"/>
      <c r="IRH3" s="44"/>
      <c r="IRI3" s="44"/>
      <c r="IRJ3" s="44"/>
      <c r="IRK3" s="44"/>
      <c r="IRL3" s="44"/>
      <c r="IRM3" s="44"/>
      <c r="IRN3" s="44"/>
      <c r="IRO3" s="44"/>
      <c r="IRP3" s="44"/>
      <c r="IRQ3" s="44"/>
      <c r="IRR3" s="44"/>
      <c r="IRS3" s="44"/>
      <c r="IRT3" s="44"/>
      <c r="IRU3" s="44"/>
      <c r="IRV3" s="44"/>
      <c r="IRW3" s="44"/>
      <c r="IRX3" s="44"/>
      <c r="IRY3" s="44"/>
      <c r="IRZ3" s="44"/>
      <c r="ISA3" s="44"/>
      <c r="ISB3" s="44"/>
      <c r="ISC3" s="44"/>
      <c r="ISD3" s="44"/>
      <c r="ISE3" s="44"/>
      <c r="ISF3" s="44"/>
      <c r="ISG3" s="44"/>
      <c r="ISH3" s="44"/>
      <c r="ISI3" s="44"/>
      <c r="ISJ3" s="44"/>
      <c r="ISK3" s="44"/>
      <c r="ISL3" s="44"/>
      <c r="ISM3" s="44"/>
      <c r="ISN3" s="44"/>
      <c r="ISO3" s="44"/>
      <c r="ISP3" s="44"/>
      <c r="ISQ3" s="44"/>
      <c r="ISR3" s="44"/>
      <c r="ISS3" s="44"/>
      <c r="IST3" s="44"/>
      <c r="ISU3" s="44"/>
      <c r="ISV3" s="44"/>
      <c r="ISW3" s="44"/>
      <c r="ISX3" s="44"/>
      <c r="ISY3" s="44"/>
      <c r="ISZ3" s="44"/>
      <c r="ITA3" s="44"/>
      <c r="ITB3" s="44"/>
      <c r="ITC3" s="44"/>
      <c r="ITD3" s="44"/>
      <c r="ITE3" s="44"/>
      <c r="ITF3" s="44"/>
      <c r="ITG3" s="44"/>
      <c r="ITH3" s="44"/>
      <c r="ITI3" s="44"/>
      <c r="ITJ3" s="44"/>
      <c r="ITK3" s="44"/>
      <c r="ITL3" s="44"/>
      <c r="ITM3" s="44"/>
      <c r="ITN3" s="44"/>
      <c r="ITO3" s="44"/>
      <c r="ITP3" s="44"/>
      <c r="ITQ3" s="44"/>
      <c r="ITR3" s="44"/>
      <c r="ITS3" s="44"/>
      <c r="ITT3" s="44"/>
      <c r="ITU3" s="44"/>
      <c r="ITV3" s="44"/>
      <c r="ITW3" s="44"/>
      <c r="ITX3" s="44"/>
      <c r="ITY3" s="44"/>
      <c r="ITZ3" s="44"/>
      <c r="IUA3" s="44"/>
      <c r="IUB3" s="44"/>
      <c r="IUC3" s="44"/>
      <c r="IUD3" s="44"/>
      <c r="IUE3" s="44"/>
      <c r="IUF3" s="44"/>
      <c r="IUG3" s="44"/>
      <c r="IUH3" s="44"/>
      <c r="IUI3" s="44"/>
      <c r="IUJ3" s="44"/>
      <c r="IUK3" s="44"/>
      <c r="IUL3" s="44"/>
      <c r="IUM3" s="44"/>
      <c r="IUN3" s="44"/>
      <c r="IUO3" s="44"/>
      <c r="IUP3" s="44"/>
      <c r="IUQ3" s="44"/>
      <c r="IUR3" s="44"/>
      <c r="IUS3" s="44"/>
      <c r="IUT3" s="44"/>
      <c r="IUU3" s="44"/>
      <c r="IUV3" s="44"/>
      <c r="IUW3" s="44"/>
      <c r="IUX3" s="44"/>
      <c r="IUY3" s="44"/>
      <c r="IUZ3" s="44"/>
      <c r="IVA3" s="44"/>
      <c r="IVB3" s="44"/>
      <c r="IVC3" s="44"/>
      <c r="IVD3" s="44"/>
      <c r="IVE3" s="44"/>
      <c r="IVF3" s="44"/>
      <c r="IVG3" s="44"/>
      <c r="IVH3" s="44"/>
      <c r="IVI3" s="44"/>
      <c r="IVJ3" s="44"/>
      <c r="IVK3" s="44"/>
      <c r="IVL3" s="44"/>
      <c r="IVM3" s="44"/>
      <c r="IVN3" s="44"/>
      <c r="IVO3" s="44"/>
      <c r="IVP3" s="44"/>
      <c r="IVQ3" s="44"/>
      <c r="IVR3" s="44"/>
      <c r="IVS3" s="44"/>
      <c r="IVT3" s="44"/>
      <c r="IVU3" s="44"/>
      <c r="IVV3" s="44"/>
      <c r="IVW3" s="44"/>
      <c r="IVX3" s="44"/>
      <c r="IVY3" s="44"/>
      <c r="IVZ3" s="44"/>
      <c r="IWA3" s="44"/>
      <c r="IWB3" s="44"/>
      <c r="IWC3" s="44"/>
      <c r="IWD3" s="44"/>
      <c r="IWE3" s="44"/>
      <c r="IWF3" s="44"/>
      <c r="IWG3" s="44"/>
      <c r="IWH3" s="44"/>
      <c r="IWI3" s="44"/>
      <c r="IWJ3" s="44"/>
      <c r="IWK3" s="44"/>
      <c r="IWL3" s="44"/>
      <c r="IWM3" s="44"/>
      <c r="IWN3" s="44"/>
      <c r="IWO3" s="44"/>
      <c r="IWP3" s="44"/>
      <c r="IWQ3" s="44"/>
      <c r="IWR3" s="44"/>
      <c r="IWS3" s="44"/>
      <c r="IWT3" s="44"/>
      <c r="IWU3" s="44"/>
      <c r="IWV3" s="44"/>
      <c r="IWW3" s="44"/>
      <c r="IWX3" s="44"/>
      <c r="IWY3" s="44"/>
      <c r="IWZ3" s="44"/>
      <c r="IXA3" s="44"/>
      <c r="IXB3" s="44"/>
      <c r="IXC3" s="44"/>
      <c r="IXD3" s="44"/>
      <c r="IXE3" s="44"/>
      <c r="IXF3" s="44"/>
      <c r="IXG3" s="44"/>
      <c r="IXH3" s="44"/>
      <c r="IXI3" s="44"/>
      <c r="IXJ3" s="44"/>
      <c r="IXK3" s="44"/>
      <c r="IXL3" s="44"/>
      <c r="IXM3" s="44"/>
      <c r="IXN3" s="44"/>
      <c r="IXO3" s="44"/>
      <c r="IXP3" s="44"/>
      <c r="IXQ3" s="44"/>
      <c r="IXR3" s="44"/>
      <c r="IXS3" s="44"/>
      <c r="IXT3" s="44"/>
      <c r="IXU3" s="44"/>
      <c r="IXV3" s="44"/>
      <c r="IXW3" s="44"/>
      <c r="IXX3" s="44"/>
      <c r="IXY3" s="44"/>
      <c r="IXZ3" s="44"/>
      <c r="IYA3" s="44"/>
      <c r="IYB3" s="44"/>
      <c r="IYC3" s="44"/>
      <c r="IYD3" s="44"/>
      <c r="IYE3" s="44"/>
      <c r="IYF3" s="44"/>
      <c r="IYG3" s="44"/>
      <c r="IYH3" s="44"/>
      <c r="IYI3" s="44"/>
      <c r="IYJ3" s="44"/>
      <c r="IYK3" s="44"/>
      <c r="IYL3" s="44"/>
      <c r="IYM3" s="44"/>
      <c r="IYN3" s="44"/>
      <c r="IYO3" s="44"/>
      <c r="IYP3" s="44"/>
      <c r="IYQ3" s="44"/>
      <c r="IYR3" s="44"/>
      <c r="IYS3" s="44"/>
      <c r="IYT3" s="44"/>
      <c r="IYU3" s="44"/>
      <c r="IYV3" s="44"/>
      <c r="IYW3" s="44"/>
      <c r="IYX3" s="44"/>
      <c r="IYY3" s="44"/>
      <c r="IYZ3" s="44"/>
      <c r="IZA3" s="44"/>
      <c r="IZB3" s="44"/>
      <c r="IZC3" s="44"/>
      <c r="IZD3" s="44"/>
      <c r="IZE3" s="44"/>
      <c r="IZF3" s="44"/>
      <c r="IZG3" s="44"/>
      <c r="IZH3" s="44"/>
      <c r="IZI3" s="44"/>
      <c r="IZJ3" s="44"/>
      <c r="IZK3" s="44"/>
      <c r="IZL3" s="44"/>
      <c r="IZM3" s="44"/>
      <c r="IZN3" s="44"/>
      <c r="IZO3" s="44"/>
      <c r="IZP3" s="44"/>
      <c r="IZQ3" s="44"/>
      <c r="IZR3" s="44"/>
      <c r="IZS3" s="44"/>
      <c r="IZT3" s="44"/>
      <c r="IZU3" s="44"/>
      <c r="IZV3" s="44"/>
      <c r="IZW3" s="44"/>
      <c r="IZX3" s="44"/>
      <c r="IZY3" s="44"/>
      <c r="IZZ3" s="44"/>
      <c r="JAA3" s="44"/>
      <c r="JAB3" s="44"/>
      <c r="JAC3" s="44"/>
      <c r="JAD3" s="44"/>
      <c r="JAE3" s="44"/>
      <c r="JAF3" s="44"/>
      <c r="JAG3" s="44"/>
      <c r="JAH3" s="44"/>
      <c r="JAI3" s="44"/>
      <c r="JAJ3" s="44"/>
      <c r="JAK3" s="44"/>
      <c r="JAL3" s="44"/>
      <c r="JAM3" s="44"/>
      <c r="JAN3" s="44"/>
      <c r="JAO3" s="44"/>
      <c r="JAP3" s="44"/>
      <c r="JAQ3" s="44"/>
      <c r="JAR3" s="44"/>
      <c r="JAS3" s="44"/>
      <c r="JAT3" s="44"/>
      <c r="JAU3" s="44"/>
      <c r="JAV3" s="44"/>
      <c r="JAW3" s="44"/>
      <c r="JAX3" s="44"/>
      <c r="JAY3" s="44"/>
      <c r="JAZ3" s="44"/>
      <c r="JBA3" s="44"/>
      <c r="JBB3" s="44"/>
      <c r="JBC3" s="44"/>
      <c r="JBD3" s="44"/>
      <c r="JBE3" s="44"/>
      <c r="JBF3" s="44"/>
      <c r="JBG3" s="44"/>
      <c r="JBH3" s="44"/>
      <c r="JBI3" s="44"/>
      <c r="JBJ3" s="44"/>
      <c r="JBK3" s="44"/>
      <c r="JBL3" s="44"/>
      <c r="JBM3" s="44"/>
      <c r="JBN3" s="44"/>
      <c r="JBO3" s="44"/>
      <c r="JBP3" s="44"/>
      <c r="JBQ3" s="44"/>
      <c r="JBR3" s="44"/>
      <c r="JBS3" s="44"/>
      <c r="JBT3" s="44"/>
      <c r="JBU3" s="44"/>
      <c r="JBV3" s="44"/>
      <c r="JBW3" s="44"/>
      <c r="JBX3" s="44"/>
      <c r="JBY3" s="44"/>
      <c r="JBZ3" s="44"/>
      <c r="JCA3" s="44"/>
      <c r="JCB3" s="44"/>
      <c r="JCC3" s="44"/>
      <c r="JCD3" s="44"/>
      <c r="JCE3" s="44"/>
      <c r="JCF3" s="44"/>
      <c r="JCG3" s="44"/>
      <c r="JCH3" s="44"/>
      <c r="JCI3" s="44"/>
      <c r="JCJ3" s="44"/>
      <c r="JCK3" s="44"/>
      <c r="JCL3" s="44"/>
      <c r="JCM3" s="44"/>
      <c r="JCN3" s="44"/>
      <c r="JCO3" s="44"/>
      <c r="JCP3" s="44"/>
      <c r="JCQ3" s="44"/>
      <c r="JCR3" s="44"/>
      <c r="JCS3" s="44"/>
      <c r="JCT3" s="44"/>
      <c r="JCU3" s="44"/>
      <c r="JCV3" s="44"/>
      <c r="JCW3" s="44"/>
      <c r="JCX3" s="44"/>
      <c r="JCY3" s="44"/>
      <c r="JCZ3" s="44"/>
      <c r="JDA3" s="44"/>
      <c r="JDB3" s="44"/>
      <c r="JDC3" s="44"/>
      <c r="JDD3" s="44"/>
      <c r="JDE3" s="44"/>
      <c r="JDF3" s="44"/>
      <c r="JDG3" s="44"/>
      <c r="JDH3" s="44"/>
      <c r="JDI3" s="44"/>
      <c r="JDJ3" s="44"/>
      <c r="JDK3" s="44"/>
      <c r="JDL3" s="44"/>
      <c r="JDM3" s="44"/>
      <c r="JDN3" s="44"/>
      <c r="JDO3" s="44"/>
      <c r="JDP3" s="44"/>
      <c r="JDQ3" s="44"/>
      <c r="JDR3" s="44"/>
      <c r="JDS3" s="44"/>
      <c r="JDT3" s="44"/>
      <c r="JDU3" s="44"/>
      <c r="JDV3" s="44"/>
      <c r="JDW3" s="44"/>
      <c r="JDX3" s="44"/>
      <c r="JDY3" s="44"/>
      <c r="JDZ3" s="44"/>
      <c r="JEA3" s="44"/>
      <c r="JEB3" s="44"/>
      <c r="JEC3" s="44"/>
      <c r="JED3" s="44"/>
      <c r="JEE3" s="44"/>
      <c r="JEF3" s="44"/>
      <c r="JEG3" s="44"/>
      <c r="JEH3" s="44"/>
      <c r="JEI3" s="44"/>
      <c r="JEJ3" s="44"/>
      <c r="JEK3" s="44"/>
      <c r="JEL3" s="44"/>
      <c r="JEM3" s="44"/>
      <c r="JEN3" s="44"/>
      <c r="JEO3" s="44"/>
      <c r="JEP3" s="44"/>
      <c r="JEQ3" s="44"/>
      <c r="JER3" s="44"/>
      <c r="JES3" s="44"/>
      <c r="JET3" s="44"/>
      <c r="JEU3" s="44"/>
      <c r="JEV3" s="44"/>
      <c r="JEW3" s="44"/>
      <c r="JEX3" s="44"/>
      <c r="JEY3" s="44"/>
      <c r="JEZ3" s="44"/>
      <c r="JFA3" s="44"/>
      <c r="JFB3" s="44"/>
      <c r="JFC3" s="44"/>
      <c r="JFD3" s="44"/>
      <c r="JFE3" s="44"/>
      <c r="JFF3" s="44"/>
      <c r="JFG3" s="44"/>
      <c r="JFH3" s="44"/>
      <c r="JFI3" s="44"/>
      <c r="JFJ3" s="44"/>
      <c r="JFK3" s="44"/>
      <c r="JFL3" s="44"/>
      <c r="JFM3" s="44"/>
      <c r="JFN3" s="44"/>
      <c r="JFO3" s="44"/>
      <c r="JFP3" s="44"/>
      <c r="JFQ3" s="44"/>
      <c r="JFR3" s="44"/>
      <c r="JFS3" s="44"/>
      <c r="JFT3" s="44"/>
      <c r="JFU3" s="44"/>
      <c r="JFV3" s="44"/>
      <c r="JFW3" s="44"/>
      <c r="JFX3" s="44"/>
      <c r="JFY3" s="44"/>
      <c r="JFZ3" s="44"/>
      <c r="JGA3" s="44"/>
      <c r="JGB3" s="44"/>
      <c r="JGC3" s="44"/>
      <c r="JGD3" s="44"/>
      <c r="JGE3" s="44"/>
      <c r="JGF3" s="44"/>
      <c r="JGG3" s="44"/>
      <c r="JGH3" s="44"/>
      <c r="JGI3" s="44"/>
      <c r="JGJ3" s="44"/>
      <c r="JGK3" s="44"/>
      <c r="JGL3" s="44"/>
      <c r="JGM3" s="44"/>
      <c r="JGN3" s="44"/>
      <c r="JGO3" s="44"/>
      <c r="JGP3" s="44"/>
      <c r="JGQ3" s="44"/>
      <c r="JGR3" s="44"/>
      <c r="JGS3" s="44"/>
      <c r="JGT3" s="44"/>
      <c r="JGU3" s="44"/>
      <c r="JGV3" s="44"/>
      <c r="JGW3" s="44"/>
      <c r="JGX3" s="44"/>
      <c r="JGY3" s="44"/>
      <c r="JGZ3" s="44"/>
      <c r="JHA3" s="44"/>
      <c r="JHB3" s="44"/>
      <c r="JHC3" s="44"/>
      <c r="JHD3" s="44"/>
      <c r="JHE3" s="44"/>
      <c r="JHF3" s="44"/>
      <c r="JHG3" s="44"/>
      <c r="JHH3" s="44"/>
      <c r="JHI3" s="44"/>
      <c r="JHJ3" s="44"/>
      <c r="JHK3" s="44"/>
      <c r="JHL3" s="44"/>
      <c r="JHM3" s="44"/>
      <c r="JHN3" s="44"/>
      <c r="JHO3" s="44"/>
      <c r="JHP3" s="44"/>
      <c r="JHQ3" s="44"/>
      <c r="JHR3" s="44"/>
      <c r="JHS3" s="44"/>
      <c r="JHT3" s="44"/>
      <c r="JHU3" s="44"/>
      <c r="JHV3" s="44"/>
      <c r="JHW3" s="44"/>
      <c r="JHX3" s="44"/>
      <c r="JHY3" s="44"/>
      <c r="JHZ3" s="44"/>
      <c r="JIA3" s="44"/>
      <c r="JIB3" s="44"/>
      <c r="JIC3" s="44"/>
      <c r="JID3" s="44"/>
      <c r="JIE3" s="44"/>
      <c r="JIF3" s="44"/>
      <c r="JIG3" s="44"/>
      <c r="JIH3" s="44"/>
      <c r="JII3" s="44"/>
      <c r="JIJ3" s="44"/>
      <c r="JIK3" s="44"/>
      <c r="JIL3" s="44"/>
      <c r="JIM3" s="44"/>
      <c r="JIN3" s="44"/>
      <c r="JIO3" s="44"/>
      <c r="JIP3" s="44"/>
      <c r="JIQ3" s="44"/>
      <c r="JIR3" s="44"/>
      <c r="JIS3" s="44"/>
      <c r="JIT3" s="44"/>
      <c r="JIU3" s="44"/>
      <c r="JIV3" s="44"/>
      <c r="JIW3" s="44"/>
      <c r="JIX3" s="44"/>
      <c r="JIY3" s="44"/>
      <c r="JIZ3" s="44"/>
      <c r="JJA3" s="44"/>
      <c r="JJB3" s="44"/>
      <c r="JJC3" s="44"/>
      <c r="JJD3" s="44"/>
      <c r="JJE3" s="44"/>
      <c r="JJF3" s="44"/>
      <c r="JJG3" s="44"/>
      <c r="JJH3" s="44"/>
      <c r="JJI3" s="44"/>
      <c r="JJJ3" s="44"/>
      <c r="JJK3" s="44"/>
      <c r="JJL3" s="44"/>
      <c r="JJM3" s="44"/>
      <c r="JJN3" s="44"/>
      <c r="JJO3" s="44"/>
      <c r="JJP3" s="44"/>
      <c r="JJQ3" s="44"/>
      <c r="JJR3" s="44"/>
      <c r="JJS3" s="44"/>
      <c r="JJT3" s="44"/>
      <c r="JJU3" s="44"/>
      <c r="JJV3" s="44"/>
      <c r="JJW3" s="44"/>
      <c r="JJX3" s="44"/>
      <c r="JJY3" s="44"/>
      <c r="JJZ3" s="44"/>
      <c r="JKA3" s="44"/>
      <c r="JKB3" s="44"/>
      <c r="JKC3" s="44"/>
      <c r="JKD3" s="44"/>
      <c r="JKE3" s="44"/>
      <c r="JKF3" s="44"/>
      <c r="JKG3" s="44"/>
      <c r="JKH3" s="44"/>
      <c r="JKI3" s="44"/>
      <c r="JKJ3" s="44"/>
      <c r="JKK3" s="44"/>
      <c r="JKL3" s="44"/>
      <c r="JKM3" s="44"/>
      <c r="JKN3" s="44"/>
      <c r="JKO3" s="44"/>
      <c r="JKP3" s="44"/>
      <c r="JKQ3" s="44"/>
      <c r="JKR3" s="44"/>
      <c r="JKS3" s="44"/>
      <c r="JKT3" s="44"/>
      <c r="JKU3" s="44"/>
      <c r="JKV3" s="44"/>
      <c r="JKW3" s="44"/>
      <c r="JKX3" s="44"/>
      <c r="JKY3" s="44"/>
      <c r="JKZ3" s="44"/>
      <c r="JLA3" s="44"/>
      <c r="JLB3" s="44"/>
      <c r="JLC3" s="44"/>
      <c r="JLD3" s="44"/>
      <c r="JLE3" s="44"/>
      <c r="JLF3" s="44"/>
      <c r="JLG3" s="44"/>
      <c r="JLH3" s="44"/>
      <c r="JLI3" s="44"/>
      <c r="JLJ3" s="44"/>
      <c r="JLK3" s="44"/>
      <c r="JLL3" s="44"/>
      <c r="JLM3" s="44"/>
      <c r="JLN3" s="44"/>
      <c r="JLO3" s="44"/>
      <c r="JLP3" s="44"/>
      <c r="JLQ3" s="44"/>
      <c r="JLR3" s="44"/>
      <c r="JLS3" s="44"/>
      <c r="JLT3" s="44"/>
      <c r="JLU3" s="44"/>
      <c r="JLV3" s="44"/>
      <c r="JLW3" s="44"/>
      <c r="JLX3" s="44"/>
      <c r="JLY3" s="44"/>
      <c r="JLZ3" s="44"/>
      <c r="JMA3" s="44"/>
      <c r="JMB3" s="44"/>
      <c r="JMC3" s="44"/>
      <c r="JMD3" s="44"/>
      <c r="JME3" s="44"/>
      <c r="JMF3" s="44"/>
      <c r="JMG3" s="44"/>
      <c r="JMH3" s="44"/>
      <c r="JMI3" s="44"/>
      <c r="JMJ3" s="44"/>
      <c r="JMK3" s="44"/>
      <c r="JML3" s="44"/>
      <c r="JMM3" s="44"/>
      <c r="JMN3" s="44"/>
      <c r="JMO3" s="44"/>
      <c r="JMP3" s="44"/>
      <c r="JMQ3" s="44"/>
      <c r="JMR3" s="44"/>
      <c r="JMS3" s="44"/>
      <c r="JMT3" s="44"/>
      <c r="JMU3" s="44"/>
      <c r="JMV3" s="44"/>
      <c r="JMW3" s="44"/>
      <c r="JMX3" s="44"/>
      <c r="JMY3" s="44"/>
      <c r="JMZ3" s="44"/>
      <c r="JNA3" s="44"/>
      <c r="JNB3" s="44"/>
      <c r="JNC3" s="44"/>
      <c r="JND3" s="44"/>
      <c r="JNE3" s="44"/>
      <c r="JNF3" s="44"/>
      <c r="JNG3" s="44"/>
      <c r="JNH3" s="44"/>
      <c r="JNI3" s="44"/>
      <c r="JNJ3" s="44"/>
      <c r="JNK3" s="44"/>
      <c r="JNL3" s="44"/>
      <c r="JNM3" s="44"/>
      <c r="JNN3" s="44"/>
      <c r="JNO3" s="44"/>
      <c r="JNP3" s="44"/>
      <c r="JNQ3" s="44"/>
      <c r="JNR3" s="44"/>
      <c r="JNS3" s="44"/>
      <c r="JNT3" s="44"/>
      <c r="JNU3" s="44"/>
      <c r="JNV3" s="44"/>
      <c r="JNW3" s="44"/>
      <c r="JNX3" s="44"/>
      <c r="JNY3" s="44"/>
      <c r="JNZ3" s="44"/>
      <c r="JOA3" s="44"/>
      <c r="JOB3" s="44"/>
      <c r="JOC3" s="44"/>
      <c r="JOD3" s="44"/>
      <c r="JOE3" s="44"/>
      <c r="JOF3" s="44"/>
      <c r="JOG3" s="44"/>
      <c r="JOH3" s="44"/>
      <c r="JOI3" s="44"/>
      <c r="JOJ3" s="44"/>
      <c r="JOK3" s="44"/>
      <c r="JOL3" s="44"/>
      <c r="JOM3" s="44"/>
      <c r="JON3" s="44"/>
      <c r="JOO3" s="44"/>
      <c r="JOP3" s="44"/>
      <c r="JOQ3" s="44"/>
      <c r="JOR3" s="44"/>
      <c r="JOS3" s="44"/>
      <c r="JOT3" s="44"/>
      <c r="JOU3" s="44"/>
      <c r="JOV3" s="44"/>
      <c r="JOW3" s="44"/>
      <c r="JOX3" s="44"/>
      <c r="JOY3" s="44"/>
      <c r="JOZ3" s="44"/>
      <c r="JPA3" s="44"/>
      <c r="JPB3" s="44"/>
      <c r="JPC3" s="44"/>
      <c r="JPD3" s="44"/>
      <c r="JPE3" s="44"/>
      <c r="JPF3" s="44"/>
      <c r="JPG3" s="44"/>
      <c r="JPH3" s="44"/>
      <c r="JPI3" s="44"/>
      <c r="JPJ3" s="44"/>
      <c r="JPK3" s="44"/>
      <c r="JPL3" s="44"/>
      <c r="JPM3" s="44"/>
      <c r="JPN3" s="44"/>
      <c r="JPO3" s="44"/>
      <c r="JPP3" s="44"/>
      <c r="JPQ3" s="44"/>
      <c r="JPR3" s="44"/>
      <c r="JPS3" s="44"/>
      <c r="JPT3" s="44"/>
      <c r="JPU3" s="44"/>
      <c r="JPV3" s="44"/>
      <c r="JPW3" s="44"/>
      <c r="JPX3" s="44"/>
      <c r="JPY3" s="44"/>
      <c r="JPZ3" s="44"/>
      <c r="JQA3" s="44"/>
      <c r="JQB3" s="44"/>
      <c r="JQC3" s="44"/>
      <c r="JQD3" s="44"/>
      <c r="JQE3" s="44"/>
      <c r="JQF3" s="44"/>
      <c r="JQG3" s="44"/>
      <c r="JQH3" s="44"/>
      <c r="JQI3" s="44"/>
      <c r="JQJ3" s="44"/>
      <c r="JQK3" s="44"/>
      <c r="JQL3" s="44"/>
      <c r="JQM3" s="44"/>
      <c r="JQN3" s="44"/>
      <c r="JQO3" s="44"/>
      <c r="JQP3" s="44"/>
      <c r="JQQ3" s="44"/>
      <c r="JQR3" s="44"/>
      <c r="JQS3" s="44"/>
      <c r="JQT3" s="44"/>
      <c r="JQU3" s="44"/>
      <c r="JQV3" s="44"/>
      <c r="JQW3" s="44"/>
      <c r="JQX3" s="44"/>
      <c r="JQY3" s="44"/>
      <c r="JQZ3" s="44"/>
      <c r="JRA3" s="44"/>
      <c r="JRB3" s="44"/>
      <c r="JRC3" s="44"/>
      <c r="JRD3" s="44"/>
      <c r="JRE3" s="44"/>
      <c r="JRF3" s="44"/>
      <c r="JRG3" s="44"/>
      <c r="JRH3" s="44"/>
      <c r="JRI3" s="44"/>
      <c r="JRJ3" s="44"/>
      <c r="JRK3" s="44"/>
      <c r="JRL3" s="44"/>
      <c r="JRM3" s="44"/>
      <c r="JRN3" s="44"/>
      <c r="JRO3" s="44"/>
      <c r="JRP3" s="44"/>
      <c r="JRQ3" s="44"/>
      <c r="JRR3" s="44"/>
      <c r="JRS3" s="44"/>
      <c r="JRT3" s="44"/>
      <c r="JRU3" s="44"/>
      <c r="JRV3" s="44"/>
      <c r="JRW3" s="44"/>
      <c r="JRX3" s="44"/>
      <c r="JRY3" s="44"/>
      <c r="JRZ3" s="44"/>
      <c r="JSA3" s="44"/>
      <c r="JSB3" s="44"/>
      <c r="JSC3" s="44"/>
      <c r="JSD3" s="44"/>
      <c r="JSE3" s="44"/>
      <c r="JSF3" s="44"/>
      <c r="JSG3" s="44"/>
      <c r="JSH3" s="44"/>
      <c r="JSI3" s="44"/>
      <c r="JSJ3" s="44"/>
      <c r="JSK3" s="44"/>
      <c r="JSL3" s="44"/>
      <c r="JSM3" s="44"/>
      <c r="JSN3" s="44"/>
      <c r="JSO3" s="44"/>
      <c r="JSP3" s="44"/>
      <c r="JSQ3" s="44"/>
      <c r="JSR3" s="44"/>
      <c r="JSS3" s="44"/>
      <c r="JST3" s="44"/>
      <c r="JSU3" s="44"/>
      <c r="JSV3" s="44"/>
      <c r="JSW3" s="44"/>
      <c r="JSX3" s="44"/>
      <c r="JSY3" s="44"/>
      <c r="JSZ3" s="44"/>
      <c r="JTA3" s="44"/>
      <c r="JTB3" s="44"/>
      <c r="JTC3" s="44"/>
      <c r="JTD3" s="44"/>
      <c r="JTE3" s="44"/>
      <c r="JTF3" s="44"/>
      <c r="JTG3" s="44"/>
      <c r="JTH3" s="44"/>
      <c r="JTI3" s="44"/>
      <c r="JTJ3" s="44"/>
      <c r="JTK3" s="44"/>
      <c r="JTL3" s="44"/>
      <c r="JTM3" s="44"/>
      <c r="JTN3" s="44"/>
      <c r="JTO3" s="44"/>
      <c r="JTP3" s="44"/>
      <c r="JTQ3" s="44"/>
      <c r="JTR3" s="44"/>
      <c r="JTS3" s="44"/>
      <c r="JTT3" s="44"/>
      <c r="JTU3" s="44"/>
      <c r="JTV3" s="44"/>
      <c r="JTW3" s="44"/>
      <c r="JTX3" s="44"/>
      <c r="JTY3" s="44"/>
      <c r="JTZ3" s="44"/>
      <c r="JUA3" s="44"/>
      <c r="JUB3" s="44"/>
      <c r="JUC3" s="44"/>
      <c r="JUD3" s="44"/>
      <c r="JUE3" s="44"/>
      <c r="JUF3" s="44"/>
      <c r="JUG3" s="44"/>
      <c r="JUH3" s="44"/>
      <c r="JUI3" s="44"/>
      <c r="JUJ3" s="44"/>
      <c r="JUK3" s="44"/>
      <c r="JUL3" s="44"/>
      <c r="JUM3" s="44"/>
      <c r="JUN3" s="44"/>
      <c r="JUO3" s="44"/>
      <c r="JUP3" s="44"/>
      <c r="JUQ3" s="44"/>
      <c r="JUR3" s="44"/>
      <c r="JUS3" s="44"/>
      <c r="JUT3" s="44"/>
      <c r="JUU3" s="44"/>
      <c r="JUV3" s="44"/>
      <c r="JUW3" s="44"/>
      <c r="JUX3" s="44"/>
      <c r="JUY3" s="44"/>
      <c r="JUZ3" s="44"/>
      <c r="JVA3" s="44"/>
      <c r="JVB3" s="44"/>
      <c r="JVC3" s="44"/>
      <c r="JVD3" s="44"/>
      <c r="JVE3" s="44"/>
      <c r="JVF3" s="44"/>
      <c r="JVG3" s="44"/>
      <c r="JVH3" s="44"/>
      <c r="JVI3" s="44"/>
      <c r="JVJ3" s="44"/>
      <c r="JVK3" s="44"/>
      <c r="JVL3" s="44"/>
      <c r="JVM3" s="44"/>
      <c r="JVN3" s="44"/>
      <c r="JVO3" s="44"/>
      <c r="JVP3" s="44"/>
      <c r="JVQ3" s="44"/>
      <c r="JVR3" s="44"/>
      <c r="JVS3" s="44"/>
      <c r="JVT3" s="44"/>
      <c r="JVU3" s="44"/>
      <c r="JVV3" s="44"/>
      <c r="JVW3" s="44"/>
      <c r="JVX3" s="44"/>
      <c r="JVY3" s="44"/>
      <c r="JVZ3" s="44"/>
      <c r="JWA3" s="44"/>
      <c r="JWB3" s="44"/>
      <c r="JWC3" s="44"/>
      <c r="JWD3" s="44"/>
      <c r="JWE3" s="44"/>
      <c r="JWF3" s="44"/>
      <c r="JWG3" s="44"/>
      <c r="JWH3" s="44"/>
      <c r="JWI3" s="44"/>
      <c r="JWJ3" s="44"/>
      <c r="JWK3" s="44"/>
      <c r="JWL3" s="44"/>
      <c r="JWM3" s="44"/>
      <c r="JWN3" s="44"/>
      <c r="JWO3" s="44"/>
      <c r="JWP3" s="44"/>
      <c r="JWQ3" s="44"/>
      <c r="JWR3" s="44"/>
      <c r="JWS3" s="44"/>
      <c r="JWT3" s="44"/>
      <c r="JWU3" s="44"/>
      <c r="JWV3" s="44"/>
      <c r="JWW3" s="44"/>
      <c r="JWX3" s="44"/>
      <c r="JWY3" s="44"/>
      <c r="JWZ3" s="44"/>
      <c r="JXA3" s="44"/>
      <c r="JXB3" s="44"/>
      <c r="JXC3" s="44"/>
      <c r="JXD3" s="44"/>
      <c r="JXE3" s="44"/>
      <c r="JXF3" s="44"/>
      <c r="JXG3" s="44"/>
      <c r="JXH3" s="44"/>
      <c r="JXI3" s="44"/>
      <c r="JXJ3" s="44"/>
      <c r="JXK3" s="44"/>
      <c r="JXL3" s="44"/>
      <c r="JXM3" s="44"/>
      <c r="JXN3" s="44"/>
      <c r="JXO3" s="44"/>
      <c r="JXP3" s="44"/>
      <c r="JXQ3" s="44"/>
      <c r="JXR3" s="44"/>
      <c r="JXS3" s="44"/>
      <c r="JXT3" s="44"/>
      <c r="JXU3" s="44"/>
      <c r="JXV3" s="44"/>
      <c r="JXW3" s="44"/>
      <c r="JXX3" s="44"/>
      <c r="JXY3" s="44"/>
      <c r="JXZ3" s="44"/>
      <c r="JYA3" s="44"/>
      <c r="JYB3" s="44"/>
      <c r="JYC3" s="44"/>
      <c r="JYD3" s="44"/>
      <c r="JYE3" s="44"/>
      <c r="JYF3" s="44"/>
      <c r="JYG3" s="44"/>
      <c r="JYH3" s="44"/>
      <c r="JYI3" s="44"/>
      <c r="JYJ3" s="44"/>
      <c r="JYK3" s="44"/>
      <c r="JYL3" s="44"/>
      <c r="JYM3" s="44"/>
      <c r="JYN3" s="44"/>
      <c r="JYO3" s="44"/>
      <c r="JYP3" s="44"/>
      <c r="JYQ3" s="44"/>
      <c r="JYR3" s="44"/>
      <c r="JYS3" s="44"/>
      <c r="JYT3" s="44"/>
      <c r="JYU3" s="44"/>
      <c r="JYV3" s="44"/>
      <c r="JYW3" s="44"/>
      <c r="JYX3" s="44"/>
      <c r="JYY3" s="44"/>
      <c r="JYZ3" s="44"/>
      <c r="JZA3" s="44"/>
      <c r="JZB3" s="44"/>
      <c r="JZC3" s="44"/>
      <c r="JZD3" s="44"/>
      <c r="JZE3" s="44"/>
      <c r="JZF3" s="44"/>
      <c r="JZG3" s="44"/>
      <c r="JZH3" s="44"/>
      <c r="JZI3" s="44"/>
      <c r="JZJ3" s="44"/>
      <c r="JZK3" s="44"/>
      <c r="JZL3" s="44"/>
      <c r="JZM3" s="44"/>
      <c r="JZN3" s="44"/>
      <c r="JZO3" s="44"/>
      <c r="JZP3" s="44"/>
      <c r="JZQ3" s="44"/>
      <c r="JZR3" s="44"/>
      <c r="JZS3" s="44"/>
      <c r="JZT3" s="44"/>
      <c r="JZU3" s="44"/>
      <c r="JZV3" s="44"/>
      <c r="JZW3" s="44"/>
      <c r="JZX3" s="44"/>
      <c r="JZY3" s="44"/>
      <c r="JZZ3" s="44"/>
      <c r="KAA3" s="44"/>
      <c r="KAB3" s="44"/>
      <c r="KAC3" s="44"/>
      <c r="KAD3" s="44"/>
      <c r="KAE3" s="44"/>
      <c r="KAF3" s="44"/>
      <c r="KAG3" s="44"/>
      <c r="KAH3" s="44"/>
      <c r="KAI3" s="44"/>
      <c r="KAJ3" s="44"/>
      <c r="KAK3" s="44"/>
      <c r="KAL3" s="44"/>
      <c r="KAM3" s="44"/>
      <c r="KAN3" s="44"/>
      <c r="KAO3" s="44"/>
      <c r="KAP3" s="44"/>
      <c r="KAQ3" s="44"/>
      <c r="KAR3" s="44"/>
      <c r="KAS3" s="44"/>
      <c r="KAT3" s="44"/>
      <c r="KAU3" s="44"/>
      <c r="KAV3" s="44"/>
      <c r="KAW3" s="44"/>
      <c r="KAX3" s="44"/>
      <c r="KAY3" s="44"/>
      <c r="KAZ3" s="44"/>
      <c r="KBA3" s="44"/>
      <c r="KBB3" s="44"/>
      <c r="KBC3" s="44"/>
      <c r="KBD3" s="44"/>
      <c r="KBE3" s="44"/>
      <c r="KBF3" s="44"/>
      <c r="KBG3" s="44"/>
      <c r="KBH3" s="44"/>
      <c r="KBI3" s="44"/>
      <c r="KBJ3" s="44"/>
      <c r="KBK3" s="44"/>
      <c r="KBL3" s="44"/>
      <c r="KBM3" s="44"/>
      <c r="KBN3" s="44"/>
      <c r="KBO3" s="44"/>
      <c r="KBP3" s="44"/>
      <c r="KBQ3" s="44"/>
      <c r="KBR3" s="44"/>
      <c r="KBS3" s="44"/>
      <c r="KBT3" s="44"/>
      <c r="KBU3" s="44"/>
      <c r="KBV3" s="44"/>
      <c r="KBW3" s="44"/>
      <c r="KBX3" s="44"/>
      <c r="KBY3" s="44"/>
      <c r="KBZ3" s="44"/>
      <c r="KCA3" s="44"/>
      <c r="KCB3" s="44"/>
      <c r="KCC3" s="44"/>
      <c r="KCD3" s="44"/>
      <c r="KCE3" s="44"/>
      <c r="KCF3" s="44"/>
      <c r="KCG3" s="44"/>
      <c r="KCH3" s="44"/>
      <c r="KCI3" s="44"/>
      <c r="KCJ3" s="44"/>
      <c r="KCK3" s="44"/>
      <c r="KCL3" s="44"/>
      <c r="KCM3" s="44"/>
      <c r="KCN3" s="44"/>
      <c r="KCO3" s="44"/>
      <c r="KCP3" s="44"/>
      <c r="KCQ3" s="44"/>
      <c r="KCR3" s="44"/>
      <c r="KCS3" s="44"/>
      <c r="KCT3" s="44"/>
      <c r="KCU3" s="44"/>
      <c r="KCV3" s="44"/>
      <c r="KCW3" s="44"/>
      <c r="KCX3" s="44"/>
      <c r="KCY3" s="44"/>
      <c r="KCZ3" s="44"/>
      <c r="KDA3" s="44"/>
      <c r="KDB3" s="44"/>
      <c r="KDC3" s="44"/>
      <c r="KDD3" s="44"/>
      <c r="KDE3" s="44"/>
      <c r="KDF3" s="44"/>
      <c r="KDG3" s="44"/>
      <c r="KDH3" s="44"/>
      <c r="KDI3" s="44"/>
      <c r="KDJ3" s="44"/>
      <c r="KDK3" s="44"/>
      <c r="KDL3" s="44"/>
      <c r="KDM3" s="44"/>
      <c r="KDN3" s="44"/>
      <c r="KDO3" s="44"/>
      <c r="KDP3" s="44"/>
      <c r="KDQ3" s="44"/>
      <c r="KDR3" s="44"/>
      <c r="KDS3" s="44"/>
      <c r="KDT3" s="44"/>
      <c r="KDU3" s="44"/>
      <c r="KDV3" s="44"/>
      <c r="KDW3" s="44"/>
      <c r="KDX3" s="44"/>
      <c r="KDY3" s="44"/>
      <c r="KDZ3" s="44"/>
      <c r="KEA3" s="44"/>
      <c r="KEB3" s="44"/>
      <c r="KEC3" s="44"/>
      <c r="KED3" s="44"/>
      <c r="KEE3" s="44"/>
      <c r="KEF3" s="44"/>
      <c r="KEG3" s="44"/>
      <c r="KEH3" s="44"/>
      <c r="KEI3" s="44"/>
      <c r="KEJ3" s="44"/>
      <c r="KEK3" s="44"/>
      <c r="KEL3" s="44"/>
      <c r="KEM3" s="44"/>
      <c r="KEN3" s="44"/>
      <c r="KEO3" s="44"/>
      <c r="KEP3" s="44"/>
      <c r="KEQ3" s="44"/>
      <c r="KER3" s="44"/>
      <c r="KES3" s="44"/>
      <c r="KET3" s="44"/>
      <c r="KEU3" s="44"/>
      <c r="KEV3" s="44"/>
      <c r="KEW3" s="44"/>
      <c r="KEX3" s="44"/>
      <c r="KEY3" s="44"/>
      <c r="KEZ3" s="44"/>
      <c r="KFA3" s="44"/>
      <c r="KFB3" s="44"/>
      <c r="KFC3" s="44"/>
      <c r="KFD3" s="44"/>
      <c r="KFE3" s="44"/>
      <c r="KFF3" s="44"/>
      <c r="KFG3" s="44"/>
      <c r="KFH3" s="44"/>
      <c r="KFI3" s="44"/>
      <c r="KFJ3" s="44"/>
      <c r="KFK3" s="44"/>
      <c r="KFL3" s="44"/>
      <c r="KFM3" s="44"/>
      <c r="KFN3" s="44"/>
      <c r="KFO3" s="44"/>
      <c r="KFP3" s="44"/>
      <c r="KFQ3" s="44"/>
      <c r="KFR3" s="44"/>
      <c r="KFS3" s="44"/>
      <c r="KFT3" s="44"/>
      <c r="KFU3" s="44"/>
      <c r="KFV3" s="44"/>
      <c r="KFW3" s="44"/>
      <c r="KFX3" s="44"/>
      <c r="KFY3" s="44"/>
      <c r="KFZ3" s="44"/>
      <c r="KGA3" s="44"/>
      <c r="KGB3" s="44"/>
      <c r="KGC3" s="44"/>
      <c r="KGD3" s="44"/>
      <c r="KGE3" s="44"/>
      <c r="KGF3" s="44"/>
      <c r="KGG3" s="44"/>
      <c r="KGH3" s="44"/>
      <c r="KGI3" s="44"/>
      <c r="KGJ3" s="44"/>
      <c r="KGK3" s="44"/>
      <c r="KGL3" s="44"/>
      <c r="KGM3" s="44"/>
      <c r="KGN3" s="44"/>
      <c r="KGO3" s="44"/>
      <c r="KGP3" s="44"/>
      <c r="KGQ3" s="44"/>
      <c r="KGR3" s="44"/>
      <c r="KGS3" s="44"/>
      <c r="KGT3" s="44"/>
      <c r="KGU3" s="44"/>
      <c r="KGV3" s="44"/>
      <c r="KGW3" s="44"/>
      <c r="KGX3" s="44"/>
      <c r="KGY3" s="44"/>
      <c r="KGZ3" s="44"/>
      <c r="KHA3" s="44"/>
      <c r="KHB3" s="44"/>
      <c r="KHC3" s="44"/>
      <c r="KHD3" s="44"/>
      <c r="KHE3" s="44"/>
      <c r="KHF3" s="44"/>
      <c r="KHG3" s="44"/>
      <c r="KHH3" s="44"/>
      <c r="KHI3" s="44"/>
      <c r="KHJ3" s="44"/>
      <c r="KHK3" s="44"/>
      <c r="KHL3" s="44"/>
      <c r="KHM3" s="44"/>
      <c r="KHN3" s="44"/>
      <c r="KHO3" s="44"/>
      <c r="KHP3" s="44"/>
      <c r="KHQ3" s="44"/>
      <c r="KHR3" s="44"/>
      <c r="KHS3" s="44"/>
      <c r="KHT3" s="44"/>
      <c r="KHU3" s="44"/>
      <c r="KHV3" s="44"/>
      <c r="KHW3" s="44"/>
      <c r="KHX3" s="44"/>
      <c r="KHY3" s="44"/>
      <c r="KHZ3" s="44"/>
      <c r="KIA3" s="44"/>
      <c r="KIB3" s="44"/>
      <c r="KIC3" s="44"/>
      <c r="KID3" s="44"/>
      <c r="KIE3" s="44"/>
      <c r="KIF3" s="44"/>
      <c r="KIG3" s="44"/>
      <c r="KIH3" s="44"/>
      <c r="KII3" s="44"/>
      <c r="KIJ3" s="44"/>
      <c r="KIK3" s="44"/>
      <c r="KIL3" s="44"/>
      <c r="KIM3" s="44"/>
      <c r="KIN3" s="44"/>
      <c r="KIO3" s="44"/>
      <c r="KIP3" s="44"/>
      <c r="KIQ3" s="44"/>
      <c r="KIR3" s="44"/>
      <c r="KIS3" s="44"/>
      <c r="KIT3" s="44"/>
      <c r="KIU3" s="44"/>
      <c r="KIV3" s="44"/>
      <c r="KIW3" s="44"/>
      <c r="KIX3" s="44"/>
      <c r="KIY3" s="44"/>
      <c r="KIZ3" s="44"/>
      <c r="KJA3" s="44"/>
      <c r="KJB3" s="44"/>
      <c r="KJC3" s="44"/>
      <c r="KJD3" s="44"/>
      <c r="KJE3" s="44"/>
      <c r="KJF3" s="44"/>
      <c r="KJG3" s="44"/>
      <c r="KJH3" s="44"/>
      <c r="KJI3" s="44"/>
      <c r="KJJ3" s="44"/>
      <c r="KJK3" s="44"/>
      <c r="KJL3" s="44"/>
      <c r="KJM3" s="44"/>
      <c r="KJN3" s="44"/>
      <c r="KJO3" s="44"/>
      <c r="KJP3" s="44"/>
      <c r="KJQ3" s="44"/>
      <c r="KJR3" s="44"/>
      <c r="KJS3" s="44"/>
      <c r="KJT3" s="44"/>
      <c r="KJU3" s="44"/>
      <c r="KJV3" s="44"/>
      <c r="KJW3" s="44"/>
      <c r="KJX3" s="44"/>
      <c r="KJY3" s="44"/>
      <c r="KJZ3" s="44"/>
      <c r="KKA3" s="44"/>
      <c r="KKB3" s="44"/>
      <c r="KKC3" s="44"/>
      <c r="KKD3" s="44"/>
      <c r="KKE3" s="44"/>
      <c r="KKF3" s="44"/>
      <c r="KKG3" s="44"/>
      <c r="KKH3" s="44"/>
      <c r="KKI3" s="44"/>
      <c r="KKJ3" s="44"/>
      <c r="KKK3" s="44"/>
      <c r="KKL3" s="44"/>
      <c r="KKM3" s="44"/>
      <c r="KKN3" s="44"/>
      <c r="KKO3" s="44"/>
      <c r="KKP3" s="44"/>
      <c r="KKQ3" s="44"/>
      <c r="KKR3" s="44"/>
      <c r="KKS3" s="44"/>
      <c r="KKT3" s="44"/>
      <c r="KKU3" s="44"/>
      <c r="KKV3" s="44"/>
      <c r="KKW3" s="44"/>
      <c r="KKX3" s="44"/>
      <c r="KKY3" s="44"/>
      <c r="KKZ3" s="44"/>
      <c r="KLA3" s="44"/>
      <c r="KLB3" s="44"/>
      <c r="KLC3" s="44"/>
      <c r="KLD3" s="44"/>
      <c r="KLE3" s="44"/>
      <c r="KLF3" s="44"/>
      <c r="KLG3" s="44"/>
      <c r="KLH3" s="44"/>
      <c r="KLI3" s="44"/>
      <c r="KLJ3" s="44"/>
      <c r="KLK3" s="44"/>
      <c r="KLL3" s="44"/>
      <c r="KLM3" s="44"/>
      <c r="KLN3" s="44"/>
      <c r="KLO3" s="44"/>
      <c r="KLP3" s="44"/>
      <c r="KLQ3" s="44"/>
      <c r="KLR3" s="44"/>
      <c r="KLS3" s="44"/>
      <c r="KLT3" s="44"/>
      <c r="KLU3" s="44"/>
      <c r="KLV3" s="44"/>
      <c r="KLW3" s="44"/>
      <c r="KLX3" s="44"/>
      <c r="KLY3" s="44"/>
      <c r="KLZ3" s="44"/>
      <c r="KMA3" s="44"/>
      <c r="KMB3" s="44"/>
      <c r="KMC3" s="44"/>
      <c r="KMD3" s="44"/>
      <c r="KME3" s="44"/>
      <c r="KMF3" s="44"/>
      <c r="KMG3" s="44"/>
      <c r="KMH3" s="44"/>
      <c r="KMI3" s="44"/>
      <c r="KMJ3" s="44"/>
      <c r="KMK3" s="44"/>
      <c r="KML3" s="44"/>
      <c r="KMM3" s="44"/>
      <c r="KMN3" s="44"/>
      <c r="KMO3" s="44"/>
      <c r="KMP3" s="44"/>
      <c r="KMQ3" s="44"/>
      <c r="KMR3" s="44"/>
      <c r="KMS3" s="44"/>
      <c r="KMT3" s="44"/>
      <c r="KMU3" s="44"/>
      <c r="KMV3" s="44"/>
      <c r="KMW3" s="44"/>
      <c r="KMX3" s="44"/>
      <c r="KMY3" s="44"/>
      <c r="KMZ3" s="44"/>
      <c r="KNA3" s="44"/>
      <c r="KNB3" s="44"/>
      <c r="KNC3" s="44"/>
      <c r="KND3" s="44"/>
      <c r="KNE3" s="44"/>
      <c r="KNF3" s="44"/>
      <c r="KNG3" s="44"/>
      <c r="KNH3" s="44"/>
      <c r="KNI3" s="44"/>
      <c r="KNJ3" s="44"/>
      <c r="KNK3" s="44"/>
      <c r="KNL3" s="44"/>
      <c r="KNM3" s="44"/>
      <c r="KNN3" s="44"/>
      <c r="KNO3" s="44"/>
      <c r="KNP3" s="44"/>
      <c r="KNQ3" s="44"/>
      <c r="KNR3" s="44"/>
      <c r="KNS3" s="44"/>
      <c r="KNT3" s="44"/>
      <c r="KNU3" s="44"/>
      <c r="KNV3" s="44"/>
      <c r="KNW3" s="44"/>
      <c r="KNX3" s="44"/>
      <c r="KNY3" s="44"/>
      <c r="KNZ3" s="44"/>
      <c r="KOA3" s="44"/>
      <c r="KOB3" s="44"/>
      <c r="KOC3" s="44"/>
      <c r="KOD3" s="44"/>
      <c r="KOE3" s="44"/>
      <c r="KOF3" s="44"/>
      <c r="KOG3" s="44"/>
      <c r="KOH3" s="44"/>
      <c r="KOI3" s="44"/>
      <c r="KOJ3" s="44"/>
      <c r="KOK3" s="44"/>
      <c r="KOL3" s="44"/>
      <c r="KOM3" s="44"/>
      <c r="KON3" s="44"/>
      <c r="KOO3" s="44"/>
      <c r="KOP3" s="44"/>
      <c r="KOQ3" s="44"/>
      <c r="KOR3" s="44"/>
      <c r="KOS3" s="44"/>
      <c r="KOT3" s="44"/>
      <c r="KOU3" s="44"/>
      <c r="KOV3" s="44"/>
      <c r="KOW3" s="44"/>
      <c r="KOX3" s="44"/>
      <c r="KOY3" s="44"/>
      <c r="KOZ3" s="44"/>
      <c r="KPA3" s="44"/>
      <c r="KPB3" s="44"/>
      <c r="KPC3" s="44"/>
      <c r="KPD3" s="44"/>
      <c r="KPE3" s="44"/>
      <c r="KPF3" s="44"/>
      <c r="KPG3" s="44"/>
      <c r="KPH3" s="44"/>
      <c r="KPI3" s="44"/>
      <c r="KPJ3" s="44"/>
      <c r="KPK3" s="44"/>
      <c r="KPL3" s="44"/>
      <c r="KPM3" s="44"/>
      <c r="KPN3" s="44"/>
      <c r="KPO3" s="44"/>
      <c r="KPP3" s="44"/>
      <c r="KPQ3" s="44"/>
      <c r="KPR3" s="44"/>
      <c r="KPS3" s="44"/>
      <c r="KPT3" s="44"/>
      <c r="KPU3" s="44"/>
      <c r="KPV3" s="44"/>
      <c r="KPW3" s="44"/>
      <c r="KPX3" s="44"/>
      <c r="KPY3" s="44"/>
      <c r="KPZ3" s="44"/>
      <c r="KQA3" s="44"/>
      <c r="KQB3" s="44"/>
      <c r="KQC3" s="44"/>
      <c r="KQD3" s="44"/>
      <c r="KQE3" s="44"/>
      <c r="KQF3" s="44"/>
      <c r="KQG3" s="44"/>
      <c r="KQH3" s="44"/>
      <c r="KQI3" s="44"/>
      <c r="KQJ3" s="44"/>
      <c r="KQK3" s="44"/>
      <c r="KQL3" s="44"/>
      <c r="KQM3" s="44"/>
      <c r="KQN3" s="44"/>
      <c r="KQO3" s="44"/>
      <c r="KQP3" s="44"/>
      <c r="KQQ3" s="44"/>
      <c r="KQR3" s="44"/>
      <c r="KQS3" s="44"/>
      <c r="KQT3" s="44"/>
      <c r="KQU3" s="44"/>
      <c r="KQV3" s="44"/>
      <c r="KQW3" s="44"/>
      <c r="KQX3" s="44"/>
      <c r="KQY3" s="44"/>
      <c r="KQZ3" s="44"/>
      <c r="KRA3" s="44"/>
      <c r="KRB3" s="44"/>
      <c r="KRC3" s="44"/>
      <c r="KRD3" s="44"/>
      <c r="KRE3" s="44"/>
      <c r="KRF3" s="44"/>
      <c r="KRG3" s="44"/>
      <c r="KRH3" s="44"/>
      <c r="KRI3" s="44"/>
      <c r="KRJ3" s="44"/>
      <c r="KRK3" s="44"/>
      <c r="KRL3" s="44"/>
      <c r="KRM3" s="44"/>
      <c r="KRN3" s="44"/>
      <c r="KRO3" s="44"/>
      <c r="KRP3" s="44"/>
      <c r="KRQ3" s="44"/>
      <c r="KRR3" s="44"/>
      <c r="KRS3" s="44"/>
      <c r="KRT3" s="44"/>
      <c r="KRU3" s="44"/>
      <c r="KRV3" s="44"/>
      <c r="KRW3" s="44"/>
      <c r="KRX3" s="44"/>
      <c r="KRY3" s="44"/>
      <c r="KRZ3" s="44"/>
      <c r="KSA3" s="44"/>
      <c r="KSB3" s="44"/>
      <c r="KSC3" s="44"/>
      <c r="KSD3" s="44"/>
      <c r="KSE3" s="44"/>
      <c r="KSF3" s="44"/>
      <c r="KSG3" s="44"/>
      <c r="KSH3" s="44"/>
      <c r="KSI3" s="44"/>
      <c r="KSJ3" s="44"/>
      <c r="KSK3" s="44"/>
      <c r="KSL3" s="44"/>
      <c r="KSM3" s="44"/>
      <c r="KSN3" s="44"/>
      <c r="KSO3" s="44"/>
      <c r="KSP3" s="44"/>
      <c r="KSQ3" s="44"/>
      <c r="KSR3" s="44"/>
      <c r="KSS3" s="44"/>
      <c r="KST3" s="44"/>
      <c r="KSU3" s="44"/>
      <c r="KSV3" s="44"/>
      <c r="KSW3" s="44"/>
      <c r="KSX3" s="44"/>
      <c r="KSY3" s="44"/>
      <c r="KSZ3" s="44"/>
      <c r="KTA3" s="44"/>
      <c r="KTB3" s="44"/>
      <c r="KTC3" s="44"/>
      <c r="KTD3" s="44"/>
      <c r="KTE3" s="44"/>
      <c r="KTF3" s="44"/>
      <c r="KTG3" s="44"/>
      <c r="KTH3" s="44"/>
      <c r="KTI3" s="44"/>
      <c r="KTJ3" s="44"/>
      <c r="KTK3" s="44"/>
      <c r="KTL3" s="44"/>
      <c r="KTM3" s="44"/>
      <c r="KTN3" s="44"/>
      <c r="KTO3" s="44"/>
      <c r="KTP3" s="44"/>
      <c r="KTQ3" s="44"/>
      <c r="KTR3" s="44"/>
      <c r="KTS3" s="44"/>
      <c r="KTT3" s="44"/>
      <c r="KTU3" s="44"/>
      <c r="KTV3" s="44"/>
      <c r="KTW3" s="44"/>
      <c r="KTX3" s="44"/>
      <c r="KTY3" s="44"/>
      <c r="KTZ3" s="44"/>
      <c r="KUA3" s="44"/>
      <c r="KUB3" s="44"/>
      <c r="KUC3" s="44"/>
      <c r="KUD3" s="44"/>
      <c r="KUE3" s="44"/>
      <c r="KUF3" s="44"/>
      <c r="KUG3" s="44"/>
      <c r="KUH3" s="44"/>
      <c r="KUI3" s="44"/>
      <c r="KUJ3" s="44"/>
      <c r="KUK3" s="44"/>
      <c r="KUL3" s="44"/>
      <c r="KUM3" s="44"/>
      <c r="KUN3" s="44"/>
      <c r="KUO3" s="44"/>
      <c r="KUP3" s="44"/>
      <c r="KUQ3" s="44"/>
      <c r="KUR3" s="44"/>
      <c r="KUS3" s="44"/>
      <c r="KUT3" s="44"/>
      <c r="KUU3" s="44"/>
      <c r="KUV3" s="44"/>
      <c r="KUW3" s="44"/>
      <c r="KUX3" s="44"/>
      <c r="KUY3" s="44"/>
      <c r="KUZ3" s="44"/>
      <c r="KVA3" s="44"/>
      <c r="KVB3" s="44"/>
      <c r="KVC3" s="44"/>
      <c r="KVD3" s="44"/>
      <c r="KVE3" s="44"/>
      <c r="KVF3" s="44"/>
      <c r="KVG3" s="44"/>
      <c r="KVH3" s="44"/>
      <c r="KVI3" s="44"/>
      <c r="KVJ3" s="44"/>
      <c r="KVK3" s="44"/>
      <c r="KVL3" s="44"/>
      <c r="KVM3" s="44"/>
      <c r="KVN3" s="44"/>
      <c r="KVO3" s="44"/>
      <c r="KVP3" s="44"/>
      <c r="KVQ3" s="44"/>
      <c r="KVR3" s="44"/>
      <c r="KVS3" s="44"/>
      <c r="KVT3" s="44"/>
      <c r="KVU3" s="44"/>
      <c r="KVV3" s="44"/>
      <c r="KVW3" s="44"/>
      <c r="KVX3" s="44"/>
      <c r="KVY3" s="44"/>
      <c r="KVZ3" s="44"/>
      <c r="KWA3" s="44"/>
      <c r="KWB3" s="44"/>
      <c r="KWC3" s="44"/>
      <c r="KWD3" s="44"/>
      <c r="KWE3" s="44"/>
      <c r="KWF3" s="44"/>
      <c r="KWG3" s="44"/>
      <c r="KWH3" s="44"/>
      <c r="KWI3" s="44"/>
      <c r="KWJ3" s="44"/>
      <c r="KWK3" s="44"/>
      <c r="KWL3" s="44"/>
      <c r="KWM3" s="44"/>
      <c r="KWN3" s="44"/>
      <c r="KWO3" s="44"/>
      <c r="KWP3" s="44"/>
      <c r="KWQ3" s="44"/>
      <c r="KWR3" s="44"/>
      <c r="KWS3" s="44"/>
      <c r="KWT3" s="44"/>
      <c r="KWU3" s="44"/>
      <c r="KWV3" s="44"/>
      <c r="KWW3" s="44"/>
      <c r="KWX3" s="44"/>
      <c r="KWY3" s="44"/>
      <c r="KWZ3" s="44"/>
      <c r="KXA3" s="44"/>
      <c r="KXB3" s="44"/>
      <c r="KXC3" s="44"/>
      <c r="KXD3" s="44"/>
      <c r="KXE3" s="44"/>
      <c r="KXF3" s="44"/>
      <c r="KXG3" s="44"/>
      <c r="KXH3" s="44"/>
      <c r="KXI3" s="44"/>
      <c r="KXJ3" s="44"/>
      <c r="KXK3" s="44"/>
      <c r="KXL3" s="44"/>
      <c r="KXM3" s="44"/>
      <c r="KXN3" s="44"/>
      <c r="KXO3" s="44"/>
      <c r="KXP3" s="44"/>
      <c r="KXQ3" s="44"/>
      <c r="KXR3" s="44"/>
      <c r="KXS3" s="44"/>
      <c r="KXT3" s="44"/>
      <c r="KXU3" s="44"/>
      <c r="KXV3" s="44"/>
      <c r="KXW3" s="44"/>
      <c r="KXX3" s="44"/>
      <c r="KXY3" s="44"/>
      <c r="KXZ3" s="44"/>
      <c r="KYA3" s="44"/>
      <c r="KYB3" s="44"/>
      <c r="KYC3" s="44"/>
      <c r="KYD3" s="44"/>
      <c r="KYE3" s="44"/>
      <c r="KYF3" s="44"/>
      <c r="KYG3" s="44"/>
      <c r="KYH3" s="44"/>
      <c r="KYI3" s="44"/>
      <c r="KYJ3" s="44"/>
      <c r="KYK3" s="44"/>
      <c r="KYL3" s="44"/>
      <c r="KYM3" s="44"/>
      <c r="KYN3" s="44"/>
      <c r="KYO3" s="44"/>
      <c r="KYP3" s="44"/>
      <c r="KYQ3" s="44"/>
      <c r="KYR3" s="44"/>
      <c r="KYS3" s="44"/>
      <c r="KYT3" s="44"/>
      <c r="KYU3" s="44"/>
      <c r="KYV3" s="44"/>
      <c r="KYW3" s="44"/>
      <c r="KYX3" s="44"/>
      <c r="KYY3" s="44"/>
      <c r="KYZ3" s="44"/>
      <c r="KZA3" s="44"/>
      <c r="KZB3" s="44"/>
      <c r="KZC3" s="44"/>
      <c r="KZD3" s="44"/>
      <c r="KZE3" s="44"/>
      <c r="KZF3" s="44"/>
      <c r="KZG3" s="44"/>
      <c r="KZH3" s="44"/>
      <c r="KZI3" s="44"/>
      <c r="KZJ3" s="44"/>
      <c r="KZK3" s="44"/>
      <c r="KZL3" s="44"/>
      <c r="KZM3" s="44"/>
      <c r="KZN3" s="44"/>
      <c r="KZO3" s="44"/>
      <c r="KZP3" s="44"/>
      <c r="KZQ3" s="44"/>
      <c r="KZR3" s="44"/>
      <c r="KZS3" s="44"/>
      <c r="KZT3" s="44"/>
      <c r="KZU3" s="44"/>
      <c r="KZV3" s="44"/>
      <c r="KZW3" s="44"/>
      <c r="KZX3" s="44"/>
      <c r="KZY3" s="44"/>
      <c r="KZZ3" s="44"/>
      <c r="LAA3" s="44"/>
      <c r="LAB3" s="44"/>
      <c r="LAC3" s="44"/>
      <c r="LAD3" s="44"/>
      <c r="LAE3" s="44"/>
      <c r="LAF3" s="44"/>
      <c r="LAG3" s="44"/>
      <c r="LAH3" s="44"/>
      <c r="LAI3" s="44"/>
      <c r="LAJ3" s="44"/>
      <c r="LAK3" s="44"/>
      <c r="LAL3" s="44"/>
      <c r="LAM3" s="44"/>
      <c r="LAN3" s="44"/>
      <c r="LAO3" s="44"/>
      <c r="LAP3" s="44"/>
      <c r="LAQ3" s="44"/>
      <c r="LAR3" s="44"/>
      <c r="LAS3" s="44"/>
      <c r="LAT3" s="44"/>
      <c r="LAU3" s="44"/>
      <c r="LAV3" s="44"/>
      <c r="LAW3" s="44"/>
      <c r="LAX3" s="44"/>
      <c r="LAY3" s="44"/>
      <c r="LAZ3" s="44"/>
      <c r="LBA3" s="44"/>
      <c r="LBB3" s="44"/>
      <c r="LBC3" s="44"/>
      <c r="LBD3" s="44"/>
      <c r="LBE3" s="44"/>
      <c r="LBF3" s="44"/>
      <c r="LBG3" s="44"/>
      <c r="LBH3" s="44"/>
      <c r="LBI3" s="44"/>
      <c r="LBJ3" s="44"/>
      <c r="LBK3" s="44"/>
      <c r="LBL3" s="44"/>
      <c r="LBM3" s="44"/>
      <c r="LBN3" s="44"/>
      <c r="LBO3" s="44"/>
      <c r="LBP3" s="44"/>
      <c r="LBQ3" s="44"/>
      <c r="LBR3" s="44"/>
      <c r="LBS3" s="44"/>
      <c r="LBT3" s="44"/>
      <c r="LBU3" s="44"/>
      <c r="LBV3" s="44"/>
      <c r="LBW3" s="44"/>
      <c r="LBX3" s="44"/>
      <c r="LBY3" s="44"/>
      <c r="LBZ3" s="44"/>
      <c r="LCA3" s="44"/>
      <c r="LCB3" s="44"/>
      <c r="LCC3" s="44"/>
      <c r="LCD3" s="44"/>
      <c r="LCE3" s="44"/>
      <c r="LCF3" s="44"/>
      <c r="LCG3" s="44"/>
      <c r="LCH3" s="44"/>
      <c r="LCI3" s="44"/>
      <c r="LCJ3" s="44"/>
      <c r="LCK3" s="44"/>
      <c r="LCL3" s="44"/>
      <c r="LCM3" s="44"/>
      <c r="LCN3" s="44"/>
      <c r="LCO3" s="44"/>
      <c r="LCP3" s="44"/>
      <c r="LCQ3" s="44"/>
      <c r="LCR3" s="44"/>
      <c r="LCS3" s="44"/>
      <c r="LCT3" s="44"/>
      <c r="LCU3" s="44"/>
      <c r="LCV3" s="44"/>
      <c r="LCW3" s="44"/>
      <c r="LCX3" s="44"/>
      <c r="LCY3" s="44"/>
      <c r="LCZ3" s="44"/>
      <c r="LDA3" s="44"/>
      <c r="LDB3" s="44"/>
      <c r="LDC3" s="44"/>
      <c r="LDD3" s="44"/>
      <c r="LDE3" s="44"/>
      <c r="LDF3" s="44"/>
      <c r="LDG3" s="44"/>
      <c r="LDH3" s="44"/>
      <c r="LDI3" s="44"/>
      <c r="LDJ3" s="44"/>
      <c r="LDK3" s="44"/>
      <c r="LDL3" s="44"/>
      <c r="LDM3" s="44"/>
      <c r="LDN3" s="44"/>
      <c r="LDO3" s="44"/>
      <c r="LDP3" s="44"/>
      <c r="LDQ3" s="44"/>
      <c r="LDR3" s="44"/>
      <c r="LDS3" s="44"/>
      <c r="LDT3" s="44"/>
      <c r="LDU3" s="44"/>
      <c r="LDV3" s="44"/>
      <c r="LDW3" s="44"/>
      <c r="LDX3" s="44"/>
      <c r="LDY3" s="44"/>
      <c r="LDZ3" s="44"/>
      <c r="LEA3" s="44"/>
      <c r="LEB3" s="44"/>
      <c r="LEC3" s="44"/>
      <c r="LED3" s="44"/>
      <c r="LEE3" s="44"/>
      <c r="LEF3" s="44"/>
      <c r="LEG3" s="44"/>
      <c r="LEH3" s="44"/>
      <c r="LEI3" s="44"/>
      <c r="LEJ3" s="44"/>
      <c r="LEK3" s="44"/>
      <c r="LEL3" s="44"/>
      <c r="LEM3" s="44"/>
      <c r="LEN3" s="44"/>
      <c r="LEO3" s="44"/>
      <c r="LEP3" s="44"/>
      <c r="LEQ3" s="44"/>
      <c r="LER3" s="44"/>
      <c r="LES3" s="44"/>
      <c r="LET3" s="44"/>
      <c r="LEU3" s="44"/>
      <c r="LEV3" s="44"/>
      <c r="LEW3" s="44"/>
      <c r="LEX3" s="44"/>
      <c r="LEY3" s="44"/>
      <c r="LEZ3" s="44"/>
      <c r="LFA3" s="44"/>
      <c r="LFB3" s="44"/>
      <c r="LFC3" s="44"/>
      <c r="LFD3" s="44"/>
      <c r="LFE3" s="44"/>
      <c r="LFF3" s="44"/>
      <c r="LFG3" s="44"/>
      <c r="LFH3" s="44"/>
      <c r="LFI3" s="44"/>
      <c r="LFJ3" s="44"/>
      <c r="LFK3" s="44"/>
      <c r="LFL3" s="44"/>
      <c r="LFM3" s="44"/>
      <c r="LFN3" s="44"/>
      <c r="LFO3" s="44"/>
      <c r="LFP3" s="44"/>
      <c r="LFQ3" s="44"/>
      <c r="LFR3" s="44"/>
      <c r="LFS3" s="44"/>
      <c r="LFT3" s="44"/>
      <c r="LFU3" s="44"/>
      <c r="LFV3" s="44"/>
      <c r="LFW3" s="44"/>
      <c r="LFX3" s="44"/>
      <c r="LFY3" s="44"/>
      <c r="LFZ3" s="44"/>
      <c r="LGA3" s="44"/>
      <c r="LGB3" s="44"/>
      <c r="LGC3" s="44"/>
      <c r="LGD3" s="44"/>
      <c r="LGE3" s="44"/>
      <c r="LGF3" s="44"/>
      <c r="LGG3" s="44"/>
      <c r="LGH3" s="44"/>
      <c r="LGI3" s="44"/>
      <c r="LGJ3" s="44"/>
      <c r="LGK3" s="44"/>
      <c r="LGL3" s="44"/>
      <c r="LGM3" s="44"/>
      <c r="LGN3" s="44"/>
      <c r="LGO3" s="44"/>
      <c r="LGP3" s="44"/>
      <c r="LGQ3" s="44"/>
      <c r="LGR3" s="44"/>
      <c r="LGS3" s="44"/>
      <c r="LGT3" s="44"/>
      <c r="LGU3" s="44"/>
      <c r="LGV3" s="44"/>
      <c r="LGW3" s="44"/>
      <c r="LGX3" s="44"/>
      <c r="LGY3" s="44"/>
      <c r="LGZ3" s="44"/>
      <c r="LHA3" s="44"/>
      <c r="LHB3" s="44"/>
      <c r="LHC3" s="44"/>
      <c r="LHD3" s="44"/>
      <c r="LHE3" s="44"/>
      <c r="LHF3" s="44"/>
      <c r="LHG3" s="44"/>
      <c r="LHH3" s="44"/>
      <c r="LHI3" s="44"/>
      <c r="LHJ3" s="44"/>
      <c r="LHK3" s="44"/>
      <c r="LHL3" s="44"/>
      <c r="LHM3" s="44"/>
      <c r="LHN3" s="44"/>
      <c r="LHO3" s="44"/>
      <c r="LHP3" s="44"/>
      <c r="LHQ3" s="44"/>
      <c r="LHR3" s="44"/>
      <c r="LHS3" s="44"/>
      <c r="LHT3" s="44"/>
      <c r="LHU3" s="44"/>
      <c r="LHV3" s="44"/>
      <c r="LHW3" s="44"/>
      <c r="LHX3" s="44"/>
      <c r="LHY3" s="44"/>
      <c r="LHZ3" s="44"/>
      <c r="LIA3" s="44"/>
      <c r="LIB3" s="44"/>
      <c r="LIC3" s="44"/>
      <c r="LID3" s="44"/>
      <c r="LIE3" s="44"/>
      <c r="LIF3" s="44"/>
      <c r="LIG3" s="44"/>
      <c r="LIH3" s="44"/>
      <c r="LII3" s="44"/>
      <c r="LIJ3" s="44"/>
      <c r="LIK3" s="44"/>
      <c r="LIL3" s="44"/>
      <c r="LIM3" s="44"/>
      <c r="LIN3" s="44"/>
      <c r="LIO3" s="44"/>
      <c r="LIP3" s="44"/>
      <c r="LIQ3" s="44"/>
      <c r="LIR3" s="44"/>
      <c r="LIS3" s="44"/>
      <c r="LIT3" s="44"/>
      <c r="LIU3" s="44"/>
      <c r="LIV3" s="44"/>
      <c r="LIW3" s="44"/>
      <c r="LIX3" s="44"/>
      <c r="LIY3" s="44"/>
      <c r="LIZ3" s="44"/>
      <c r="LJA3" s="44"/>
      <c r="LJB3" s="44"/>
      <c r="LJC3" s="44"/>
      <c r="LJD3" s="44"/>
      <c r="LJE3" s="44"/>
      <c r="LJF3" s="44"/>
      <c r="LJG3" s="44"/>
      <c r="LJH3" s="44"/>
      <c r="LJI3" s="44"/>
      <c r="LJJ3" s="44"/>
      <c r="LJK3" s="44"/>
      <c r="LJL3" s="44"/>
      <c r="LJM3" s="44"/>
      <c r="LJN3" s="44"/>
      <c r="LJO3" s="44"/>
      <c r="LJP3" s="44"/>
      <c r="LJQ3" s="44"/>
      <c r="LJR3" s="44"/>
      <c r="LJS3" s="44"/>
      <c r="LJT3" s="44"/>
      <c r="LJU3" s="44"/>
      <c r="LJV3" s="44"/>
      <c r="LJW3" s="44"/>
      <c r="LJX3" s="44"/>
      <c r="LJY3" s="44"/>
      <c r="LJZ3" s="44"/>
      <c r="LKA3" s="44"/>
      <c r="LKB3" s="44"/>
      <c r="LKC3" s="44"/>
      <c r="LKD3" s="44"/>
      <c r="LKE3" s="44"/>
      <c r="LKF3" s="44"/>
      <c r="LKG3" s="44"/>
      <c r="LKH3" s="44"/>
      <c r="LKI3" s="44"/>
      <c r="LKJ3" s="44"/>
      <c r="LKK3" s="44"/>
      <c r="LKL3" s="44"/>
      <c r="LKM3" s="44"/>
      <c r="LKN3" s="44"/>
      <c r="LKO3" s="44"/>
      <c r="LKP3" s="44"/>
      <c r="LKQ3" s="44"/>
      <c r="LKR3" s="44"/>
      <c r="LKS3" s="44"/>
      <c r="LKT3" s="44"/>
      <c r="LKU3" s="44"/>
      <c r="LKV3" s="44"/>
      <c r="LKW3" s="44"/>
      <c r="LKX3" s="44"/>
      <c r="LKY3" s="44"/>
      <c r="LKZ3" s="44"/>
      <c r="LLA3" s="44"/>
      <c r="LLB3" s="44"/>
      <c r="LLC3" s="44"/>
      <c r="LLD3" s="44"/>
      <c r="LLE3" s="44"/>
      <c r="LLF3" s="44"/>
      <c r="LLG3" s="44"/>
      <c r="LLH3" s="44"/>
      <c r="LLI3" s="44"/>
      <c r="LLJ3" s="44"/>
      <c r="LLK3" s="44"/>
      <c r="LLL3" s="44"/>
      <c r="LLM3" s="44"/>
      <c r="LLN3" s="44"/>
      <c r="LLO3" s="44"/>
      <c r="LLP3" s="44"/>
      <c r="LLQ3" s="44"/>
      <c r="LLR3" s="44"/>
      <c r="LLS3" s="44"/>
      <c r="LLT3" s="44"/>
      <c r="LLU3" s="44"/>
      <c r="LLV3" s="44"/>
      <c r="LLW3" s="44"/>
      <c r="LLX3" s="44"/>
      <c r="LLY3" s="44"/>
      <c r="LLZ3" s="44"/>
      <c r="LMA3" s="44"/>
      <c r="LMB3" s="44"/>
      <c r="LMC3" s="44"/>
      <c r="LMD3" s="44"/>
      <c r="LME3" s="44"/>
      <c r="LMF3" s="44"/>
      <c r="LMG3" s="44"/>
      <c r="LMH3" s="44"/>
      <c r="LMI3" s="44"/>
      <c r="LMJ3" s="44"/>
      <c r="LMK3" s="44"/>
      <c r="LML3" s="44"/>
      <c r="LMM3" s="44"/>
      <c r="LMN3" s="44"/>
      <c r="LMO3" s="44"/>
      <c r="LMP3" s="44"/>
      <c r="LMQ3" s="44"/>
      <c r="LMR3" s="44"/>
      <c r="LMS3" s="44"/>
      <c r="LMT3" s="44"/>
      <c r="LMU3" s="44"/>
      <c r="LMV3" s="44"/>
      <c r="LMW3" s="44"/>
      <c r="LMX3" s="44"/>
      <c r="LMY3" s="44"/>
      <c r="LMZ3" s="44"/>
      <c r="LNA3" s="44"/>
      <c r="LNB3" s="44"/>
      <c r="LNC3" s="44"/>
      <c r="LND3" s="44"/>
      <c r="LNE3" s="44"/>
      <c r="LNF3" s="44"/>
      <c r="LNG3" s="44"/>
      <c r="LNH3" s="44"/>
      <c r="LNI3" s="44"/>
      <c r="LNJ3" s="44"/>
      <c r="LNK3" s="44"/>
      <c r="LNL3" s="44"/>
      <c r="LNM3" s="44"/>
      <c r="LNN3" s="44"/>
      <c r="LNO3" s="44"/>
      <c r="LNP3" s="44"/>
      <c r="LNQ3" s="44"/>
      <c r="LNR3" s="44"/>
      <c r="LNS3" s="44"/>
      <c r="LNT3" s="44"/>
      <c r="LNU3" s="44"/>
      <c r="LNV3" s="44"/>
      <c r="LNW3" s="44"/>
      <c r="LNX3" s="44"/>
      <c r="LNY3" s="44"/>
      <c r="LNZ3" s="44"/>
      <c r="LOA3" s="44"/>
      <c r="LOB3" s="44"/>
      <c r="LOC3" s="44"/>
      <c r="LOD3" s="44"/>
      <c r="LOE3" s="44"/>
      <c r="LOF3" s="44"/>
      <c r="LOG3" s="44"/>
      <c r="LOH3" s="44"/>
      <c r="LOI3" s="44"/>
      <c r="LOJ3" s="44"/>
      <c r="LOK3" s="44"/>
      <c r="LOL3" s="44"/>
      <c r="LOM3" s="44"/>
      <c r="LON3" s="44"/>
      <c r="LOO3" s="44"/>
      <c r="LOP3" s="44"/>
      <c r="LOQ3" s="44"/>
      <c r="LOR3" s="44"/>
      <c r="LOS3" s="44"/>
      <c r="LOT3" s="44"/>
      <c r="LOU3" s="44"/>
      <c r="LOV3" s="44"/>
      <c r="LOW3" s="44"/>
      <c r="LOX3" s="44"/>
      <c r="LOY3" s="44"/>
      <c r="LOZ3" s="44"/>
      <c r="LPA3" s="44"/>
      <c r="LPB3" s="44"/>
      <c r="LPC3" s="44"/>
      <c r="LPD3" s="44"/>
      <c r="LPE3" s="44"/>
      <c r="LPF3" s="44"/>
      <c r="LPG3" s="44"/>
      <c r="LPH3" s="44"/>
      <c r="LPI3" s="44"/>
      <c r="LPJ3" s="44"/>
      <c r="LPK3" s="44"/>
      <c r="LPL3" s="44"/>
      <c r="LPM3" s="44"/>
      <c r="LPN3" s="44"/>
      <c r="LPO3" s="44"/>
      <c r="LPP3" s="44"/>
      <c r="LPQ3" s="44"/>
      <c r="LPR3" s="44"/>
      <c r="LPS3" s="44"/>
      <c r="LPT3" s="44"/>
      <c r="LPU3" s="44"/>
      <c r="LPV3" s="44"/>
      <c r="LPW3" s="44"/>
      <c r="LPX3" s="44"/>
      <c r="LPY3" s="44"/>
      <c r="LPZ3" s="44"/>
      <c r="LQA3" s="44"/>
      <c r="LQB3" s="44"/>
      <c r="LQC3" s="44"/>
      <c r="LQD3" s="44"/>
      <c r="LQE3" s="44"/>
      <c r="LQF3" s="44"/>
      <c r="LQG3" s="44"/>
      <c r="LQH3" s="44"/>
      <c r="LQI3" s="44"/>
      <c r="LQJ3" s="44"/>
      <c r="LQK3" s="44"/>
      <c r="LQL3" s="44"/>
      <c r="LQM3" s="44"/>
      <c r="LQN3" s="44"/>
      <c r="LQO3" s="44"/>
      <c r="LQP3" s="44"/>
      <c r="LQQ3" s="44"/>
      <c r="LQR3" s="44"/>
      <c r="LQS3" s="44"/>
      <c r="LQT3" s="44"/>
      <c r="LQU3" s="44"/>
      <c r="LQV3" s="44"/>
      <c r="LQW3" s="44"/>
      <c r="LQX3" s="44"/>
      <c r="LQY3" s="44"/>
      <c r="LQZ3" s="44"/>
      <c r="LRA3" s="44"/>
      <c r="LRB3" s="44"/>
      <c r="LRC3" s="44"/>
      <c r="LRD3" s="44"/>
      <c r="LRE3" s="44"/>
      <c r="LRF3" s="44"/>
      <c r="LRG3" s="44"/>
      <c r="LRH3" s="44"/>
      <c r="LRI3" s="44"/>
      <c r="LRJ3" s="44"/>
      <c r="LRK3" s="44"/>
      <c r="LRL3" s="44"/>
      <c r="LRM3" s="44"/>
      <c r="LRN3" s="44"/>
      <c r="LRO3" s="44"/>
      <c r="LRP3" s="44"/>
      <c r="LRQ3" s="44"/>
      <c r="LRR3" s="44"/>
      <c r="LRS3" s="44"/>
      <c r="LRT3" s="44"/>
      <c r="LRU3" s="44"/>
      <c r="LRV3" s="44"/>
      <c r="LRW3" s="44"/>
      <c r="LRX3" s="44"/>
      <c r="LRY3" s="44"/>
      <c r="LRZ3" s="44"/>
      <c r="LSA3" s="44"/>
      <c r="LSB3" s="44"/>
      <c r="LSC3" s="44"/>
      <c r="LSD3" s="44"/>
      <c r="LSE3" s="44"/>
      <c r="LSF3" s="44"/>
      <c r="LSG3" s="44"/>
      <c r="LSH3" s="44"/>
      <c r="LSI3" s="44"/>
      <c r="LSJ3" s="44"/>
      <c r="LSK3" s="44"/>
      <c r="LSL3" s="44"/>
      <c r="LSM3" s="44"/>
      <c r="LSN3" s="44"/>
      <c r="LSO3" s="44"/>
      <c r="LSP3" s="44"/>
      <c r="LSQ3" s="44"/>
      <c r="LSR3" s="44"/>
      <c r="LSS3" s="44"/>
      <c r="LST3" s="44"/>
      <c r="LSU3" s="44"/>
      <c r="LSV3" s="44"/>
      <c r="LSW3" s="44"/>
      <c r="LSX3" s="44"/>
      <c r="LSY3" s="44"/>
      <c r="LSZ3" s="44"/>
      <c r="LTA3" s="44"/>
      <c r="LTB3" s="44"/>
      <c r="LTC3" s="44"/>
      <c r="LTD3" s="44"/>
      <c r="LTE3" s="44"/>
      <c r="LTF3" s="44"/>
      <c r="LTG3" s="44"/>
      <c r="LTH3" s="44"/>
      <c r="LTI3" s="44"/>
      <c r="LTJ3" s="44"/>
      <c r="LTK3" s="44"/>
      <c r="LTL3" s="44"/>
      <c r="LTM3" s="44"/>
      <c r="LTN3" s="44"/>
      <c r="LTO3" s="44"/>
      <c r="LTP3" s="44"/>
      <c r="LTQ3" s="44"/>
      <c r="LTR3" s="44"/>
      <c r="LTS3" s="44"/>
      <c r="LTT3" s="44"/>
      <c r="LTU3" s="44"/>
      <c r="LTV3" s="44"/>
      <c r="LTW3" s="44"/>
      <c r="LTX3" s="44"/>
      <c r="LTY3" s="44"/>
      <c r="LTZ3" s="44"/>
      <c r="LUA3" s="44"/>
      <c r="LUB3" s="44"/>
      <c r="LUC3" s="44"/>
      <c r="LUD3" s="44"/>
      <c r="LUE3" s="44"/>
      <c r="LUF3" s="44"/>
      <c r="LUG3" s="44"/>
      <c r="LUH3" s="44"/>
      <c r="LUI3" s="44"/>
      <c r="LUJ3" s="44"/>
      <c r="LUK3" s="44"/>
      <c r="LUL3" s="44"/>
      <c r="LUM3" s="44"/>
      <c r="LUN3" s="44"/>
      <c r="LUO3" s="44"/>
      <c r="LUP3" s="44"/>
      <c r="LUQ3" s="44"/>
      <c r="LUR3" s="44"/>
      <c r="LUS3" s="44"/>
      <c r="LUT3" s="44"/>
      <c r="LUU3" s="44"/>
      <c r="LUV3" s="44"/>
      <c r="LUW3" s="44"/>
      <c r="LUX3" s="44"/>
      <c r="LUY3" s="44"/>
      <c r="LUZ3" s="44"/>
      <c r="LVA3" s="44"/>
      <c r="LVB3" s="44"/>
      <c r="LVC3" s="44"/>
      <c r="LVD3" s="44"/>
      <c r="LVE3" s="44"/>
      <c r="LVF3" s="44"/>
      <c r="LVG3" s="44"/>
      <c r="LVH3" s="44"/>
      <c r="LVI3" s="44"/>
      <c r="LVJ3" s="44"/>
      <c r="LVK3" s="44"/>
      <c r="LVL3" s="44"/>
      <c r="LVM3" s="44"/>
      <c r="LVN3" s="44"/>
      <c r="LVO3" s="44"/>
      <c r="LVP3" s="44"/>
      <c r="LVQ3" s="44"/>
      <c r="LVR3" s="44"/>
      <c r="LVS3" s="44"/>
      <c r="LVT3" s="44"/>
      <c r="LVU3" s="44"/>
      <c r="LVV3" s="44"/>
      <c r="LVW3" s="44"/>
      <c r="LVX3" s="44"/>
      <c r="LVY3" s="44"/>
      <c r="LVZ3" s="44"/>
      <c r="LWA3" s="44"/>
      <c r="LWB3" s="44"/>
      <c r="LWC3" s="44"/>
      <c r="LWD3" s="44"/>
      <c r="LWE3" s="44"/>
      <c r="LWF3" s="44"/>
      <c r="LWG3" s="44"/>
      <c r="LWH3" s="44"/>
      <c r="LWI3" s="44"/>
      <c r="LWJ3" s="44"/>
      <c r="LWK3" s="44"/>
      <c r="LWL3" s="44"/>
      <c r="LWM3" s="44"/>
      <c r="LWN3" s="44"/>
      <c r="LWO3" s="44"/>
      <c r="LWP3" s="44"/>
      <c r="LWQ3" s="44"/>
      <c r="LWR3" s="44"/>
      <c r="LWS3" s="44"/>
      <c r="LWT3" s="44"/>
      <c r="LWU3" s="44"/>
      <c r="LWV3" s="44"/>
      <c r="LWW3" s="44"/>
      <c r="LWX3" s="44"/>
      <c r="LWY3" s="44"/>
      <c r="LWZ3" s="44"/>
      <c r="LXA3" s="44"/>
      <c r="LXB3" s="44"/>
      <c r="LXC3" s="44"/>
      <c r="LXD3" s="44"/>
      <c r="LXE3" s="44"/>
      <c r="LXF3" s="44"/>
      <c r="LXG3" s="44"/>
      <c r="LXH3" s="44"/>
      <c r="LXI3" s="44"/>
      <c r="LXJ3" s="44"/>
      <c r="LXK3" s="44"/>
      <c r="LXL3" s="44"/>
      <c r="LXM3" s="44"/>
      <c r="LXN3" s="44"/>
      <c r="LXO3" s="44"/>
      <c r="LXP3" s="44"/>
      <c r="LXQ3" s="44"/>
      <c r="LXR3" s="44"/>
      <c r="LXS3" s="44"/>
      <c r="LXT3" s="44"/>
      <c r="LXU3" s="44"/>
      <c r="LXV3" s="44"/>
      <c r="LXW3" s="44"/>
      <c r="LXX3" s="44"/>
      <c r="LXY3" s="44"/>
      <c r="LXZ3" s="44"/>
      <c r="LYA3" s="44"/>
      <c r="LYB3" s="44"/>
      <c r="LYC3" s="44"/>
      <c r="LYD3" s="44"/>
      <c r="LYE3" s="44"/>
      <c r="LYF3" s="44"/>
      <c r="LYG3" s="44"/>
      <c r="LYH3" s="44"/>
      <c r="LYI3" s="44"/>
      <c r="LYJ3" s="44"/>
      <c r="LYK3" s="44"/>
      <c r="LYL3" s="44"/>
      <c r="LYM3" s="44"/>
      <c r="LYN3" s="44"/>
      <c r="LYO3" s="44"/>
      <c r="LYP3" s="44"/>
      <c r="LYQ3" s="44"/>
      <c r="LYR3" s="44"/>
      <c r="LYS3" s="44"/>
      <c r="LYT3" s="44"/>
      <c r="LYU3" s="44"/>
      <c r="LYV3" s="44"/>
      <c r="LYW3" s="44"/>
      <c r="LYX3" s="44"/>
      <c r="LYY3" s="44"/>
      <c r="LYZ3" s="44"/>
      <c r="LZA3" s="44"/>
      <c r="LZB3" s="44"/>
      <c r="LZC3" s="44"/>
      <c r="LZD3" s="44"/>
      <c r="LZE3" s="44"/>
      <c r="LZF3" s="44"/>
      <c r="LZG3" s="44"/>
      <c r="LZH3" s="44"/>
      <c r="LZI3" s="44"/>
      <c r="LZJ3" s="44"/>
      <c r="LZK3" s="44"/>
      <c r="LZL3" s="44"/>
      <c r="LZM3" s="44"/>
      <c r="LZN3" s="44"/>
      <c r="LZO3" s="44"/>
      <c r="LZP3" s="44"/>
      <c r="LZQ3" s="44"/>
      <c r="LZR3" s="44"/>
      <c r="LZS3" s="44"/>
      <c r="LZT3" s="44"/>
      <c r="LZU3" s="44"/>
      <c r="LZV3" s="44"/>
      <c r="LZW3" s="44"/>
      <c r="LZX3" s="44"/>
      <c r="LZY3" s="44"/>
      <c r="LZZ3" s="44"/>
      <c r="MAA3" s="44"/>
      <c r="MAB3" s="44"/>
      <c r="MAC3" s="44"/>
      <c r="MAD3" s="44"/>
      <c r="MAE3" s="44"/>
      <c r="MAF3" s="44"/>
      <c r="MAG3" s="44"/>
      <c r="MAH3" s="44"/>
      <c r="MAI3" s="44"/>
      <c r="MAJ3" s="44"/>
      <c r="MAK3" s="44"/>
      <c r="MAL3" s="44"/>
      <c r="MAM3" s="44"/>
      <c r="MAN3" s="44"/>
      <c r="MAO3" s="44"/>
      <c r="MAP3" s="44"/>
      <c r="MAQ3" s="44"/>
      <c r="MAR3" s="44"/>
      <c r="MAS3" s="44"/>
      <c r="MAT3" s="44"/>
      <c r="MAU3" s="44"/>
      <c r="MAV3" s="44"/>
      <c r="MAW3" s="44"/>
      <c r="MAX3" s="44"/>
      <c r="MAY3" s="44"/>
      <c r="MAZ3" s="44"/>
      <c r="MBA3" s="44"/>
      <c r="MBB3" s="44"/>
      <c r="MBC3" s="44"/>
      <c r="MBD3" s="44"/>
      <c r="MBE3" s="44"/>
      <c r="MBF3" s="44"/>
      <c r="MBG3" s="44"/>
      <c r="MBH3" s="44"/>
      <c r="MBI3" s="44"/>
      <c r="MBJ3" s="44"/>
      <c r="MBK3" s="44"/>
      <c r="MBL3" s="44"/>
      <c r="MBM3" s="44"/>
      <c r="MBN3" s="44"/>
      <c r="MBO3" s="44"/>
      <c r="MBP3" s="44"/>
      <c r="MBQ3" s="44"/>
      <c r="MBR3" s="44"/>
      <c r="MBS3" s="44"/>
      <c r="MBT3" s="44"/>
      <c r="MBU3" s="44"/>
      <c r="MBV3" s="44"/>
      <c r="MBW3" s="44"/>
      <c r="MBX3" s="44"/>
      <c r="MBY3" s="44"/>
      <c r="MBZ3" s="44"/>
      <c r="MCA3" s="44"/>
      <c r="MCB3" s="44"/>
      <c r="MCC3" s="44"/>
      <c r="MCD3" s="44"/>
      <c r="MCE3" s="44"/>
      <c r="MCF3" s="44"/>
      <c r="MCG3" s="44"/>
      <c r="MCH3" s="44"/>
      <c r="MCI3" s="44"/>
      <c r="MCJ3" s="44"/>
      <c r="MCK3" s="44"/>
      <c r="MCL3" s="44"/>
      <c r="MCM3" s="44"/>
      <c r="MCN3" s="44"/>
      <c r="MCO3" s="44"/>
      <c r="MCP3" s="44"/>
      <c r="MCQ3" s="44"/>
      <c r="MCR3" s="44"/>
      <c r="MCS3" s="44"/>
      <c r="MCT3" s="44"/>
      <c r="MCU3" s="44"/>
      <c r="MCV3" s="44"/>
      <c r="MCW3" s="44"/>
      <c r="MCX3" s="44"/>
      <c r="MCY3" s="44"/>
      <c r="MCZ3" s="44"/>
      <c r="MDA3" s="44"/>
      <c r="MDB3" s="44"/>
      <c r="MDC3" s="44"/>
      <c r="MDD3" s="44"/>
      <c r="MDE3" s="44"/>
      <c r="MDF3" s="44"/>
      <c r="MDG3" s="44"/>
      <c r="MDH3" s="44"/>
      <c r="MDI3" s="44"/>
      <c r="MDJ3" s="44"/>
      <c r="MDK3" s="44"/>
      <c r="MDL3" s="44"/>
      <c r="MDM3" s="44"/>
      <c r="MDN3" s="44"/>
      <c r="MDO3" s="44"/>
      <c r="MDP3" s="44"/>
      <c r="MDQ3" s="44"/>
      <c r="MDR3" s="44"/>
      <c r="MDS3" s="44"/>
      <c r="MDT3" s="44"/>
      <c r="MDU3" s="44"/>
      <c r="MDV3" s="44"/>
      <c r="MDW3" s="44"/>
      <c r="MDX3" s="44"/>
      <c r="MDY3" s="44"/>
      <c r="MDZ3" s="44"/>
      <c r="MEA3" s="44"/>
      <c r="MEB3" s="44"/>
      <c r="MEC3" s="44"/>
      <c r="MED3" s="44"/>
      <c r="MEE3" s="44"/>
      <c r="MEF3" s="44"/>
      <c r="MEG3" s="44"/>
      <c r="MEH3" s="44"/>
      <c r="MEI3" s="44"/>
      <c r="MEJ3" s="44"/>
      <c r="MEK3" s="44"/>
      <c r="MEL3" s="44"/>
      <c r="MEM3" s="44"/>
      <c r="MEN3" s="44"/>
      <c r="MEO3" s="44"/>
      <c r="MEP3" s="44"/>
      <c r="MEQ3" s="44"/>
      <c r="MER3" s="44"/>
      <c r="MES3" s="44"/>
      <c r="MET3" s="44"/>
      <c r="MEU3" s="44"/>
      <c r="MEV3" s="44"/>
      <c r="MEW3" s="44"/>
      <c r="MEX3" s="44"/>
      <c r="MEY3" s="44"/>
      <c r="MEZ3" s="44"/>
      <c r="MFA3" s="44"/>
      <c r="MFB3" s="44"/>
      <c r="MFC3" s="44"/>
      <c r="MFD3" s="44"/>
      <c r="MFE3" s="44"/>
      <c r="MFF3" s="44"/>
      <c r="MFG3" s="44"/>
      <c r="MFH3" s="44"/>
      <c r="MFI3" s="44"/>
      <c r="MFJ3" s="44"/>
      <c r="MFK3" s="44"/>
      <c r="MFL3" s="44"/>
      <c r="MFM3" s="44"/>
      <c r="MFN3" s="44"/>
      <c r="MFO3" s="44"/>
      <c r="MFP3" s="44"/>
      <c r="MFQ3" s="44"/>
      <c r="MFR3" s="44"/>
      <c r="MFS3" s="44"/>
      <c r="MFT3" s="44"/>
      <c r="MFU3" s="44"/>
      <c r="MFV3" s="44"/>
      <c r="MFW3" s="44"/>
      <c r="MFX3" s="44"/>
      <c r="MFY3" s="44"/>
      <c r="MFZ3" s="44"/>
      <c r="MGA3" s="44"/>
      <c r="MGB3" s="44"/>
      <c r="MGC3" s="44"/>
      <c r="MGD3" s="44"/>
      <c r="MGE3" s="44"/>
      <c r="MGF3" s="44"/>
      <c r="MGG3" s="44"/>
      <c r="MGH3" s="44"/>
      <c r="MGI3" s="44"/>
      <c r="MGJ3" s="44"/>
      <c r="MGK3" s="44"/>
      <c r="MGL3" s="44"/>
      <c r="MGM3" s="44"/>
      <c r="MGN3" s="44"/>
      <c r="MGO3" s="44"/>
      <c r="MGP3" s="44"/>
      <c r="MGQ3" s="44"/>
      <c r="MGR3" s="44"/>
      <c r="MGS3" s="44"/>
      <c r="MGT3" s="44"/>
      <c r="MGU3" s="44"/>
      <c r="MGV3" s="44"/>
      <c r="MGW3" s="44"/>
      <c r="MGX3" s="44"/>
      <c r="MGY3" s="44"/>
      <c r="MGZ3" s="44"/>
      <c r="MHA3" s="44"/>
      <c r="MHB3" s="44"/>
      <c r="MHC3" s="44"/>
      <c r="MHD3" s="44"/>
      <c r="MHE3" s="44"/>
      <c r="MHF3" s="44"/>
      <c r="MHG3" s="44"/>
      <c r="MHH3" s="44"/>
      <c r="MHI3" s="44"/>
      <c r="MHJ3" s="44"/>
      <c r="MHK3" s="44"/>
      <c r="MHL3" s="44"/>
      <c r="MHM3" s="44"/>
      <c r="MHN3" s="44"/>
      <c r="MHO3" s="44"/>
      <c r="MHP3" s="44"/>
      <c r="MHQ3" s="44"/>
      <c r="MHR3" s="44"/>
      <c r="MHS3" s="44"/>
      <c r="MHT3" s="44"/>
      <c r="MHU3" s="44"/>
      <c r="MHV3" s="44"/>
      <c r="MHW3" s="44"/>
      <c r="MHX3" s="44"/>
      <c r="MHY3" s="44"/>
      <c r="MHZ3" s="44"/>
      <c r="MIA3" s="44"/>
      <c r="MIB3" s="44"/>
      <c r="MIC3" s="44"/>
      <c r="MID3" s="44"/>
      <c r="MIE3" s="44"/>
      <c r="MIF3" s="44"/>
      <c r="MIG3" s="44"/>
      <c r="MIH3" s="44"/>
      <c r="MII3" s="44"/>
      <c r="MIJ3" s="44"/>
      <c r="MIK3" s="44"/>
      <c r="MIL3" s="44"/>
      <c r="MIM3" s="44"/>
      <c r="MIN3" s="44"/>
      <c r="MIO3" s="44"/>
      <c r="MIP3" s="44"/>
      <c r="MIQ3" s="44"/>
      <c r="MIR3" s="44"/>
      <c r="MIS3" s="44"/>
      <c r="MIT3" s="44"/>
      <c r="MIU3" s="44"/>
      <c r="MIV3" s="44"/>
      <c r="MIW3" s="44"/>
      <c r="MIX3" s="44"/>
      <c r="MIY3" s="44"/>
      <c r="MIZ3" s="44"/>
      <c r="MJA3" s="44"/>
      <c r="MJB3" s="44"/>
      <c r="MJC3" s="44"/>
      <c r="MJD3" s="44"/>
      <c r="MJE3" s="44"/>
      <c r="MJF3" s="44"/>
      <c r="MJG3" s="44"/>
      <c r="MJH3" s="44"/>
      <c r="MJI3" s="44"/>
      <c r="MJJ3" s="44"/>
      <c r="MJK3" s="44"/>
      <c r="MJL3" s="44"/>
      <c r="MJM3" s="44"/>
      <c r="MJN3" s="44"/>
      <c r="MJO3" s="44"/>
      <c r="MJP3" s="44"/>
      <c r="MJQ3" s="44"/>
      <c r="MJR3" s="44"/>
      <c r="MJS3" s="44"/>
      <c r="MJT3" s="44"/>
      <c r="MJU3" s="44"/>
      <c r="MJV3" s="44"/>
      <c r="MJW3" s="44"/>
      <c r="MJX3" s="44"/>
      <c r="MJY3" s="44"/>
      <c r="MJZ3" s="44"/>
      <c r="MKA3" s="44"/>
      <c r="MKB3" s="44"/>
      <c r="MKC3" s="44"/>
      <c r="MKD3" s="44"/>
      <c r="MKE3" s="44"/>
      <c r="MKF3" s="44"/>
      <c r="MKG3" s="44"/>
      <c r="MKH3" s="44"/>
      <c r="MKI3" s="44"/>
      <c r="MKJ3" s="44"/>
      <c r="MKK3" s="44"/>
      <c r="MKL3" s="44"/>
      <c r="MKM3" s="44"/>
      <c r="MKN3" s="44"/>
      <c r="MKO3" s="44"/>
      <c r="MKP3" s="44"/>
      <c r="MKQ3" s="44"/>
      <c r="MKR3" s="44"/>
      <c r="MKS3" s="44"/>
      <c r="MKT3" s="44"/>
      <c r="MKU3" s="44"/>
      <c r="MKV3" s="44"/>
      <c r="MKW3" s="44"/>
      <c r="MKX3" s="44"/>
      <c r="MKY3" s="44"/>
      <c r="MKZ3" s="44"/>
      <c r="MLA3" s="44"/>
      <c r="MLB3" s="44"/>
      <c r="MLC3" s="44"/>
      <c r="MLD3" s="44"/>
      <c r="MLE3" s="44"/>
      <c r="MLF3" s="44"/>
      <c r="MLG3" s="44"/>
      <c r="MLH3" s="44"/>
      <c r="MLI3" s="44"/>
      <c r="MLJ3" s="44"/>
      <c r="MLK3" s="44"/>
      <c r="MLL3" s="44"/>
      <c r="MLM3" s="44"/>
      <c r="MLN3" s="44"/>
      <c r="MLO3" s="44"/>
      <c r="MLP3" s="44"/>
      <c r="MLQ3" s="44"/>
      <c r="MLR3" s="44"/>
      <c r="MLS3" s="44"/>
      <c r="MLT3" s="44"/>
      <c r="MLU3" s="44"/>
      <c r="MLV3" s="44"/>
      <c r="MLW3" s="44"/>
      <c r="MLX3" s="44"/>
      <c r="MLY3" s="44"/>
      <c r="MLZ3" s="44"/>
      <c r="MMA3" s="44"/>
      <c r="MMB3" s="44"/>
      <c r="MMC3" s="44"/>
      <c r="MMD3" s="44"/>
      <c r="MME3" s="44"/>
      <c r="MMF3" s="44"/>
      <c r="MMG3" s="44"/>
      <c r="MMH3" s="44"/>
      <c r="MMI3" s="44"/>
      <c r="MMJ3" s="44"/>
      <c r="MMK3" s="44"/>
      <c r="MML3" s="44"/>
      <c r="MMM3" s="44"/>
      <c r="MMN3" s="44"/>
      <c r="MMO3" s="44"/>
      <c r="MMP3" s="44"/>
      <c r="MMQ3" s="44"/>
      <c r="MMR3" s="44"/>
      <c r="MMS3" s="44"/>
      <c r="MMT3" s="44"/>
      <c r="MMU3" s="44"/>
      <c r="MMV3" s="44"/>
      <c r="MMW3" s="44"/>
      <c r="MMX3" s="44"/>
      <c r="MMY3" s="44"/>
      <c r="MMZ3" s="44"/>
      <c r="MNA3" s="44"/>
      <c r="MNB3" s="44"/>
      <c r="MNC3" s="44"/>
      <c r="MND3" s="44"/>
      <c r="MNE3" s="44"/>
      <c r="MNF3" s="44"/>
      <c r="MNG3" s="44"/>
      <c r="MNH3" s="44"/>
      <c r="MNI3" s="44"/>
      <c r="MNJ3" s="44"/>
      <c r="MNK3" s="44"/>
      <c r="MNL3" s="44"/>
      <c r="MNM3" s="44"/>
      <c r="MNN3" s="44"/>
      <c r="MNO3" s="44"/>
      <c r="MNP3" s="44"/>
      <c r="MNQ3" s="44"/>
      <c r="MNR3" s="44"/>
      <c r="MNS3" s="44"/>
      <c r="MNT3" s="44"/>
      <c r="MNU3" s="44"/>
      <c r="MNV3" s="44"/>
      <c r="MNW3" s="44"/>
      <c r="MNX3" s="44"/>
      <c r="MNY3" s="44"/>
      <c r="MNZ3" s="44"/>
      <c r="MOA3" s="44"/>
      <c r="MOB3" s="44"/>
      <c r="MOC3" s="44"/>
      <c r="MOD3" s="44"/>
      <c r="MOE3" s="44"/>
      <c r="MOF3" s="44"/>
      <c r="MOG3" s="44"/>
      <c r="MOH3" s="44"/>
      <c r="MOI3" s="44"/>
      <c r="MOJ3" s="44"/>
      <c r="MOK3" s="44"/>
      <c r="MOL3" s="44"/>
      <c r="MOM3" s="44"/>
      <c r="MON3" s="44"/>
      <c r="MOO3" s="44"/>
      <c r="MOP3" s="44"/>
      <c r="MOQ3" s="44"/>
      <c r="MOR3" s="44"/>
      <c r="MOS3" s="44"/>
      <c r="MOT3" s="44"/>
      <c r="MOU3" s="44"/>
      <c r="MOV3" s="44"/>
      <c r="MOW3" s="44"/>
      <c r="MOX3" s="44"/>
      <c r="MOY3" s="44"/>
      <c r="MOZ3" s="44"/>
      <c r="MPA3" s="44"/>
      <c r="MPB3" s="44"/>
      <c r="MPC3" s="44"/>
      <c r="MPD3" s="44"/>
      <c r="MPE3" s="44"/>
      <c r="MPF3" s="44"/>
      <c r="MPG3" s="44"/>
      <c r="MPH3" s="44"/>
      <c r="MPI3" s="44"/>
      <c r="MPJ3" s="44"/>
      <c r="MPK3" s="44"/>
      <c r="MPL3" s="44"/>
      <c r="MPM3" s="44"/>
      <c r="MPN3" s="44"/>
      <c r="MPO3" s="44"/>
      <c r="MPP3" s="44"/>
      <c r="MPQ3" s="44"/>
      <c r="MPR3" s="44"/>
      <c r="MPS3" s="44"/>
      <c r="MPT3" s="44"/>
      <c r="MPU3" s="44"/>
      <c r="MPV3" s="44"/>
      <c r="MPW3" s="44"/>
      <c r="MPX3" s="44"/>
      <c r="MPY3" s="44"/>
      <c r="MPZ3" s="44"/>
      <c r="MQA3" s="44"/>
      <c r="MQB3" s="44"/>
      <c r="MQC3" s="44"/>
      <c r="MQD3" s="44"/>
      <c r="MQE3" s="44"/>
      <c r="MQF3" s="44"/>
      <c r="MQG3" s="44"/>
      <c r="MQH3" s="44"/>
      <c r="MQI3" s="44"/>
      <c r="MQJ3" s="44"/>
      <c r="MQK3" s="44"/>
      <c r="MQL3" s="44"/>
      <c r="MQM3" s="44"/>
      <c r="MQN3" s="44"/>
      <c r="MQO3" s="44"/>
      <c r="MQP3" s="44"/>
      <c r="MQQ3" s="44"/>
      <c r="MQR3" s="44"/>
      <c r="MQS3" s="44"/>
      <c r="MQT3" s="44"/>
      <c r="MQU3" s="44"/>
      <c r="MQV3" s="44"/>
      <c r="MQW3" s="44"/>
      <c r="MQX3" s="44"/>
      <c r="MQY3" s="44"/>
      <c r="MQZ3" s="44"/>
      <c r="MRA3" s="44"/>
      <c r="MRB3" s="44"/>
      <c r="MRC3" s="44"/>
      <c r="MRD3" s="44"/>
      <c r="MRE3" s="44"/>
      <c r="MRF3" s="44"/>
      <c r="MRG3" s="44"/>
      <c r="MRH3" s="44"/>
      <c r="MRI3" s="44"/>
      <c r="MRJ3" s="44"/>
      <c r="MRK3" s="44"/>
      <c r="MRL3" s="44"/>
      <c r="MRM3" s="44"/>
      <c r="MRN3" s="44"/>
      <c r="MRO3" s="44"/>
      <c r="MRP3" s="44"/>
      <c r="MRQ3" s="44"/>
      <c r="MRR3" s="44"/>
      <c r="MRS3" s="44"/>
      <c r="MRT3" s="44"/>
      <c r="MRU3" s="44"/>
      <c r="MRV3" s="44"/>
      <c r="MRW3" s="44"/>
      <c r="MRX3" s="44"/>
      <c r="MRY3" s="44"/>
      <c r="MRZ3" s="44"/>
      <c r="MSA3" s="44"/>
      <c r="MSB3" s="44"/>
      <c r="MSC3" s="44"/>
      <c r="MSD3" s="44"/>
      <c r="MSE3" s="44"/>
      <c r="MSF3" s="44"/>
      <c r="MSG3" s="44"/>
      <c r="MSH3" s="44"/>
      <c r="MSI3" s="44"/>
      <c r="MSJ3" s="44"/>
      <c r="MSK3" s="44"/>
      <c r="MSL3" s="44"/>
      <c r="MSM3" s="44"/>
      <c r="MSN3" s="44"/>
      <c r="MSO3" s="44"/>
      <c r="MSP3" s="44"/>
      <c r="MSQ3" s="44"/>
      <c r="MSR3" s="44"/>
      <c r="MSS3" s="44"/>
      <c r="MST3" s="44"/>
      <c r="MSU3" s="44"/>
      <c r="MSV3" s="44"/>
      <c r="MSW3" s="44"/>
      <c r="MSX3" s="44"/>
      <c r="MSY3" s="44"/>
      <c r="MSZ3" s="44"/>
      <c r="MTA3" s="44"/>
      <c r="MTB3" s="44"/>
      <c r="MTC3" s="44"/>
      <c r="MTD3" s="44"/>
      <c r="MTE3" s="44"/>
      <c r="MTF3" s="44"/>
      <c r="MTG3" s="44"/>
      <c r="MTH3" s="44"/>
      <c r="MTI3" s="44"/>
      <c r="MTJ3" s="44"/>
      <c r="MTK3" s="44"/>
      <c r="MTL3" s="44"/>
      <c r="MTM3" s="44"/>
      <c r="MTN3" s="44"/>
      <c r="MTO3" s="44"/>
      <c r="MTP3" s="44"/>
      <c r="MTQ3" s="44"/>
      <c r="MTR3" s="44"/>
      <c r="MTS3" s="44"/>
      <c r="MTT3" s="44"/>
      <c r="MTU3" s="44"/>
      <c r="MTV3" s="44"/>
      <c r="MTW3" s="44"/>
      <c r="MTX3" s="44"/>
      <c r="MTY3" s="44"/>
      <c r="MTZ3" s="44"/>
      <c r="MUA3" s="44"/>
      <c r="MUB3" s="44"/>
      <c r="MUC3" s="44"/>
      <c r="MUD3" s="44"/>
      <c r="MUE3" s="44"/>
      <c r="MUF3" s="44"/>
      <c r="MUG3" s="44"/>
      <c r="MUH3" s="44"/>
      <c r="MUI3" s="44"/>
      <c r="MUJ3" s="44"/>
      <c r="MUK3" s="44"/>
      <c r="MUL3" s="44"/>
      <c r="MUM3" s="44"/>
      <c r="MUN3" s="44"/>
      <c r="MUO3" s="44"/>
      <c r="MUP3" s="44"/>
      <c r="MUQ3" s="44"/>
      <c r="MUR3" s="44"/>
      <c r="MUS3" s="44"/>
      <c r="MUT3" s="44"/>
      <c r="MUU3" s="44"/>
      <c r="MUV3" s="44"/>
      <c r="MUW3" s="44"/>
      <c r="MUX3" s="44"/>
      <c r="MUY3" s="44"/>
      <c r="MUZ3" s="44"/>
      <c r="MVA3" s="44"/>
      <c r="MVB3" s="44"/>
      <c r="MVC3" s="44"/>
      <c r="MVD3" s="44"/>
      <c r="MVE3" s="44"/>
      <c r="MVF3" s="44"/>
      <c r="MVG3" s="44"/>
      <c r="MVH3" s="44"/>
      <c r="MVI3" s="44"/>
      <c r="MVJ3" s="44"/>
      <c r="MVK3" s="44"/>
      <c r="MVL3" s="44"/>
      <c r="MVM3" s="44"/>
      <c r="MVN3" s="44"/>
      <c r="MVO3" s="44"/>
      <c r="MVP3" s="44"/>
      <c r="MVQ3" s="44"/>
      <c r="MVR3" s="44"/>
      <c r="MVS3" s="44"/>
      <c r="MVT3" s="44"/>
      <c r="MVU3" s="44"/>
      <c r="MVV3" s="44"/>
      <c r="MVW3" s="44"/>
      <c r="MVX3" s="44"/>
      <c r="MVY3" s="44"/>
      <c r="MVZ3" s="44"/>
      <c r="MWA3" s="44"/>
      <c r="MWB3" s="44"/>
      <c r="MWC3" s="44"/>
      <c r="MWD3" s="44"/>
      <c r="MWE3" s="44"/>
      <c r="MWF3" s="44"/>
      <c r="MWG3" s="44"/>
      <c r="MWH3" s="44"/>
      <c r="MWI3" s="44"/>
      <c r="MWJ3" s="44"/>
      <c r="MWK3" s="44"/>
      <c r="MWL3" s="44"/>
      <c r="MWM3" s="44"/>
      <c r="MWN3" s="44"/>
      <c r="MWO3" s="44"/>
      <c r="MWP3" s="44"/>
      <c r="MWQ3" s="44"/>
      <c r="MWR3" s="44"/>
      <c r="MWS3" s="44"/>
      <c r="MWT3" s="44"/>
      <c r="MWU3" s="44"/>
      <c r="MWV3" s="44"/>
      <c r="MWW3" s="44"/>
      <c r="MWX3" s="44"/>
      <c r="MWY3" s="44"/>
      <c r="MWZ3" s="44"/>
      <c r="MXA3" s="44"/>
      <c r="MXB3" s="44"/>
      <c r="MXC3" s="44"/>
      <c r="MXD3" s="44"/>
      <c r="MXE3" s="44"/>
      <c r="MXF3" s="44"/>
      <c r="MXG3" s="44"/>
      <c r="MXH3" s="44"/>
      <c r="MXI3" s="44"/>
      <c r="MXJ3" s="44"/>
      <c r="MXK3" s="44"/>
      <c r="MXL3" s="44"/>
      <c r="MXM3" s="44"/>
      <c r="MXN3" s="44"/>
      <c r="MXO3" s="44"/>
      <c r="MXP3" s="44"/>
      <c r="MXQ3" s="44"/>
      <c r="MXR3" s="44"/>
      <c r="MXS3" s="44"/>
      <c r="MXT3" s="44"/>
      <c r="MXU3" s="44"/>
      <c r="MXV3" s="44"/>
      <c r="MXW3" s="44"/>
      <c r="MXX3" s="44"/>
      <c r="MXY3" s="44"/>
      <c r="MXZ3" s="44"/>
      <c r="MYA3" s="44"/>
      <c r="MYB3" s="44"/>
      <c r="MYC3" s="44"/>
      <c r="MYD3" s="44"/>
      <c r="MYE3" s="44"/>
      <c r="MYF3" s="44"/>
      <c r="MYG3" s="44"/>
      <c r="MYH3" s="44"/>
      <c r="MYI3" s="44"/>
      <c r="MYJ3" s="44"/>
      <c r="MYK3" s="44"/>
      <c r="MYL3" s="44"/>
      <c r="MYM3" s="44"/>
      <c r="MYN3" s="44"/>
      <c r="MYO3" s="44"/>
      <c r="MYP3" s="44"/>
      <c r="MYQ3" s="44"/>
      <c r="MYR3" s="44"/>
      <c r="MYS3" s="44"/>
      <c r="MYT3" s="44"/>
      <c r="MYU3" s="44"/>
      <c r="MYV3" s="44"/>
      <c r="MYW3" s="44"/>
      <c r="MYX3" s="44"/>
      <c r="MYY3" s="44"/>
      <c r="MYZ3" s="44"/>
      <c r="MZA3" s="44"/>
      <c r="MZB3" s="44"/>
      <c r="MZC3" s="44"/>
      <c r="MZD3" s="44"/>
      <c r="MZE3" s="44"/>
      <c r="MZF3" s="44"/>
      <c r="MZG3" s="44"/>
      <c r="MZH3" s="44"/>
      <c r="MZI3" s="44"/>
      <c r="MZJ3" s="44"/>
      <c r="MZK3" s="44"/>
      <c r="MZL3" s="44"/>
      <c r="MZM3" s="44"/>
      <c r="MZN3" s="44"/>
      <c r="MZO3" s="44"/>
      <c r="MZP3" s="44"/>
      <c r="MZQ3" s="44"/>
      <c r="MZR3" s="44"/>
      <c r="MZS3" s="44"/>
      <c r="MZT3" s="44"/>
      <c r="MZU3" s="44"/>
      <c r="MZV3" s="44"/>
      <c r="MZW3" s="44"/>
      <c r="MZX3" s="44"/>
      <c r="MZY3" s="44"/>
      <c r="MZZ3" s="44"/>
      <c r="NAA3" s="44"/>
      <c r="NAB3" s="44"/>
      <c r="NAC3" s="44"/>
      <c r="NAD3" s="44"/>
      <c r="NAE3" s="44"/>
      <c r="NAF3" s="44"/>
      <c r="NAG3" s="44"/>
      <c r="NAH3" s="44"/>
      <c r="NAI3" s="44"/>
      <c r="NAJ3" s="44"/>
      <c r="NAK3" s="44"/>
      <c r="NAL3" s="44"/>
      <c r="NAM3" s="44"/>
      <c r="NAN3" s="44"/>
      <c r="NAO3" s="44"/>
      <c r="NAP3" s="44"/>
      <c r="NAQ3" s="44"/>
      <c r="NAR3" s="44"/>
      <c r="NAS3" s="44"/>
      <c r="NAT3" s="44"/>
      <c r="NAU3" s="44"/>
      <c r="NAV3" s="44"/>
      <c r="NAW3" s="44"/>
      <c r="NAX3" s="44"/>
      <c r="NAY3" s="44"/>
      <c r="NAZ3" s="44"/>
      <c r="NBA3" s="44"/>
      <c r="NBB3" s="44"/>
      <c r="NBC3" s="44"/>
      <c r="NBD3" s="44"/>
      <c r="NBE3" s="44"/>
      <c r="NBF3" s="44"/>
      <c r="NBG3" s="44"/>
      <c r="NBH3" s="44"/>
      <c r="NBI3" s="44"/>
      <c r="NBJ3" s="44"/>
      <c r="NBK3" s="44"/>
      <c r="NBL3" s="44"/>
      <c r="NBM3" s="44"/>
      <c r="NBN3" s="44"/>
      <c r="NBO3" s="44"/>
      <c r="NBP3" s="44"/>
      <c r="NBQ3" s="44"/>
      <c r="NBR3" s="44"/>
      <c r="NBS3" s="44"/>
      <c r="NBT3" s="44"/>
      <c r="NBU3" s="44"/>
      <c r="NBV3" s="44"/>
      <c r="NBW3" s="44"/>
      <c r="NBX3" s="44"/>
      <c r="NBY3" s="44"/>
      <c r="NBZ3" s="44"/>
      <c r="NCA3" s="44"/>
      <c r="NCB3" s="44"/>
      <c r="NCC3" s="44"/>
      <c r="NCD3" s="44"/>
      <c r="NCE3" s="44"/>
      <c r="NCF3" s="44"/>
      <c r="NCG3" s="44"/>
      <c r="NCH3" s="44"/>
      <c r="NCI3" s="44"/>
      <c r="NCJ3" s="44"/>
      <c r="NCK3" s="44"/>
      <c r="NCL3" s="44"/>
      <c r="NCM3" s="44"/>
      <c r="NCN3" s="44"/>
      <c r="NCO3" s="44"/>
      <c r="NCP3" s="44"/>
      <c r="NCQ3" s="44"/>
      <c r="NCR3" s="44"/>
      <c r="NCS3" s="44"/>
      <c r="NCT3" s="44"/>
      <c r="NCU3" s="44"/>
      <c r="NCV3" s="44"/>
      <c r="NCW3" s="44"/>
      <c r="NCX3" s="44"/>
      <c r="NCY3" s="44"/>
      <c r="NCZ3" s="44"/>
      <c r="NDA3" s="44"/>
      <c r="NDB3" s="44"/>
      <c r="NDC3" s="44"/>
      <c r="NDD3" s="44"/>
      <c r="NDE3" s="44"/>
      <c r="NDF3" s="44"/>
      <c r="NDG3" s="44"/>
      <c r="NDH3" s="44"/>
      <c r="NDI3" s="44"/>
      <c r="NDJ3" s="44"/>
      <c r="NDK3" s="44"/>
      <c r="NDL3" s="44"/>
      <c r="NDM3" s="44"/>
      <c r="NDN3" s="44"/>
      <c r="NDO3" s="44"/>
      <c r="NDP3" s="44"/>
      <c r="NDQ3" s="44"/>
      <c r="NDR3" s="44"/>
      <c r="NDS3" s="44"/>
      <c r="NDT3" s="44"/>
      <c r="NDU3" s="44"/>
      <c r="NDV3" s="44"/>
      <c r="NDW3" s="44"/>
      <c r="NDX3" s="44"/>
      <c r="NDY3" s="44"/>
      <c r="NDZ3" s="44"/>
      <c r="NEA3" s="44"/>
      <c r="NEB3" s="44"/>
      <c r="NEC3" s="44"/>
      <c r="NED3" s="44"/>
      <c r="NEE3" s="44"/>
      <c r="NEF3" s="44"/>
      <c r="NEG3" s="44"/>
      <c r="NEH3" s="44"/>
      <c r="NEI3" s="44"/>
      <c r="NEJ3" s="44"/>
      <c r="NEK3" s="44"/>
      <c r="NEL3" s="44"/>
      <c r="NEM3" s="44"/>
      <c r="NEN3" s="44"/>
      <c r="NEO3" s="44"/>
      <c r="NEP3" s="44"/>
      <c r="NEQ3" s="44"/>
      <c r="NER3" s="44"/>
      <c r="NES3" s="44"/>
      <c r="NET3" s="44"/>
      <c r="NEU3" s="44"/>
      <c r="NEV3" s="44"/>
      <c r="NEW3" s="44"/>
      <c r="NEX3" s="44"/>
      <c r="NEY3" s="44"/>
      <c r="NEZ3" s="44"/>
      <c r="NFA3" s="44"/>
      <c r="NFB3" s="44"/>
      <c r="NFC3" s="44"/>
      <c r="NFD3" s="44"/>
      <c r="NFE3" s="44"/>
      <c r="NFF3" s="44"/>
      <c r="NFG3" s="44"/>
      <c r="NFH3" s="44"/>
      <c r="NFI3" s="44"/>
      <c r="NFJ3" s="44"/>
      <c r="NFK3" s="44"/>
      <c r="NFL3" s="44"/>
      <c r="NFM3" s="44"/>
      <c r="NFN3" s="44"/>
      <c r="NFO3" s="44"/>
      <c r="NFP3" s="44"/>
      <c r="NFQ3" s="44"/>
      <c r="NFR3" s="44"/>
      <c r="NFS3" s="44"/>
      <c r="NFT3" s="44"/>
      <c r="NFU3" s="44"/>
      <c r="NFV3" s="44"/>
      <c r="NFW3" s="44"/>
      <c r="NFX3" s="44"/>
      <c r="NFY3" s="44"/>
      <c r="NFZ3" s="44"/>
      <c r="NGA3" s="44"/>
      <c r="NGB3" s="44"/>
      <c r="NGC3" s="44"/>
      <c r="NGD3" s="44"/>
      <c r="NGE3" s="44"/>
      <c r="NGF3" s="44"/>
      <c r="NGG3" s="44"/>
      <c r="NGH3" s="44"/>
      <c r="NGI3" s="44"/>
      <c r="NGJ3" s="44"/>
      <c r="NGK3" s="44"/>
      <c r="NGL3" s="44"/>
      <c r="NGM3" s="44"/>
      <c r="NGN3" s="44"/>
      <c r="NGO3" s="44"/>
      <c r="NGP3" s="44"/>
      <c r="NGQ3" s="44"/>
      <c r="NGR3" s="44"/>
      <c r="NGS3" s="44"/>
      <c r="NGT3" s="44"/>
      <c r="NGU3" s="44"/>
      <c r="NGV3" s="44"/>
      <c r="NGW3" s="44"/>
      <c r="NGX3" s="44"/>
      <c r="NGY3" s="44"/>
      <c r="NGZ3" s="44"/>
      <c r="NHA3" s="44"/>
      <c r="NHB3" s="44"/>
      <c r="NHC3" s="44"/>
      <c r="NHD3" s="44"/>
      <c r="NHE3" s="44"/>
      <c r="NHF3" s="44"/>
      <c r="NHG3" s="44"/>
      <c r="NHH3" s="44"/>
      <c r="NHI3" s="44"/>
      <c r="NHJ3" s="44"/>
      <c r="NHK3" s="44"/>
      <c r="NHL3" s="44"/>
      <c r="NHM3" s="44"/>
      <c r="NHN3" s="44"/>
      <c r="NHO3" s="44"/>
      <c r="NHP3" s="44"/>
      <c r="NHQ3" s="44"/>
      <c r="NHR3" s="44"/>
      <c r="NHS3" s="44"/>
      <c r="NHT3" s="44"/>
      <c r="NHU3" s="44"/>
      <c r="NHV3" s="44"/>
      <c r="NHW3" s="44"/>
      <c r="NHX3" s="44"/>
      <c r="NHY3" s="44"/>
      <c r="NHZ3" s="44"/>
      <c r="NIA3" s="44"/>
      <c r="NIB3" s="44"/>
      <c r="NIC3" s="44"/>
      <c r="NID3" s="44"/>
      <c r="NIE3" s="44"/>
      <c r="NIF3" s="44"/>
      <c r="NIG3" s="44"/>
      <c r="NIH3" s="44"/>
      <c r="NII3" s="44"/>
      <c r="NIJ3" s="44"/>
      <c r="NIK3" s="44"/>
      <c r="NIL3" s="44"/>
      <c r="NIM3" s="44"/>
      <c r="NIN3" s="44"/>
      <c r="NIO3" s="44"/>
      <c r="NIP3" s="44"/>
      <c r="NIQ3" s="44"/>
      <c r="NIR3" s="44"/>
      <c r="NIS3" s="44"/>
      <c r="NIT3" s="44"/>
      <c r="NIU3" s="44"/>
      <c r="NIV3" s="44"/>
      <c r="NIW3" s="44"/>
      <c r="NIX3" s="44"/>
      <c r="NIY3" s="44"/>
      <c r="NIZ3" s="44"/>
      <c r="NJA3" s="44"/>
      <c r="NJB3" s="44"/>
      <c r="NJC3" s="44"/>
      <c r="NJD3" s="44"/>
      <c r="NJE3" s="44"/>
      <c r="NJF3" s="44"/>
      <c r="NJG3" s="44"/>
      <c r="NJH3" s="44"/>
      <c r="NJI3" s="44"/>
      <c r="NJJ3" s="44"/>
      <c r="NJK3" s="44"/>
      <c r="NJL3" s="44"/>
      <c r="NJM3" s="44"/>
      <c r="NJN3" s="44"/>
      <c r="NJO3" s="44"/>
      <c r="NJP3" s="44"/>
      <c r="NJQ3" s="44"/>
      <c r="NJR3" s="44"/>
      <c r="NJS3" s="44"/>
      <c r="NJT3" s="44"/>
      <c r="NJU3" s="44"/>
      <c r="NJV3" s="44"/>
      <c r="NJW3" s="44"/>
      <c r="NJX3" s="44"/>
      <c r="NJY3" s="44"/>
      <c r="NJZ3" s="44"/>
      <c r="NKA3" s="44"/>
      <c r="NKB3" s="44"/>
      <c r="NKC3" s="44"/>
      <c r="NKD3" s="44"/>
      <c r="NKE3" s="44"/>
      <c r="NKF3" s="44"/>
      <c r="NKG3" s="44"/>
      <c r="NKH3" s="44"/>
      <c r="NKI3" s="44"/>
      <c r="NKJ3" s="44"/>
      <c r="NKK3" s="44"/>
      <c r="NKL3" s="44"/>
      <c r="NKM3" s="44"/>
      <c r="NKN3" s="44"/>
      <c r="NKO3" s="44"/>
      <c r="NKP3" s="44"/>
      <c r="NKQ3" s="44"/>
      <c r="NKR3" s="44"/>
      <c r="NKS3" s="44"/>
      <c r="NKT3" s="44"/>
      <c r="NKU3" s="44"/>
      <c r="NKV3" s="44"/>
      <c r="NKW3" s="44"/>
      <c r="NKX3" s="44"/>
      <c r="NKY3" s="44"/>
      <c r="NKZ3" s="44"/>
      <c r="NLA3" s="44"/>
      <c r="NLB3" s="44"/>
      <c r="NLC3" s="44"/>
      <c r="NLD3" s="44"/>
      <c r="NLE3" s="44"/>
      <c r="NLF3" s="44"/>
      <c r="NLG3" s="44"/>
      <c r="NLH3" s="44"/>
      <c r="NLI3" s="44"/>
      <c r="NLJ3" s="44"/>
      <c r="NLK3" s="44"/>
      <c r="NLL3" s="44"/>
      <c r="NLM3" s="44"/>
      <c r="NLN3" s="44"/>
      <c r="NLO3" s="44"/>
      <c r="NLP3" s="44"/>
      <c r="NLQ3" s="44"/>
      <c r="NLR3" s="44"/>
      <c r="NLS3" s="44"/>
      <c r="NLT3" s="44"/>
      <c r="NLU3" s="44"/>
      <c r="NLV3" s="44"/>
      <c r="NLW3" s="44"/>
      <c r="NLX3" s="44"/>
      <c r="NLY3" s="44"/>
      <c r="NLZ3" s="44"/>
      <c r="NMA3" s="44"/>
      <c r="NMB3" s="44"/>
      <c r="NMC3" s="44"/>
      <c r="NMD3" s="44"/>
      <c r="NME3" s="44"/>
      <c r="NMF3" s="44"/>
      <c r="NMG3" s="44"/>
      <c r="NMH3" s="44"/>
      <c r="NMI3" s="44"/>
      <c r="NMJ3" s="44"/>
      <c r="NMK3" s="44"/>
      <c r="NML3" s="44"/>
      <c r="NMM3" s="44"/>
      <c r="NMN3" s="44"/>
      <c r="NMO3" s="44"/>
      <c r="NMP3" s="44"/>
      <c r="NMQ3" s="44"/>
      <c r="NMR3" s="44"/>
      <c r="NMS3" s="44"/>
      <c r="NMT3" s="44"/>
      <c r="NMU3" s="44"/>
      <c r="NMV3" s="44"/>
      <c r="NMW3" s="44"/>
      <c r="NMX3" s="44"/>
      <c r="NMY3" s="44"/>
      <c r="NMZ3" s="44"/>
      <c r="NNA3" s="44"/>
      <c r="NNB3" s="44"/>
      <c r="NNC3" s="44"/>
      <c r="NND3" s="44"/>
      <c r="NNE3" s="44"/>
      <c r="NNF3" s="44"/>
      <c r="NNG3" s="44"/>
      <c r="NNH3" s="44"/>
      <c r="NNI3" s="44"/>
      <c r="NNJ3" s="44"/>
      <c r="NNK3" s="44"/>
      <c r="NNL3" s="44"/>
      <c r="NNM3" s="44"/>
      <c r="NNN3" s="44"/>
      <c r="NNO3" s="44"/>
      <c r="NNP3" s="44"/>
      <c r="NNQ3" s="44"/>
      <c r="NNR3" s="44"/>
      <c r="NNS3" s="44"/>
      <c r="NNT3" s="44"/>
      <c r="NNU3" s="44"/>
      <c r="NNV3" s="44"/>
      <c r="NNW3" s="44"/>
      <c r="NNX3" s="44"/>
      <c r="NNY3" s="44"/>
      <c r="NNZ3" s="44"/>
      <c r="NOA3" s="44"/>
      <c r="NOB3" s="44"/>
      <c r="NOC3" s="44"/>
      <c r="NOD3" s="44"/>
      <c r="NOE3" s="44"/>
      <c r="NOF3" s="44"/>
      <c r="NOG3" s="44"/>
      <c r="NOH3" s="44"/>
      <c r="NOI3" s="44"/>
      <c r="NOJ3" s="44"/>
      <c r="NOK3" s="44"/>
      <c r="NOL3" s="44"/>
      <c r="NOM3" s="44"/>
      <c r="NON3" s="44"/>
      <c r="NOO3" s="44"/>
      <c r="NOP3" s="44"/>
      <c r="NOQ3" s="44"/>
      <c r="NOR3" s="44"/>
      <c r="NOS3" s="44"/>
      <c r="NOT3" s="44"/>
      <c r="NOU3" s="44"/>
      <c r="NOV3" s="44"/>
      <c r="NOW3" s="44"/>
      <c r="NOX3" s="44"/>
      <c r="NOY3" s="44"/>
      <c r="NOZ3" s="44"/>
      <c r="NPA3" s="44"/>
      <c r="NPB3" s="44"/>
      <c r="NPC3" s="44"/>
      <c r="NPD3" s="44"/>
      <c r="NPE3" s="44"/>
      <c r="NPF3" s="44"/>
      <c r="NPG3" s="44"/>
      <c r="NPH3" s="44"/>
      <c r="NPI3" s="44"/>
      <c r="NPJ3" s="44"/>
      <c r="NPK3" s="44"/>
      <c r="NPL3" s="44"/>
      <c r="NPM3" s="44"/>
      <c r="NPN3" s="44"/>
      <c r="NPO3" s="44"/>
      <c r="NPP3" s="44"/>
      <c r="NPQ3" s="44"/>
      <c r="NPR3" s="44"/>
      <c r="NPS3" s="44"/>
      <c r="NPT3" s="44"/>
      <c r="NPU3" s="44"/>
      <c r="NPV3" s="44"/>
      <c r="NPW3" s="44"/>
      <c r="NPX3" s="44"/>
      <c r="NPY3" s="44"/>
      <c r="NPZ3" s="44"/>
      <c r="NQA3" s="44"/>
      <c r="NQB3" s="44"/>
      <c r="NQC3" s="44"/>
      <c r="NQD3" s="44"/>
      <c r="NQE3" s="44"/>
      <c r="NQF3" s="44"/>
      <c r="NQG3" s="44"/>
      <c r="NQH3" s="44"/>
      <c r="NQI3" s="44"/>
      <c r="NQJ3" s="44"/>
      <c r="NQK3" s="44"/>
      <c r="NQL3" s="44"/>
      <c r="NQM3" s="44"/>
      <c r="NQN3" s="44"/>
      <c r="NQO3" s="44"/>
      <c r="NQP3" s="44"/>
      <c r="NQQ3" s="44"/>
      <c r="NQR3" s="44"/>
      <c r="NQS3" s="44"/>
      <c r="NQT3" s="44"/>
      <c r="NQU3" s="44"/>
      <c r="NQV3" s="44"/>
      <c r="NQW3" s="44"/>
      <c r="NQX3" s="44"/>
      <c r="NQY3" s="44"/>
      <c r="NQZ3" s="44"/>
      <c r="NRA3" s="44"/>
      <c r="NRB3" s="44"/>
      <c r="NRC3" s="44"/>
      <c r="NRD3" s="44"/>
      <c r="NRE3" s="44"/>
      <c r="NRF3" s="44"/>
      <c r="NRG3" s="44"/>
      <c r="NRH3" s="44"/>
      <c r="NRI3" s="44"/>
      <c r="NRJ3" s="44"/>
      <c r="NRK3" s="44"/>
      <c r="NRL3" s="44"/>
      <c r="NRM3" s="44"/>
      <c r="NRN3" s="44"/>
      <c r="NRO3" s="44"/>
      <c r="NRP3" s="44"/>
      <c r="NRQ3" s="44"/>
      <c r="NRR3" s="44"/>
      <c r="NRS3" s="44"/>
      <c r="NRT3" s="44"/>
      <c r="NRU3" s="44"/>
      <c r="NRV3" s="44"/>
      <c r="NRW3" s="44"/>
      <c r="NRX3" s="44"/>
      <c r="NRY3" s="44"/>
      <c r="NRZ3" s="44"/>
      <c r="NSA3" s="44"/>
      <c r="NSB3" s="44"/>
      <c r="NSC3" s="44"/>
      <c r="NSD3" s="44"/>
      <c r="NSE3" s="44"/>
      <c r="NSF3" s="44"/>
      <c r="NSG3" s="44"/>
      <c r="NSH3" s="44"/>
      <c r="NSI3" s="44"/>
      <c r="NSJ3" s="44"/>
      <c r="NSK3" s="44"/>
      <c r="NSL3" s="44"/>
      <c r="NSM3" s="44"/>
      <c r="NSN3" s="44"/>
      <c r="NSO3" s="44"/>
      <c r="NSP3" s="44"/>
      <c r="NSQ3" s="44"/>
      <c r="NSR3" s="44"/>
      <c r="NSS3" s="44"/>
      <c r="NST3" s="44"/>
      <c r="NSU3" s="44"/>
      <c r="NSV3" s="44"/>
      <c r="NSW3" s="44"/>
      <c r="NSX3" s="44"/>
      <c r="NSY3" s="44"/>
      <c r="NSZ3" s="44"/>
      <c r="NTA3" s="44"/>
      <c r="NTB3" s="44"/>
      <c r="NTC3" s="44"/>
      <c r="NTD3" s="44"/>
      <c r="NTE3" s="44"/>
      <c r="NTF3" s="44"/>
      <c r="NTG3" s="44"/>
      <c r="NTH3" s="44"/>
      <c r="NTI3" s="44"/>
      <c r="NTJ3" s="44"/>
      <c r="NTK3" s="44"/>
      <c r="NTL3" s="44"/>
      <c r="NTM3" s="44"/>
      <c r="NTN3" s="44"/>
      <c r="NTO3" s="44"/>
      <c r="NTP3" s="44"/>
      <c r="NTQ3" s="44"/>
      <c r="NTR3" s="44"/>
      <c r="NTS3" s="44"/>
      <c r="NTT3" s="44"/>
      <c r="NTU3" s="44"/>
      <c r="NTV3" s="44"/>
      <c r="NTW3" s="44"/>
      <c r="NTX3" s="44"/>
      <c r="NTY3" s="44"/>
      <c r="NTZ3" s="44"/>
      <c r="NUA3" s="44"/>
      <c r="NUB3" s="44"/>
      <c r="NUC3" s="44"/>
      <c r="NUD3" s="44"/>
      <c r="NUE3" s="44"/>
      <c r="NUF3" s="44"/>
      <c r="NUG3" s="44"/>
      <c r="NUH3" s="44"/>
      <c r="NUI3" s="44"/>
      <c r="NUJ3" s="44"/>
      <c r="NUK3" s="44"/>
      <c r="NUL3" s="44"/>
      <c r="NUM3" s="44"/>
      <c r="NUN3" s="44"/>
      <c r="NUO3" s="44"/>
      <c r="NUP3" s="44"/>
      <c r="NUQ3" s="44"/>
      <c r="NUR3" s="44"/>
      <c r="NUS3" s="44"/>
      <c r="NUT3" s="44"/>
      <c r="NUU3" s="44"/>
      <c r="NUV3" s="44"/>
      <c r="NUW3" s="44"/>
      <c r="NUX3" s="44"/>
      <c r="NUY3" s="44"/>
      <c r="NUZ3" s="44"/>
      <c r="NVA3" s="44"/>
      <c r="NVB3" s="44"/>
      <c r="NVC3" s="44"/>
      <c r="NVD3" s="44"/>
      <c r="NVE3" s="44"/>
      <c r="NVF3" s="44"/>
      <c r="NVG3" s="44"/>
      <c r="NVH3" s="44"/>
      <c r="NVI3" s="44"/>
      <c r="NVJ3" s="44"/>
      <c r="NVK3" s="44"/>
      <c r="NVL3" s="44"/>
      <c r="NVM3" s="44"/>
      <c r="NVN3" s="44"/>
      <c r="NVO3" s="44"/>
      <c r="NVP3" s="44"/>
      <c r="NVQ3" s="44"/>
      <c r="NVR3" s="44"/>
      <c r="NVS3" s="44"/>
      <c r="NVT3" s="44"/>
      <c r="NVU3" s="44"/>
      <c r="NVV3" s="44"/>
      <c r="NVW3" s="44"/>
      <c r="NVX3" s="44"/>
      <c r="NVY3" s="44"/>
      <c r="NVZ3" s="44"/>
      <c r="NWA3" s="44"/>
      <c r="NWB3" s="44"/>
      <c r="NWC3" s="44"/>
      <c r="NWD3" s="44"/>
      <c r="NWE3" s="44"/>
      <c r="NWF3" s="44"/>
      <c r="NWG3" s="44"/>
      <c r="NWH3" s="44"/>
      <c r="NWI3" s="44"/>
      <c r="NWJ3" s="44"/>
      <c r="NWK3" s="44"/>
      <c r="NWL3" s="44"/>
      <c r="NWM3" s="44"/>
      <c r="NWN3" s="44"/>
      <c r="NWO3" s="44"/>
      <c r="NWP3" s="44"/>
      <c r="NWQ3" s="44"/>
      <c r="NWR3" s="44"/>
      <c r="NWS3" s="44"/>
      <c r="NWT3" s="44"/>
      <c r="NWU3" s="44"/>
      <c r="NWV3" s="44"/>
      <c r="NWW3" s="44"/>
      <c r="NWX3" s="44"/>
      <c r="NWY3" s="44"/>
      <c r="NWZ3" s="44"/>
      <c r="NXA3" s="44"/>
      <c r="NXB3" s="44"/>
      <c r="NXC3" s="44"/>
      <c r="NXD3" s="44"/>
      <c r="NXE3" s="44"/>
      <c r="NXF3" s="44"/>
      <c r="NXG3" s="44"/>
      <c r="NXH3" s="44"/>
      <c r="NXI3" s="44"/>
      <c r="NXJ3" s="44"/>
      <c r="NXK3" s="44"/>
      <c r="NXL3" s="44"/>
      <c r="NXM3" s="44"/>
      <c r="NXN3" s="44"/>
      <c r="NXO3" s="44"/>
      <c r="NXP3" s="44"/>
      <c r="NXQ3" s="44"/>
      <c r="NXR3" s="44"/>
      <c r="NXS3" s="44"/>
      <c r="NXT3" s="44"/>
      <c r="NXU3" s="44"/>
      <c r="NXV3" s="44"/>
      <c r="NXW3" s="44"/>
      <c r="NXX3" s="44"/>
      <c r="NXY3" s="44"/>
      <c r="NXZ3" s="44"/>
      <c r="NYA3" s="44"/>
      <c r="NYB3" s="44"/>
      <c r="NYC3" s="44"/>
      <c r="NYD3" s="44"/>
      <c r="NYE3" s="44"/>
      <c r="NYF3" s="44"/>
      <c r="NYG3" s="44"/>
      <c r="NYH3" s="44"/>
      <c r="NYI3" s="44"/>
      <c r="NYJ3" s="44"/>
      <c r="NYK3" s="44"/>
      <c r="NYL3" s="44"/>
      <c r="NYM3" s="44"/>
      <c r="NYN3" s="44"/>
      <c r="NYO3" s="44"/>
      <c r="NYP3" s="44"/>
      <c r="NYQ3" s="44"/>
      <c r="NYR3" s="44"/>
      <c r="NYS3" s="44"/>
      <c r="NYT3" s="44"/>
      <c r="NYU3" s="44"/>
      <c r="NYV3" s="44"/>
      <c r="NYW3" s="44"/>
      <c r="NYX3" s="44"/>
      <c r="NYY3" s="44"/>
      <c r="NYZ3" s="44"/>
      <c r="NZA3" s="44"/>
      <c r="NZB3" s="44"/>
      <c r="NZC3" s="44"/>
      <c r="NZD3" s="44"/>
      <c r="NZE3" s="44"/>
      <c r="NZF3" s="44"/>
      <c r="NZG3" s="44"/>
      <c r="NZH3" s="44"/>
      <c r="NZI3" s="44"/>
      <c r="NZJ3" s="44"/>
      <c r="NZK3" s="44"/>
      <c r="NZL3" s="44"/>
      <c r="NZM3" s="44"/>
      <c r="NZN3" s="44"/>
      <c r="NZO3" s="44"/>
      <c r="NZP3" s="44"/>
      <c r="NZQ3" s="44"/>
      <c r="NZR3" s="44"/>
      <c r="NZS3" s="44"/>
      <c r="NZT3" s="44"/>
      <c r="NZU3" s="44"/>
      <c r="NZV3" s="44"/>
      <c r="NZW3" s="44"/>
      <c r="NZX3" s="44"/>
      <c r="NZY3" s="44"/>
      <c r="NZZ3" s="44"/>
      <c r="OAA3" s="44"/>
      <c r="OAB3" s="44"/>
      <c r="OAC3" s="44"/>
      <c r="OAD3" s="44"/>
      <c r="OAE3" s="44"/>
      <c r="OAF3" s="44"/>
      <c r="OAG3" s="44"/>
      <c r="OAH3" s="44"/>
      <c r="OAI3" s="44"/>
      <c r="OAJ3" s="44"/>
      <c r="OAK3" s="44"/>
      <c r="OAL3" s="44"/>
      <c r="OAM3" s="44"/>
      <c r="OAN3" s="44"/>
      <c r="OAO3" s="44"/>
      <c r="OAP3" s="44"/>
      <c r="OAQ3" s="44"/>
      <c r="OAR3" s="44"/>
      <c r="OAS3" s="44"/>
      <c r="OAT3" s="44"/>
      <c r="OAU3" s="44"/>
      <c r="OAV3" s="44"/>
      <c r="OAW3" s="44"/>
      <c r="OAX3" s="44"/>
      <c r="OAY3" s="44"/>
      <c r="OAZ3" s="44"/>
      <c r="OBA3" s="44"/>
      <c r="OBB3" s="44"/>
      <c r="OBC3" s="44"/>
      <c r="OBD3" s="44"/>
      <c r="OBE3" s="44"/>
      <c r="OBF3" s="44"/>
      <c r="OBG3" s="44"/>
      <c r="OBH3" s="44"/>
      <c r="OBI3" s="44"/>
      <c r="OBJ3" s="44"/>
      <c r="OBK3" s="44"/>
      <c r="OBL3" s="44"/>
      <c r="OBM3" s="44"/>
      <c r="OBN3" s="44"/>
      <c r="OBO3" s="44"/>
      <c r="OBP3" s="44"/>
      <c r="OBQ3" s="44"/>
      <c r="OBR3" s="44"/>
      <c r="OBS3" s="44"/>
      <c r="OBT3" s="44"/>
      <c r="OBU3" s="44"/>
      <c r="OBV3" s="44"/>
      <c r="OBW3" s="44"/>
      <c r="OBX3" s="44"/>
      <c r="OBY3" s="44"/>
      <c r="OBZ3" s="44"/>
      <c r="OCA3" s="44"/>
      <c r="OCB3" s="44"/>
      <c r="OCC3" s="44"/>
      <c r="OCD3" s="44"/>
      <c r="OCE3" s="44"/>
      <c r="OCF3" s="44"/>
      <c r="OCG3" s="44"/>
      <c r="OCH3" s="44"/>
      <c r="OCI3" s="44"/>
      <c r="OCJ3" s="44"/>
      <c r="OCK3" s="44"/>
      <c r="OCL3" s="44"/>
      <c r="OCM3" s="44"/>
      <c r="OCN3" s="44"/>
      <c r="OCO3" s="44"/>
      <c r="OCP3" s="44"/>
      <c r="OCQ3" s="44"/>
      <c r="OCR3" s="44"/>
      <c r="OCS3" s="44"/>
      <c r="OCT3" s="44"/>
      <c r="OCU3" s="44"/>
      <c r="OCV3" s="44"/>
      <c r="OCW3" s="44"/>
      <c r="OCX3" s="44"/>
      <c r="OCY3" s="44"/>
      <c r="OCZ3" s="44"/>
      <c r="ODA3" s="44"/>
      <c r="ODB3" s="44"/>
      <c r="ODC3" s="44"/>
      <c r="ODD3" s="44"/>
      <c r="ODE3" s="44"/>
      <c r="ODF3" s="44"/>
      <c r="ODG3" s="44"/>
      <c r="ODH3" s="44"/>
      <c r="ODI3" s="44"/>
      <c r="ODJ3" s="44"/>
      <c r="ODK3" s="44"/>
      <c r="ODL3" s="44"/>
      <c r="ODM3" s="44"/>
      <c r="ODN3" s="44"/>
      <c r="ODO3" s="44"/>
      <c r="ODP3" s="44"/>
      <c r="ODQ3" s="44"/>
      <c r="ODR3" s="44"/>
      <c r="ODS3" s="44"/>
      <c r="ODT3" s="44"/>
      <c r="ODU3" s="44"/>
      <c r="ODV3" s="44"/>
      <c r="ODW3" s="44"/>
      <c r="ODX3" s="44"/>
      <c r="ODY3" s="44"/>
      <c r="ODZ3" s="44"/>
      <c r="OEA3" s="44"/>
      <c r="OEB3" s="44"/>
      <c r="OEC3" s="44"/>
      <c r="OED3" s="44"/>
      <c r="OEE3" s="44"/>
      <c r="OEF3" s="44"/>
      <c r="OEG3" s="44"/>
      <c r="OEH3" s="44"/>
      <c r="OEI3" s="44"/>
      <c r="OEJ3" s="44"/>
      <c r="OEK3" s="44"/>
      <c r="OEL3" s="44"/>
      <c r="OEM3" s="44"/>
      <c r="OEN3" s="44"/>
      <c r="OEO3" s="44"/>
      <c r="OEP3" s="44"/>
      <c r="OEQ3" s="44"/>
      <c r="OER3" s="44"/>
      <c r="OES3" s="44"/>
      <c r="OET3" s="44"/>
      <c r="OEU3" s="44"/>
      <c r="OEV3" s="44"/>
      <c r="OEW3" s="44"/>
      <c r="OEX3" s="44"/>
      <c r="OEY3" s="44"/>
      <c r="OEZ3" s="44"/>
      <c r="OFA3" s="44"/>
      <c r="OFB3" s="44"/>
      <c r="OFC3" s="44"/>
      <c r="OFD3" s="44"/>
      <c r="OFE3" s="44"/>
      <c r="OFF3" s="44"/>
      <c r="OFG3" s="44"/>
      <c r="OFH3" s="44"/>
      <c r="OFI3" s="44"/>
      <c r="OFJ3" s="44"/>
      <c r="OFK3" s="44"/>
      <c r="OFL3" s="44"/>
      <c r="OFM3" s="44"/>
      <c r="OFN3" s="44"/>
      <c r="OFO3" s="44"/>
      <c r="OFP3" s="44"/>
      <c r="OFQ3" s="44"/>
      <c r="OFR3" s="44"/>
      <c r="OFS3" s="44"/>
      <c r="OFT3" s="44"/>
      <c r="OFU3" s="44"/>
      <c r="OFV3" s="44"/>
      <c r="OFW3" s="44"/>
      <c r="OFX3" s="44"/>
      <c r="OFY3" s="44"/>
      <c r="OFZ3" s="44"/>
      <c r="OGA3" s="44"/>
      <c r="OGB3" s="44"/>
      <c r="OGC3" s="44"/>
      <c r="OGD3" s="44"/>
      <c r="OGE3" s="44"/>
      <c r="OGF3" s="44"/>
      <c r="OGG3" s="44"/>
      <c r="OGH3" s="44"/>
      <c r="OGI3" s="44"/>
      <c r="OGJ3" s="44"/>
      <c r="OGK3" s="44"/>
      <c r="OGL3" s="44"/>
      <c r="OGM3" s="44"/>
      <c r="OGN3" s="44"/>
      <c r="OGO3" s="44"/>
      <c r="OGP3" s="44"/>
      <c r="OGQ3" s="44"/>
      <c r="OGR3" s="44"/>
      <c r="OGS3" s="44"/>
      <c r="OGT3" s="44"/>
      <c r="OGU3" s="44"/>
      <c r="OGV3" s="44"/>
      <c r="OGW3" s="44"/>
      <c r="OGX3" s="44"/>
      <c r="OGY3" s="44"/>
      <c r="OGZ3" s="44"/>
      <c r="OHA3" s="44"/>
      <c r="OHB3" s="44"/>
      <c r="OHC3" s="44"/>
      <c r="OHD3" s="44"/>
      <c r="OHE3" s="44"/>
      <c r="OHF3" s="44"/>
      <c r="OHG3" s="44"/>
      <c r="OHH3" s="44"/>
      <c r="OHI3" s="44"/>
      <c r="OHJ3" s="44"/>
      <c r="OHK3" s="44"/>
      <c r="OHL3" s="44"/>
      <c r="OHM3" s="44"/>
      <c r="OHN3" s="44"/>
      <c r="OHO3" s="44"/>
      <c r="OHP3" s="44"/>
      <c r="OHQ3" s="44"/>
      <c r="OHR3" s="44"/>
      <c r="OHS3" s="44"/>
      <c r="OHT3" s="44"/>
      <c r="OHU3" s="44"/>
      <c r="OHV3" s="44"/>
      <c r="OHW3" s="44"/>
      <c r="OHX3" s="44"/>
      <c r="OHY3" s="44"/>
      <c r="OHZ3" s="44"/>
      <c r="OIA3" s="44"/>
      <c r="OIB3" s="44"/>
      <c r="OIC3" s="44"/>
      <c r="OID3" s="44"/>
      <c r="OIE3" s="44"/>
      <c r="OIF3" s="44"/>
      <c r="OIG3" s="44"/>
      <c r="OIH3" s="44"/>
      <c r="OII3" s="44"/>
      <c r="OIJ3" s="44"/>
      <c r="OIK3" s="44"/>
      <c r="OIL3" s="44"/>
      <c r="OIM3" s="44"/>
      <c r="OIN3" s="44"/>
      <c r="OIO3" s="44"/>
      <c r="OIP3" s="44"/>
      <c r="OIQ3" s="44"/>
      <c r="OIR3" s="44"/>
      <c r="OIS3" s="44"/>
      <c r="OIT3" s="44"/>
      <c r="OIU3" s="44"/>
      <c r="OIV3" s="44"/>
      <c r="OIW3" s="44"/>
      <c r="OIX3" s="44"/>
      <c r="OIY3" s="44"/>
      <c r="OIZ3" s="44"/>
      <c r="OJA3" s="44"/>
      <c r="OJB3" s="44"/>
      <c r="OJC3" s="44"/>
      <c r="OJD3" s="44"/>
      <c r="OJE3" s="44"/>
      <c r="OJF3" s="44"/>
      <c r="OJG3" s="44"/>
      <c r="OJH3" s="44"/>
      <c r="OJI3" s="44"/>
      <c r="OJJ3" s="44"/>
      <c r="OJK3" s="44"/>
      <c r="OJL3" s="44"/>
      <c r="OJM3" s="44"/>
      <c r="OJN3" s="44"/>
      <c r="OJO3" s="44"/>
      <c r="OJP3" s="44"/>
      <c r="OJQ3" s="44"/>
      <c r="OJR3" s="44"/>
      <c r="OJS3" s="44"/>
      <c r="OJT3" s="44"/>
      <c r="OJU3" s="44"/>
      <c r="OJV3" s="44"/>
      <c r="OJW3" s="44"/>
      <c r="OJX3" s="44"/>
      <c r="OJY3" s="44"/>
      <c r="OJZ3" s="44"/>
      <c r="OKA3" s="44"/>
      <c r="OKB3" s="44"/>
      <c r="OKC3" s="44"/>
      <c r="OKD3" s="44"/>
      <c r="OKE3" s="44"/>
      <c r="OKF3" s="44"/>
      <c r="OKG3" s="44"/>
      <c r="OKH3" s="44"/>
      <c r="OKI3" s="44"/>
      <c r="OKJ3" s="44"/>
      <c r="OKK3" s="44"/>
      <c r="OKL3" s="44"/>
      <c r="OKM3" s="44"/>
      <c r="OKN3" s="44"/>
      <c r="OKO3" s="44"/>
      <c r="OKP3" s="44"/>
      <c r="OKQ3" s="44"/>
      <c r="OKR3" s="44"/>
      <c r="OKS3" s="44"/>
      <c r="OKT3" s="44"/>
      <c r="OKU3" s="44"/>
      <c r="OKV3" s="44"/>
      <c r="OKW3" s="44"/>
      <c r="OKX3" s="44"/>
      <c r="OKY3" s="44"/>
      <c r="OKZ3" s="44"/>
      <c r="OLA3" s="44"/>
      <c r="OLB3" s="44"/>
      <c r="OLC3" s="44"/>
      <c r="OLD3" s="44"/>
      <c r="OLE3" s="44"/>
      <c r="OLF3" s="44"/>
      <c r="OLG3" s="44"/>
      <c r="OLH3" s="44"/>
      <c r="OLI3" s="44"/>
      <c r="OLJ3" s="44"/>
      <c r="OLK3" s="44"/>
      <c r="OLL3" s="44"/>
      <c r="OLM3" s="44"/>
      <c r="OLN3" s="44"/>
      <c r="OLO3" s="44"/>
      <c r="OLP3" s="44"/>
      <c r="OLQ3" s="44"/>
      <c r="OLR3" s="44"/>
      <c r="OLS3" s="44"/>
      <c r="OLT3" s="44"/>
      <c r="OLU3" s="44"/>
      <c r="OLV3" s="44"/>
      <c r="OLW3" s="44"/>
      <c r="OLX3" s="44"/>
      <c r="OLY3" s="44"/>
      <c r="OLZ3" s="44"/>
      <c r="OMA3" s="44"/>
      <c r="OMB3" s="44"/>
      <c r="OMC3" s="44"/>
      <c r="OMD3" s="44"/>
      <c r="OME3" s="44"/>
      <c r="OMF3" s="44"/>
      <c r="OMG3" s="44"/>
      <c r="OMH3" s="44"/>
      <c r="OMI3" s="44"/>
      <c r="OMJ3" s="44"/>
      <c r="OMK3" s="44"/>
      <c r="OML3" s="44"/>
      <c r="OMM3" s="44"/>
      <c r="OMN3" s="44"/>
      <c r="OMO3" s="44"/>
      <c r="OMP3" s="44"/>
      <c r="OMQ3" s="44"/>
      <c r="OMR3" s="44"/>
      <c r="OMS3" s="44"/>
      <c r="OMT3" s="44"/>
      <c r="OMU3" s="44"/>
      <c r="OMV3" s="44"/>
      <c r="OMW3" s="44"/>
      <c r="OMX3" s="44"/>
      <c r="OMY3" s="44"/>
      <c r="OMZ3" s="44"/>
      <c r="ONA3" s="44"/>
      <c r="ONB3" s="44"/>
      <c r="ONC3" s="44"/>
      <c r="OND3" s="44"/>
      <c r="ONE3" s="44"/>
      <c r="ONF3" s="44"/>
      <c r="ONG3" s="44"/>
      <c r="ONH3" s="44"/>
      <c r="ONI3" s="44"/>
      <c r="ONJ3" s="44"/>
      <c r="ONK3" s="44"/>
      <c r="ONL3" s="44"/>
      <c r="ONM3" s="44"/>
      <c r="ONN3" s="44"/>
      <c r="ONO3" s="44"/>
      <c r="ONP3" s="44"/>
      <c r="ONQ3" s="44"/>
      <c r="ONR3" s="44"/>
      <c r="ONS3" s="44"/>
      <c r="ONT3" s="44"/>
      <c r="ONU3" s="44"/>
      <c r="ONV3" s="44"/>
      <c r="ONW3" s="44"/>
      <c r="ONX3" s="44"/>
      <c r="ONY3" s="44"/>
      <c r="ONZ3" s="44"/>
      <c r="OOA3" s="44"/>
      <c r="OOB3" s="44"/>
      <c r="OOC3" s="44"/>
      <c r="OOD3" s="44"/>
      <c r="OOE3" s="44"/>
      <c r="OOF3" s="44"/>
      <c r="OOG3" s="44"/>
      <c r="OOH3" s="44"/>
      <c r="OOI3" s="44"/>
      <c r="OOJ3" s="44"/>
      <c r="OOK3" s="44"/>
      <c r="OOL3" s="44"/>
      <c r="OOM3" s="44"/>
      <c r="OON3" s="44"/>
      <c r="OOO3" s="44"/>
      <c r="OOP3" s="44"/>
      <c r="OOQ3" s="44"/>
      <c r="OOR3" s="44"/>
      <c r="OOS3" s="44"/>
      <c r="OOT3" s="44"/>
      <c r="OOU3" s="44"/>
      <c r="OOV3" s="44"/>
      <c r="OOW3" s="44"/>
      <c r="OOX3" s="44"/>
      <c r="OOY3" s="44"/>
      <c r="OOZ3" s="44"/>
      <c r="OPA3" s="44"/>
      <c r="OPB3" s="44"/>
      <c r="OPC3" s="44"/>
      <c r="OPD3" s="44"/>
      <c r="OPE3" s="44"/>
      <c r="OPF3" s="44"/>
      <c r="OPG3" s="44"/>
      <c r="OPH3" s="44"/>
      <c r="OPI3" s="44"/>
      <c r="OPJ3" s="44"/>
      <c r="OPK3" s="44"/>
      <c r="OPL3" s="44"/>
      <c r="OPM3" s="44"/>
      <c r="OPN3" s="44"/>
      <c r="OPO3" s="44"/>
      <c r="OPP3" s="44"/>
      <c r="OPQ3" s="44"/>
      <c r="OPR3" s="44"/>
      <c r="OPS3" s="44"/>
      <c r="OPT3" s="44"/>
      <c r="OPU3" s="44"/>
      <c r="OPV3" s="44"/>
      <c r="OPW3" s="44"/>
      <c r="OPX3" s="44"/>
      <c r="OPY3" s="44"/>
      <c r="OPZ3" s="44"/>
      <c r="OQA3" s="44"/>
      <c r="OQB3" s="44"/>
      <c r="OQC3" s="44"/>
      <c r="OQD3" s="44"/>
      <c r="OQE3" s="44"/>
      <c r="OQF3" s="44"/>
      <c r="OQG3" s="44"/>
      <c r="OQH3" s="44"/>
      <c r="OQI3" s="44"/>
      <c r="OQJ3" s="44"/>
      <c r="OQK3" s="44"/>
      <c r="OQL3" s="44"/>
      <c r="OQM3" s="44"/>
      <c r="OQN3" s="44"/>
      <c r="OQO3" s="44"/>
      <c r="OQP3" s="44"/>
      <c r="OQQ3" s="44"/>
      <c r="OQR3" s="44"/>
      <c r="OQS3" s="44"/>
      <c r="OQT3" s="44"/>
      <c r="OQU3" s="44"/>
      <c r="OQV3" s="44"/>
      <c r="OQW3" s="44"/>
      <c r="OQX3" s="44"/>
      <c r="OQY3" s="44"/>
      <c r="OQZ3" s="44"/>
      <c r="ORA3" s="44"/>
      <c r="ORB3" s="44"/>
      <c r="ORC3" s="44"/>
      <c r="ORD3" s="44"/>
      <c r="ORE3" s="44"/>
      <c r="ORF3" s="44"/>
      <c r="ORG3" s="44"/>
      <c r="ORH3" s="44"/>
      <c r="ORI3" s="44"/>
      <c r="ORJ3" s="44"/>
      <c r="ORK3" s="44"/>
      <c r="ORL3" s="44"/>
      <c r="ORM3" s="44"/>
      <c r="ORN3" s="44"/>
      <c r="ORO3" s="44"/>
      <c r="ORP3" s="44"/>
      <c r="ORQ3" s="44"/>
      <c r="ORR3" s="44"/>
      <c r="ORS3" s="44"/>
      <c r="ORT3" s="44"/>
      <c r="ORU3" s="44"/>
      <c r="ORV3" s="44"/>
      <c r="ORW3" s="44"/>
      <c r="ORX3" s="44"/>
      <c r="ORY3" s="44"/>
      <c r="ORZ3" s="44"/>
      <c r="OSA3" s="44"/>
      <c r="OSB3" s="44"/>
      <c r="OSC3" s="44"/>
      <c r="OSD3" s="44"/>
      <c r="OSE3" s="44"/>
      <c r="OSF3" s="44"/>
      <c r="OSG3" s="44"/>
      <c r="OSH3" s="44"/>
      <c r="OSI3" s="44"/>
      <c r="OSJ3" s="44"/>
      <c r="OSK3" s="44"/>
      <c r="OSL3" s="44"/>
      <c r="OSM3" s="44"/>
      <c r="OSN3" s="44"/>
      <c r="OSO3" s="44"/>
      <c r="OSP3" s="44"/>
      <c r="OSQ3" s="44"/>
      <c r="OSR3" s="44"/>
      <c r="OSS3" s="44"/>
      <c r="OST3" s="44"/>
      <c r="OSU3" s="44"/>
      <c r="OSV3" s="44"/>
      <c r="OSW3" s="44"/>
      <c r="OSX3" s="44"/>
      <c r="OSY3" s="44"/>
      <c r="OSZ3" s="44"/>
      <c r="OTA3" s="44"/>
      <c r="OTB3" s="44"/>
      <c r="OTC3" s="44"/>
      <c r="OTD3" s="44"/>
      <c r="OTE3" s="44"/>
      <c r="OTF3" s="44"/>
      <c r="OTG3" s="44"/>
      <c r="OTH3" s="44"/>
      <c r="OTI3" s="44"/>
      <c r="OTJ3" s="44"/>
      <c r="OTK3" s="44"/>
      <c r="OTL3" s="44"/>
      <c r="OTM3" s="44"/>
      <c r="OTN3" s="44"/>
      <c r="OTO3" s="44"/>
      <c r="OTP3" s="44"/>
      <c r="OTQ3" s="44"/>
      <c r="OTR3" s="44"/>
      <c r="OTS3" s="44"/>
      <c r="OTT3" s="44"/>
      <c r="OTU3" s="44"/>
      <c r="OTV3" s="44"/>
      <c r="OTW3" s="44"/>
      <c r="OTX3" s="44"/>
      <c r="OTY3" s="44"/>
      <c r="OTZ3" s="44"/>
      <c r="OUA3" s="44"/>
      <c r="OUB3" s="44"/>
      <c r="OUC3" s="44"/>
      <c r="OUD3" s="44"/>
      <c r="OUE3" s="44"/>
      <c r="OUF3" s="44"/>
      <c r="OUG3" s="44"/>
      <c r="OUH3" s="44"/>
      <c r="OUI3" s="44"/>
      <c r="OUJ3" s="44"/>
      <c r="OUK3" s="44"/>
      <c r="OUL3" s="44"/>
      <c r="OUM3" s="44"/>
      <c r="OUN3" s="44"/>
      <c r="OUO3" s="44"/>
      <c r="OUP3" s="44"/>
      <c r="OUQ3" s="44"/>
      <c r="OUR3" s="44"/>
      <c r="OUS3" s="44"/>
      <c r="OUT3" s="44"/>
      <c r="OUU3" s="44"/>
      <c r="OUV3" s="44"/>
      <c r="OUW3" s="44"/>
      <c r="OUX3" s="44"/>
      <c r="OUY3" s="44"/>
      <c r="OUZ3" s="44"/>
      <c r="OVA3" s="44"/>
      <c r="OVB3" s="44"/>
      <c r="OVC3" s="44"/>
      <c r="OVD3" s="44"/>
      <c r="OVE3" s="44"/>
      <c r="OVF3" s="44"/>
      <c r="OVG3" s="44"/>
      <c r="OVH3" s="44"/>
      <c r="OVI3" s="44"/>
      <c r="OVJ3" s="44"/>
      <c r="OVK3" s="44"/>
      <c r="OVL3" s="44"/>
      <c r="OVM3" s="44"/>
      <c r="OVN3" s="44"/>
      <c r="OVO3" s="44"/>
      <c r="OVP3" s="44"/>
      <c r="OVQ3" s="44"/>
      <c r="OVR3" s="44"/>
      <c r="OVS3" s="44"/>
      <c r="OVT3" s="44"/>
      <c r="OVU3" s="44"/>
      <c r="OVV3" s="44"/>
      <c r="OVW3" s="44"/>
      <c r="OVX3" s="44"/>
      <c r="OVY3" s="44"/>
      <c r="OVZ3" s="44"/>
      <c r="OWA3" s="44"/>
      <c r="OWB3" s="44"/>
      <c r="OWC3" s="44"/>
      <c r="OWD3" s="44"/>
      <c r="OWE3" s="44"/>
      <c r="OWF3" s="44"/>
      <c r="OWG3" s="44"/>
      <c r="OWH3" s="44"/>
      <c r="OWI3" s="44"/>
      <c r="OWJ3" s="44"/>
      <c r="OWK3" s="44"/>
      <c r="OWL3" s="44"/>
      <c r="OWM3" s="44"/>
      <c r="OWN3" s="44"/>
      <c r="OWO3" s="44"/>
      <c r="OWP3" s="44"/>
      <c r="OWQ3" s="44"/>
      <c r="OWR3" s="44"/>
      <c r="OWS3" s="44"/>
      <c r="OWT3" s="44"/>
      <c r="OWU3" s="44"/>
      <c r="OWV3" s="44"/>
      <c r="OWW3" s="44"/>
      <c r="OWX3" s="44"/>
      <c r="OWY3" s="44"/>
      <c r="OWZ3" s="44"/>
      <c r="OXA3" s="44"/>
      <c r="OXB3" s="44"/>
      <c r="OXC3" s="44"/>
      <c r="OXD3" s="44"/>
      <c r="OXE3" s="44"/>
      <c r="OXF3" s="44"/>
      <c r="OXG3" s="44"/>
      <c r="OXH3" s="44"/>
      <c r="OXI3" s="44"/>
      <c r="OXJ3" s="44"/>
      <c r="OXK3" s="44"/>
      <c r="OXL3" s="44"/>
      <c r="OXM3" s="44"/>
      <c r="OXN3" s="44"/>
      <c r="OXO3" s="44"/>
      <c r="OXP3" s="44"/>
      <c r="OXQ3" s="44"/>
      <c r="OXR3" s="44"/>
      <c r="OXS3" s="44"/>
      <c r="OXT3" s="44"/>
      <c r="OXU3" s="44"/>
      <c r="OXV3" s="44"/>
      <c r="OXW3" s="44"/>
      <c r="OXX3" s="44"/>
      <c r="OXY3" s="44"/>
      <c r="OXZ3" s="44"/>
      <c r="OYA3" s="44"/>
      <c r="OYB3" s="44"/>
      <c r="OYC3" s="44"/>
      <c r="OYD3" s="44"/>
      <c r="OYE3" s="44"/>
      <c r="OYF3" s="44"/>
      <c r="OYG3" s="44"/>
      <c r="OYH3" s="44"/>
      <c r="OYI3" s="44"/>
      <c r="OYJ3" s="44"/>
      <c r="OYK3" s="44"/>
      <c r="OYL3" s="44"/>
      <c r="OYM3" s="44"/>
      <c r="OYN3" s="44"/>
      <c r="OYO3" s="44"/>
      <c r="OYP3" s="44"/>
      <c r="OYQ3" s="44"/>
      <c r="OYR3" s="44"/>
      <c r="OYS3" s="44"/>
      <c r="OYT3" s="44"/>
      <c r="OYU3" s="44"/>
      <c r="OYV3" s="44"/>
      <c r="OYW3" s="44"/>
      <c r="OYX3" s="44"/>
      <c r="OYY3" s="44"/>
      <c r="OYZ3" s="44"/>
      <c r="OZA3" s="44"/>
      <c r="OZB3" s="44"/>
      <c r="OZC3" s="44"/>
      <c r="OZD3" s="44"/>
      <c r="OZE3" s="44"/>
      <c r="OZF3" s="44"/>
      <c r="OZG3" s="44"/>
      <c r="OZH3" s="44"/>
      <c r="OZI3" s="44"/>
      <c r="OZJ3" s="44"/>
      <c r="OZK3" s="44"/>
      <c r="OZL3" s="44"/>
      <c r="OZM3" s="44"/>
      <c r="OZN3" s="44"/>
      <c r="OZO3" s="44"/>
      <c r="OZP3" s="44"/>
      <c r="OZQ3" s="44"/>
      <c r="OZR3" s="44"/>
      <c r="OZS3" s="44"/>
      <c r="OZT3" s="44"/>
      <c r="OZU3" s="44"/>
      <c r="OZV3" s="44"/>
      <c r="OZW3" s="44"/>
      <c r="OZX3" s="44"/>
      <c r="OZY3" s="44"/>
      <c r="OZZ3" s="44"/>
      <c r="PAA3" s="44"/>
      <c r="PAB3" s="44"/>
      <c r="PAC3" s="44"/>
      <c r="PAD3" s="44"/>
      <c r="PAE3" s="44"/>
      <c r="PAF3" s="44"/>
      <c r="PAG3" s="44"/>
      <c r="PAH3" s="44"/>
      <c r="PAI3" s="44"/>
      <c r="PAJ3" s="44"/>
      <c r="PAK3" s="44"/>
      <c r="PAL3" s="44"/>
      <c r="PAM3" s="44"/>
      <c r="PAN3" s="44"/>
      <c r="PAO3" s="44"/>
      <c r="PAP3" s="44"/>
      <c r="PAQ3" s="44"/>
      <c r="PAR3" s="44"/>
      <c r="PAS3" s="44"/>
      <c r="PAT3" s="44"/>
      <c r="PAU3" s="44"/>
      <c r="PAV3" s="44"/>
      <c r="PAW3" s="44"/>
      <c r="PAX3" s="44"/>
      <c r="PAY3" s="44"/>
      <c r="PAZ3" s="44"/>
      <c r="PBA3" s="44"/>
      <c r="PBB3" s="44"/>
      <c r="PBC3" s="44"/>
      <c r="PBD3" s="44"/>
      <c r="PBE3" s="44"/>
      <c r="PBF3" s="44"/>
      <c r="PBG3" s="44"/>
      <c r="PBH3" s="44"/>
      <c r="PBI3" s="44"/>
      <c r="PBJ3" s="44"/>
      <c r="PBK3" s="44"/>
      <c r="PBL3" s="44"/>
      <c r="PBM3" s="44"/>
      <c r="PBN3" s="44"/>
      <c r="PBO3" s="44"/>
      <c r="PBP3" s="44"/>
      <c r="PBQ3" s="44"/>
      <c r="PBR3" s="44"/>
      <c r="PBS3" s="44"/>
      <c r="PBT3" s="44"/>
      <c r="PBU3" s="44"/>
      <c r="PBV3" s="44"/>
      <c r="PBW3" s="44"/>
      <c r="PBX3" s="44"/>
      <c r="PBY3" s="44"/>
      <c r="PBZ3" s="44"/>
      <c r="PCA3" s="44"/>
      <c r="PCB3" s="44"/>
      <c r="PCC3" s="44"/>
      <c r="PCD3" s="44"/>
      <c r="PCE3" s="44"/>
      <c r="PCF3" s="44"/>
      <c r="PCG3" s="44"/>
      <c r="PCH3" s="44"/>
      <c r="PCI3" s="44"/>
      <c r="PCJ3" s="44"/>
      <c r="PCK3" s="44"/>
      <c r="PCL3" s="44"/>
      <c r="PCM3" s="44"/>
      <c r="PCN3" s="44"/>
      <c r="PCO3" s="44"/>
      <c r="PCP3" s="44"/>
      <c r="PCQ3" s="44"/>
      <c r="PCR3" s="44"/>
      <c r="PCS3" s="44"/>
      <c r="PCT3" s="44"/>
      <c r="PCU3" s="44"/>
      <c r="PCV3" s="44"/>
      <c r="PCW3" s="44"/>
      <c r="PCX3" s="44"/>
      <c r="PCY3" s="44"/>
      <c r="PCZ3" s="44"/>
      <c r="PDA3" s="44"/>
      <c r="PDB3" s="44"/>
      <c r="PDC3" s="44"/>
      <c r="PDD3" s="44"/>
      <c r="PDE3" s="44"/>
      <c r="PDF3" s="44"/>
      <c r="PDG3" s="44"/>
      <c r="PDH3" s="44"/>
      <c r="PDI3" s="44"/>
      <c r="PDJ3" s="44"/>
      <c r="PDK3" s="44"/>
      <c r="PDL3" s="44"/>
      <c r="PDM3" s="44"/>
      <c r="PDN3" s="44"/>
      <c r="PDO3" s="44"/>
      <c r="PDP3" s="44"/>
      <c r="PDQ3" s="44"/>
      <c r="PDR3" s="44"/>
      <c r="PDS3" s="44"/>
      <c r="PDT3" s="44"/>
      <c r="PDU3" s="44"/>
      <c r="PDV3" s="44"/>
      <c r="PDW3" s="44"/>
      <c r="PDX3" s="44"/>
      <c r="PDY3" s="44"/>
      <c r="PDZ3" s="44"/>
      <c r="PEA3" s="44"/>
      <c r="PEB3" s="44"/>
      <c r="PEC3" s="44"/>
      <c r="PED3" s="44"/>
      <c r="PEE3" s="44"/>
      <c r="PEF3" s="44"/>
      <c r="PEG3" s="44"/>
      <c r="PEH3" s="44"/>
      <c r="PEI3" s="44"/>
      <c r="PEJ3" s="44"/>
      <c r="PEK3" s="44"/>
      <c r="PEL3" s="44"/>
      <c r="PEM3" s="44"/>
      <c r="PEN3" s="44"/>
      <c r="PEO3" s="44"/>
      <c r="PEP3" s="44"/>
      <c r="PEQ3" s="44"/>
      <c r="PER3" s="44"/>
      <c r="PES3" s="44"/>
      <c r="PET3" s="44"/>
      <c r="PEU3" s="44"/>
      <c r="PEV3" s="44"/>
      <c r="PEW3" s="44"/>
      <c r="PEX3" s="44"/>
      <c r="PEY3" s="44"/>
      <c r="PEZ3" s="44"/>
      <c r="PFA3" s="44"/>
      <c r="PFB3" s="44"/>
      <c r="PFC3" s="44"/>
      <c r="PFD3" s="44"/>
      <c r="PFE3" s="44"/>
      <c r="PFF3" s="44"/>
      <c r="PFG3" s="44"/>
      <c r="PFH3" s="44"/>
      <c r="PFI3" s="44"/>
      <c r="PFJ3" s="44"/>
      <c r="PFK3" s="44"/>
      <c r="PFL3" s="44"/>
      <c r="PFM3" s="44"/>
      <c r="PFN3" s="44"/>
      <c r="PFO3" s="44"/>
      <c r="PFP3" s="44"/>
      <c r="PFQ3" s="44"/>
      <c r="PFR3" s="44"/>
      <c r="PFS3" s="44"/>
      <c r="PFT3" s="44"/>
      <c r="PFU3" s="44"/>
      <c r="PFV3" s="44"/>
      <c r="PFW3" s="44"/>
      <c r="PFX3" s="44"/>
      <c r="PFY3" s="44"/>
      <c r="PFZ3" s="44"/>
      <c r="PGA3" s="44"/>
      <c r="PGB3" s="44"/>
      <c r="PGC3" s="44"/>
      <c r="PGD3" s="44"/>
      <c r="PGE3" s="44"/>
      <c r="PGF3" s="44"/>
      <c r="PGG3" s="44"/>
      <c r="PGH3" s="44"/>
      <c r="PGI3" s="44"/>
      <c r="PGJ3" s="44"/>
      <c r="PGK3" s="44"/>
      <c r="PGL3" s="44"/>
      <c r="PGM3" s="44"/>
      <c r="PGN3" s="44"/>
      <c r="PGO3" s="44"/>
      <c r="PGP3" s="44"/>
      <c r="PGQ3" s="44"/>
      <c r="PGR3" s="44"/>
      <c r="PGS3" s="44"/>
      <c r="PGT3" s="44"/>
      <c r="PGU3" s="44"/>
      <c r="PGV3" s="44"/>
      <c r="PGW3" s="44"/>
      <c r="PGX3" s="44"/>
      <c r="PGY3" s="44"/>
      <c r="PGZ3" s="44"/>
      <c r="PHA3" s="44"/>
      <c r="PHB3" s="44"/>
      <c r="PHC3" s="44"/>
      <c r="PHD3" s="44"/>
      <c r="PHE3" s="44"/>
      <c r="PHF3" s="44"/>
      <c r="PHG3" s="44"/>
      <c r="PHH3" s="44"/>
      <c r="PHI3" s="44"/>
      <c r="PHJ3" s="44"/>
      <c r="PHK3" s="44"/>
      <c r="PHL3" s="44"/>
      <c r="PHM3" s="44"/>
      <c r="PHN3" s="44"/>
      <c r="PHO3" s="44"/>
      <c r="PHP3" s="44"/>
      <c r="PHQ3" s="44"/>
      <c r="PHR3" s="44"/>
      <c r="PHS3" s="44"/>
      <c r="PHT3" s="44"/>
      <c r="PHU3" s="44"/>
      <c r="PHV3" s="44"/>
      <c r="PHW3" s="44"/>
      <c r="PHX3" s="44"/>
      <c r="PHY3" s="44"/>
      <c r="PHZ3" s="44"/>
      <c r="PIA3" s="44"/>
      <c r="PIB3" s="44"/>
      <c r="PIC3" s="44"/>
      <c r="PID3" s="44"/>
      <c r="PIE3" s="44"/>
      <c r="PIF3" s="44"/>
      <c r="PIG3" s="44"/>
      <c r="PIH3" s="44"/>
      <c r="PII3" s="44"/>
      <c r="PIJ3" s="44"/>
      <c r="PIK3" s="44"/>
      <c r="PIL3" s="44"/>
      <c r="PIM3" s="44"/>
      <c r="PIN3" s="44"/>
      <c r="PIO3" s="44"/>
      <c r="PIP3" s="44"/>
      <c r="PIQ3" s="44"/>
      <c r="PIR3" s="44"/>
      <c r="PIS3" s="44"/>
      <c r="PIT3" s="44"/>
      <c r="PIU3" s="44"/>
      <c r="PIV3" s="44"/>
      <c r="PIW3" s="44"/>
      <c r="PIX3" s="44"/>
      <c r="PIY3" s="44"/>
      <c r="PIZ3" s="44"/>
      <c r="PJA3" s="44"/>
      <c r="PJB3" s="44"/>
      <c r="PJC3" s="44"/>
      <c r="PJD3" s="44"/>
      <c r="PJE3" s="44"/>
      <c r="PJF3" s="44"/>
      <c r="PJG3" s="44"/>
      <c r="PJH3" s="44"/>
      <c r="PJI3" s="44"/>
      <c r="PJJ3" s="44"/>
      <c r="PJK3" s="44"/>
      <c r="PJL3" s="44"/>
      <c r="PJM3" s="44"/>
      <c r="PJN3" s="44"/>
      <c r="PJO3" s="44"/>
      <c r="PJP3" s="44"/>
      <c r="PJQ3" s="44"/>
      <c r="PJR3" s="44"/>
      <c r="PJS3" s="44"/>
      <c r="PJT3" s="44"/>
      <c r="PJU3" s="44"/>
      <c r="PJV3" s="44"/>
      <c r="PJW3" s="44"/>
      <c r="PJX3" s="44"/>
      <c r="PJY3" s="44"/>
      <c r="PJZ3" s="44"/>
      <c r="PKA3" s="44"/>
      <c r="PKB3" s="44"/>
      <c r="PKC3" s="44"/>
      <c r="PKD3" s="44"/>
      <c r="PKE3" s="44"/>
      <c r="PKF3" s="44"/>
      <c r="PKG3" s="44"/>
      <c r="PKH3" s="44"/>
      <c r="PKI3" s="44"/>
      <c r="PKJ3" s="44"/>
      <c r="PKK3" s="44"/>
      <c r="PKL3" s="44"/>
      <c r="PKM3" s="44"/>
      <c r="PKN3" s="44"/>
      <c r="PKO3" s="44"/>
      <c r="PKP3" s="44"/>
      <c r="PKQ3" s="44"/>
      <c r="PKR3" s="44"/>
      <c r="PKS3" s="44"/>
      <c r="PKT3" s="44"/>
      <c r="PKU3" s="44"/>
      <c r="PKV3" s="44"/>
      <c r="PKW3" s="44"/>
      <c r="PKX3" s="44"/>
      <c r="PKY3" s="44"/>
      <c r="PKZ3" s="44"/>
      <c r="PLA3" s="44"/>
      <c r="PLB3" s="44"/>
      <c r="PLC3" s="44"/>
      <c r="PLD3" s="44"/>
      <c r="PLE3" s="44"/>
      <c r="PLF3" s="44"/>
      <c r="PLG3" s="44"/>
      <c r="PLH3" s="44"/>
      <c r="PLI3" s="44"/>
      <c r="PLJ3" s="44"/>
      <c r="PLK3" s="44"/>
      <c r="PLL3" s="44"/>
      <c r="PLM3" s="44"/>
      <c r="PLN3" s="44"/>
      <c r="PLO3" s="44"/>
      <c r="PLP3" s="44"/>
      <c r="PLQ3" s="44"/>
      <c r="PLR3" s="44"/>
      <c r="PLS3" s="44"/>
      <c r="PLT3" s="44"/>
      <c r="PLU3" s="44"/>
      <c r="PLV3" s="44"/>
      <c r="PLW3" s="44"/>
      <c r="PLX3" s="44"/>
      <c r="PLY3" s="44"/>
      <c r="PLZ3" s="44"/>
      <c r="PMA3" s="44"/>
      <c r="PMB3" s="44"/>
      <c r="PMC3" s="44"/>
      <c r="PMD3" s="44"/>
      <c r="PME3" s="44"/>
      <c r="PMF3" s="44"/>
      <c r="PMG3" s="44"/>
      <c r="PMH3" s="44"/>
      <c r="PMI3" s="44"/>
      <c r="PMJ3" s="44"/>
      <c r="PMK3" s="44"/>
      <c r="PML3" s="44"/>
      <c r="PMM3" s="44"/>
      <c r="PMN3" s="44"/>
      <c r="PMO3" s="44"/>
      <c r="PMP3" s="44"/>
      <c r="PMQ3" s="44"/>
      <c r="PMR3" s="44"/>
      <c r="PMS3" s="44"/>
      <c r="PMT3" s="44"/>
      <c r="PMU3" s="44"/>
      <c r="PMV3" s="44"/>
      <c r="PMW3" s="44"/>
      <c r="PMX3" s="44"/>
      <c r="PMY3" s="44"/>
      <c r="PMZ3" s="44"/>
      <c r="PNA3" s="44"/>
      <c r="PNB3" s="44"/>
      <c r="PNC3" s="44"/>
      <c r="PND3" s="44"/>
      <c r="PNE3" s="44"/>
      <c r="PNF3" s="44"/>
      <c r="PNG3" s="44"/>
      <c r="PNH3" s="44"/>
      <c r="PNI3" s="44"/>
      <c r="PNJ3" s="44"/>
      <c r="PNK3" s="44"/>
      <c r="PNL3" s="44"/>
      <c r="PNM3" s="44"/>
      <c r="PNN3" s="44"/>
      <c r="PNO3" s="44"/>
      <c r="PNP3" s="44"/>
      <c r="PNQ3" s="44"/>
      <c r="PNR3" s="44"/>
      <c r="PNS3" s="44"/>
      <c r="PNT3" s="44"/>
      <c r="PNU3" s="44"/>
      <c r="PNV3" s="44"/>
      <c r="PNW3" s="44"/>
      <c r="PNX3" s="44"/>
      <c r="PNY3" s="44"/>
      <c r="PNZ3" s="44"/>
      <c r="POA3" s="44"/>
      <c r="POB3" s="44"/>
      <c r="POC3" s="44"/>
      <c r="POD3" s="44"/>
      <c r="POE3" s="44"/>
      <c r="POF3" s="44"/>
      <c r="POG3" s="44"/>
      <c r="POH3" s="44"/>
      <c r="POI3" s="44"/>
      <c r="POJ3" s="44"/>
      <c r="POK3" s="44"/>
      <c r="POL3" s="44"/>
      <c r="POM3" s="44"/>
      <c r="PON3" s="44"/>
      <c r="POO3" s="44"/>
      <c r="POP3" s="44"/>
      <c r="POQ3" s="44"/>
      <c r="POR3" s="44"/>
      <c r="POS3" s="44"/>
      <c r="POT3" s="44"/>
      <c r="POU3" s="44"/>
      <c r="POV3" s="44"/>
      <c r="POW3" s="44"/>
      <c r="POX3" s="44"/>
      <c r="POY3" s="44"/>
      <c r="POZ3" s="44"/>
      <c r="PPA3" s="44"/>
      <c r="PPB3" s="44"/>
      <c r="PPC3" s="44"/>
      <c r="PPD3" s="44"/>
      <c r="PPE3" s="44"/>
      <c r="PPF3" s="44"/>
      <c r="PPG3" s="44"/>
      <c r="PPH3" s="44"/>
      <c r="PPI3" s="44"/>
      <c r="PPJ3" s="44"/>
      <c r="PPK3" s="44"/>
      <c r="PPL3" s="44"/>
      <c r="PPM3" s="44"/>
      <c r="PPN3" s="44"/>
      <c r="PPO3" s="44"/>
      <c r="PPP3" s="44"/>
      <c r="PPQ3" s="44"/>
      <c r="PPR3" s="44"/>
      <c r="PPS3" s="44"/>
      <c r="PPT3" s="44"/>
      <c r="PPU3" s="44"/>
      <c r="PPV3" s="44"/>
      <c r="PPW3" s="44"/>
      <c r="PPX3" s="44"/>
      <c r="PPY3" s="44"/>
      <c r="PPZ3" s="44"/>
      <c r="PQA3" s="44"/>
      <c r="PQB3" s="44"/>
      <c r="PQC3" s="44"/>
      <c r="PQD3" s="44"/>
      <c r="PQE3" s="44"/>
      <c r="PQF3" s="44"/>
      <c r="PQG3" s="44"/>
      <c r="PQH3" s="44"/>
      <c r="PQI3" s="44"/>
      <c r="PQJ3" s="44"/>
      <c r="PQK3" s="44"/>
      <c r="PQL3" s="44"/>
      <c r="PQM3" s="44"/>
      <c r="PQN3" s="44"/>
      <c r="PQO3" s="44"/>
      <c r="PQP3" s="44"/>
      <c r="PQQ3" s="44"/>
      <c r="PQR3" s="44"/>
      <c r="PQS3" s="44"/>
      <c r="PQT3" s="44"/>
      <c r="PQU3" s="44"/>
      <c r="PQV3" s="44"/>
      <c r="PQW3" s="44"/>
      <c r="PQX3" s="44"/>
      <c r="PQY3" s="44"/>
      <c r="PQZ3" s="44"/>
      <c r="PRA3" s="44"/>
      <c r="PRB3" s="44"/>
      <c r="PRC3" s="44"/>
      <c r="PRD3" s="44"/>
      <c r="PRE3" s="44"/>
      <c r="PRF3" s="44"/>
      <c r="PRG3" s="44"/>
      <c r="PRH3" s="44"/>
      <c r="PRI3" s="44"/>
      <c r="PRJ3" s="44"/>
      <c r="PRK3" s="44"/>
      <c r="PRL3" s="44"/>
      <c r="PRM3" s="44"/>
      <c r="PRN3" s="44"/>
      <c r="PRO3" s="44"/>
      <c r="PRP3" s="44"/>
      <c r="PRQ3" s="44"/>
      <c r="PRR3" s="44"/>
      <c r="PRS3" s="44"/>
      <c r="PRT3" s="44"/>
      <c r="PRU3" s="44"/>
      <c r="PRV3" s="44"/>
      <c r="PRW3" s="44"/>
      <c r="PRX3" s="44"/>
      <c r="PRY3" s="44"/>
      <c r="PRZ3" s="44"/>
      <c r="PSA3" s="44"/>
      <c r="PSB3" s="44"/>
      <c r="PSC3" s="44"/>
      <c r="PSD3" s="44"/>
      <c r="PSE3" s="44"/>
      <c r="PSF3" s="44"/>
      <c r="PSG3" s="44"/>
      <c r="PSH3" s="44"/>
      <c r="PSI3" s="44"/>
      <c r="PSJ3" s="44"/>
      <c r="PSK3" s="44"/>
      <c r="PSL3" s="44"/>
      <c r="PSM3" s="44"/>
      <c r="PSN3" s="44"/>
      <c r="PSO3" s="44"/>
      <c r="PSP3" s="44"/>
      <c r="PSQ3" s="44"/>
      <c r="PSR3" s="44"/>
      <c r="PSS3" s="44"/>
      <c r="PST3" s="44"/>
      <c r="PSU3" s="44"/>
      <c r="PSV3" s="44"/>
      <c r="PSW3" s="44"/>
      <c r="PSX3" s="44"/>
      <c r="PSY3" s="44"/>
      <c r="PSZ3" s="44"/>
      <c r="PTA3" s="44"/>
      <c r="PTB3" s="44"/>
      <c r="PTC3" s="44"/>
      <c r="PTD3" s="44"/>
      <c r="PTE3" s="44"/>
      <c r="PTF3" s="44"/>
      <c r="PTG3" s="44"/>
      <c r="PTH3" s="44"/>
      <c r="PTI3" s="44"/>
      <c r="PTJ3" s="44"/>
      <c r="PTK3" s="44"/>
      <c r="PTL3" s="44"/>
      <c r="PTM3" s="44"/>
      <c r="PTN3" s="44"/>
      <c r="PTO3" s="44"/>
      <c r="PTP3" s="44"/>
      <c r="PTQ3" s="44"/>
      <c r="PTR3" s="44"/>
      <c r="PTS3" s="44"/>
      <c r="PTT3" s="44"/>
      <c r="PTU3" s="44"/>
      <c r="PTV3" s="44"/>
      <c r="PTW3" s="44"/>
      <c r="PTX3" s="44"/>
      <c r="PTY3" s="44"/>
      <c r="PTZ3" s="44"/>
      <c r="PUA3" s="44"/>
      <c r="PUB3" s="44"/>
      <c r="PUC3" s="44"/>
      <c r="PUD3" s="44"/>
      <c r="PUE3" s="44"/>
      <c r="PUF3" s="44"/>
      <c r="PUG3" s="44"/>
      <c r="PUH3" s="44"/>
      <c r="PUI3" s="44"/>
      <c r="PUJ3" s="44"/>
      <c r="PUK3" s="44"/>
      <c r="PUL3" s="44"/>
      <c r="PUM3" s="44"/>
      <c r="PUN3" s="44"/>
      <c r="PUO3" s="44"/>
      <c r="PUP3" s="44"/>
      <c r="PUQ3" s="44"/>
      <c r="PUR3" s="44"/>
      <c r="PUS3" s="44"/>
      <c r="PUT3" s="44"/>
      <c r="PUU3" s="44"/>
      <c r="PUV3" s="44"/>
      <c r="PUW3" s="44"/>
      <c r="PUX3" s="44"/>
      <c r="PUY3" s="44"/>
      <c r="PUZ3" s="44"/>
      <c r="PVA3" s="44"/>
      <c r="PVB3" s="44"/>
      <c r="PVC3" s="44"/>
      <c r="PVD3" s="44"/>
      <c r="PVE3" s="44"/>
      <c r="PVF3" s="44"/>
      <c r="PVG3" s="44"/>
      <c r="PVH3" s="44"/>
      <c r="PVI3" s="44"/>
      <c r="PVJ3" s="44"/>
      <c r="PVK3" s="44"/>
      <c r="PVL3" s="44"/>
      <c r="PVM3" s="44"/>
      <c r="PVN3" s="44"/>
      <c r="PVO3" s="44"/>
      <c r="PVP3" s="44"/>
      <c r="PVQ3" s="44"/>
      <c r="PVR3" s="44"/>
      <c r="PVS3" s="44"/>
      <c r="PVT3" s="44"/>
      <c r="PVU3" s="44"/>
      <c r="PVV3" s="44"/>
      <c r="PVW3" s="44"/>
      <c r="PVX3" s="44"/>
      <c r="PVY3" s="44"/>
      <c r="PVZ3" s="44"/>
      <c r="PWA3" s="44"/>
      <c r="PWB3" s="44"/>
      <c r="PWC3" s="44"/>
      <c r="PWD3" s="44"/>
      <c r="PWE3" s="44"/>
      <c r="PWF3" s="44"/>
      <c r="PWG3" s="44"/>
      <c r="PWH3" s="44"/>
      <c r="PWI3" s="44"/>
      <c r="PWJ3" s="44"/>
      <c r="PWK3" s="44"/>
      <c r="PWL3" s="44"/>
      <c r="PWM3" s="44"/>
      <c r="PWN3" s="44"/>
      <c r="PWO3" s="44"/>
      <c r="PWP3" s="44"/>
      <c r="PWQ3" s="44"/>
      <c r="PWR3" s="44"/>
      <c r="PWS3" s="44"/>
      <c r="PWT3" s="44"/>
      <c r="PWU3" s="44"/>
      <c r="PWV3" s="44"/>
      <c r="PWW3" s="44"/>
      <c r="PWX3" s="44"/>
      <c r="PWY3" s="44"/>
      <c r="PWZ3" s="44"/>
      <c r="PXA3" s="44"/>
      <c r="PXB3" s="44"/>
      <c r="PXC3" s="44"/>
      <c r="PXD3" s="44"/>
      <c r="PXE3" s="44"/>
      <c r="PXF3" s="44"/>
      <c r="PXG3" s="44"/>
      <c r="PXH3" s="44"/>
      <c r="PXI3" s="44"/>
      <c r="PXJ3" s="44"/>
      <c r="PXK3" s="44"/>
      <c r="PXL3" s="44"/>
      <c r="PXM3" s="44"/>
      <c r="PXN3" s="44"/>
      <c r="PXO3" s="44"/>
      <c r="PXP3" s="44"/>
      <c r="PXQ3" s="44"/>
      <c r="PXR3" s="44"/>
      <c r="PXS3" s="44"/>
      <c r="PXT3" s="44"/>
      <c r="PXU3" s="44"/>
      <c r="PXV3" s="44"/>
      <c r="PXW3" s="44"/>
      <c r="PXX3" s="44"/>
      <c r="PXY3" s="44"/>
      <c r="PXZ3" s="44"/>
      <c r="PYA3" s="44"/>
      <c r="PYB3" s="44"/>
      <c r="PYC3" s="44"/>
      <c r="PYD3" s="44"/>
      <c r="PYE3" s="44"/>
      <c r="PYF3" s="44"/>
      <c r="PYG3" s="44"/>
      <c r="PYH3" s="44"/>
      <c r="PYI3" s="44"/>
      <c r="PYJ3" s="44"/>
      <c r="PYK3" s="44"/>
      <c r="PYL3" s="44"/>
      <c r="PYM3" s="44"/>
      <c r="PYN3" s="44"/>
      <c r="PYO3" s="44"/>
      <c r="PYP3" s="44"/>
      <c r="PYQ3" s="44"/>
      <c r="PYR3" s="44"/>
      <c r="PYS3" s="44"/>
      <c r="PYT3" s="44"/>
      <c r="PYU3" s="44"/>
      <c r="PYV3" s="44"/>
      <c r="PYW3" s="44"/>
      <c r="PYX3" s="44"/>
      <c r="PYY3" s="44"/>
      <c r="PYZ3" s="44"/>
      <c r="PZA3" s="44"/>
      <c r="PZB3" s="44"/>
      <c r="PZC3" s="44"/>
      <c r="PZD3" s="44"/>
      <c r="PZE3" s="44"/>
      <c r="PZF3" s="44"/>
      <c r="PZG3" s="44"/>
      <c r="PZH3" s="44"/>
      <c r="PZI3" s="44"/>
      <c r="PZJ3" s="44"/>
      <c r="PZK3" s="44"/>
      <c r="PZL3" s="44"/>
      <c r="PZM3" s="44"/>
      <c r="PZN3" s="44"/>
      <c r="PZO3" s="44"/>
      <c r="PZP3" s="44"/>
      <c r="PZQ3" s="44"/>
      <c r="PZR3" s="44"/>
      <c r="PZS3" s="44"/>
      <c r="PZT3" s="44"/>
      <c r="PZU3" s="44"/>
      <c r="PZV3" s="44"/>
      <c r="PZW3" s="44"/>
      <c r="PZX3" s="44"/>
      <c r="PZY3" s="44"/>
      <c r="PZZ3" s="44"/>
      <c r="QAA3" s="44"/>
      <c r="QAB3" s="44"/>
      <c r="QAC3" s="44"/>
      <c r="QAD3" s="44"/>
      <c r="QAE3" s="44"/>
      <c r="QAF3" s="44"/>
      <c r="QAG3" s="44"/>
      <c r="QAH3" s="44"/>
      <c r="QAI3" s="44"/>
      <c r="QAJ3" s="44"/>
      <c r="QAK3" s="44"/>
      <c r="QAL3" s="44"/>
      <c r="QAM3" s="44"/>
      <c r="QAN3" s="44"/>
      <c r="QAO3" s="44"/>
      <c r="QAP3" s="44"/>
      <c r="QAQ3" s="44"/>
      <c r="QAR3" s="44"/>
      <c r="QAS3" s="44"/>
      <c r="QAT3" s="44"/>
      <c r="QAU3" s="44"/>
      <c r="QAV3" s="44"/>
      <c r="QAW3" s="44"/>
      <c r="QAX3" s="44"/>
      <c r="QAY3" s="44"/>
      <c r="QAZ3" s="44"/>
      <c r="QBA3" s="44"/>
      <c r="QBB3" s="44"/>
      <c r="QBC3" s="44"/>
      <c r="QBD3" s="44"/>
      <c r="QBE3" s="44"/>
      <c r="QBF3" s="44"/>
      <c r="QBG3" s="44"/>
      <c r="QBH3" s="44"/>
      <c r="QBI3" s="44"/>
      <c r="QBJ3" s="44"/>
      <c r="QBK3" s="44"/>
      <c r="QBL3" s="44"/>
      <c r="QBM3" s="44"/>
      <c r="QBN3" s="44"/>
      <c r="QBO3" s="44"/>
      <c r="QBP3" s="44"/>
      <c r="QBQ3" s="44"/>
      <c r="QBR3" s="44"/>
      <c r="QBS3" s="44"/>
      <c r="QBT3" s="44"/>
      <c r="QBU3" s="44"/>
      <c r="QBV3" s="44"/>
      <c r="QBW3" s="44"/>
      <c r="QBX3" s="44"/>
      <c r="QBY3" s="44"/>
      <c r="QBZ3" s="44"/>
      <c r="QCA3" s="44"/>
      <c r="QCB3" s="44"/>
      <c r="QCC3" s="44"/>
      <c r="QCD3" s="44"/>
      <c r="QCE3" s="44"/>
      <c r="QCF3" s="44"/>
      <c r="QCG3" s="44"/>
      <c r="QCH3" s="44"/>
      <c r="QCI3" s="44"/>
      <c r="QCJ3" s="44"/>
      <c r="QCK3" s="44"/>
      <c r="QCL3" s="44"/>
      <c r="QCM3" s="44"/>
      <c r="QCN3" s="44"/>
      <c r="QCO3" s="44"/>
      <c r="QCP3" s="44"/>
      <c r="QCQ3" s="44"/>
      <c r="QCR3" s="44"/>
      <c r="QCS3" s="44"/>
      <c r="QCT3" s="44"/>
      <c r="QCU3" s="44"/>
      <c r="QCV3" s="44"/>
      <c r="QCW3" s="44"/>
      <c r="QCX3" s="44"/>
      <c r="QCY3" s="44"/>
      <c r="QCZ3" s="44"/>
      <c r="QDA3" s="44"/>
      <c r="QDB3" s="44"/>
      <c r="QDC3" s="44"/>
      <c r="QDD3" s="44"/>
      <c r="QDE3" s="44"/>
      <c r="QDF3" s="44"/>
      <c r="QDG3" s="44"/>
      <c r="QDH3" s="44"/>
      <c r="QDI3" s="44"/>
      <c r="QDJ3" s="44"/>
      <c r="QDK3" s="44"/>
      <c r="QDL3" s="44"/>
      <c r="QDM3" s="44"/>
      <c r="QDN3" s="44"/>
      <c r="QDO3" s="44"/>
      <c r="QDP3" s="44"/>
      <c r="QDQ3" s="44"/>
      <c r="QDR3" s="44"/>
      <c r="QDS3" s="44"/>
      <c r="QDT3" s="44"/>
      <c r="QDU3" s="44"/>
      <c r="QDV3" s="44"/>
      <c r="QDW3" s="44"/>
      <c r="QDX3" s="44"/>
      <c r="QDY3" s="44"/>
      <c r="QDZ3" s="44"/>
      <c r="QEA3" s="44"/>
      <c r="QEB3" s="44"/>
      <c r="QEC3" s="44"/>
      <c r="QED3" s="44"/>
      <c r="QEE3" s="44"/>
      <c r="QEF3" s="44"/>
      <c r="QEG3" s="44"/>
      <c r="QEH3" s="44"/>
      <c r="QEI3" s="44"/>
      <c r="QEJ3" s="44"/>
      <c r="QEK3" s="44"/>
      <c r="QEL3" s="44"/>
      <c r="QEM3" s="44"/>
      <c r="QEN3" s="44"/>
      <c r="QEO3" s="44"/>
      <c r="QEP3" s="44"/>
      <c r="QEQ3" s="44"/>
      <c r="QER3" s="44"/>
      <c r="QES3" s="44"/>
      <c r="QET3" s="44"/>
      <c r="QEU3" s="44"/>
      <c r="QEV3" s="44"/>
      <c r="QEW3" s="44"/>
      <c r="QEX3" s="44"/>
      <c r="QEY3" s="44"/>
      <c r="QEZ3" s="44"/>
      <c r="QFA3" s="44"/>
      <c r="QFB3" s="44"/>
      <c r="QFC3" s="44"/>
      <c r="QFD3" s="44"/>
      <c r="QFE3" s="44"/>
      <c r="QFF3" s="44"/>
      <c r="QFG3" s="44"/>
      <c r="QFH3" s="44"/>
      <c r="QFI3" s="44"/>
      <c r="QFJ3" s="44"/>
      <c r="QFK3" s="44"/>
      <c r="QFL3" s="44"/>
      <c r="QFM3" s="44"/>
      <c r="QFN3" s="44"/>
      <c r="QFO3" s="44"/>
      <c r="QFP3" s="44"/>
      <c r="QFQ3" s="44"/>
      <c r="QFR3" s="44"/>
      <c r="QFS3" s="44"/>
      <c r="QFT3" s="44"/>
      <c r="QFU3" s="44"/>
      <c r="QFV3" s="44"/>
      <c r="QFW3" s="44"/>
      <c r="QFX3" s="44"/>
      <c r="QFY3" s="44"/>
      <c r="QFZ3" s="44"/>
      <c r="QGA3" s="44"/>
      <c r="QGB3" s="44"/>
      <c r="QGC3" s="44"/>
      <c r="QGD3" s="44"/>
      <c r="QGE3" s="44"/>
      <c r="QGF3" s="44"/>
      <c r="QGG3" s="44"/>
      <c r="QGH3" s="44"/>
      <c r="QGI3" s="44"/>
      <c r="QGJ3" s="44"/>
      <c r="QGK3" s="44"/>
      <c r="QGL3" s="44"/>
      <c r="QGM3" s="44"/>
      <c r="QGN3" s="44"/>
      <c r="QGO3" s="44"/>
      <c r="QGP3" s="44"/>
      <c r="QGQ3" s="44"/>
      <c r="QGR3" s="44"/>
      <c r="QGS3" s="44"/>
      <c r="QGT3" s="44"/>
      <c r="QGU3" s="44"/>
      <c r="QGV3" s="44"/>
      <c r="QGW3" s="44"/>
      <c r="QGX3" s="44"/>
      <c r="QGY3" s="44"/>
      <c r="QGZ3" s="44"/>
      <c r="QHA3" s="44"/>
      <c r="QHB3" s="44"/>
      <c r="QHC3" s="44"/>
      <c r="QHD3" s="44"/>
      <c r="QHE3" s="44"/>
      <c r="QHF3" s="44"/>
      <c r="QHG3" s="44"/>
      <c r="QHH3" s="44"/>
      <c r="QHI3" s="44"/>
      <c r="QHJ3" s="44"/>
      <c r="QHK3" s="44"/>
      <c r="QHL3" s="44"/>
      <c r="QHM3" s="44"/>
      <c r="QHN3" s="44"/>
      <c r="QHO3" s="44"/>
      <c r="QHP3" s="44"/>
      <c r="QHQ3" s="44"/>
      <c r="QHR3" s="44"/>
      <c r="QHS3" s="44"/>
      <c r="QHT3" s="44"/>
      <c r="QHU3" s="44"/>
      <c r="QHV3" s="44"/>
      <c r="QHW3" s="44"/>
      <c r="QHX3" s="44"/>
      <c r="QHY3" s="44"/>
      <c r="QHZ3" s="44"/>
      <c r="QIA3" s="44"/>
      <c r="QIB3" s="44"/>
      <c r="QIC3" s="44"/>
      <c r="QID3" s="44"/>
      <c r="QIE3" s="44"/>
      <c r="QIF3" s="44"/>
      <c r="QIG3" s="44"/>
      <c r="QIH3" s="44"/>
      <c r="QII3" s="44"/>
      <c r="QIJ3" s="44"/>
      <c r="QIK3" s="44"/>
      <c r="QIL3" s="44"/>
      <c r="QIM3" s="44"/>
      <c r="QIN3" s="44"/>
      <c r="QIO3" s="44"/>
      <c r="QIP3" s="44"/>
      <c r="QIQ3" s="44"/>
      <c r="QIR3" s="44"/>
      <c r="QIS3" s="44"/>
      <c r="QIT3" s="44"/>
      <c r="QIU3" s="44"/>
      <c r="QIV3" s="44"/>
      <c r="QIW3" s="44"/>
      <c r="QIX3" s="44"/>
      <c r="QIY3" s="44"/>
      <c r="QIZ3" s="44"/>
      <c r="QJA3" s="44"/>
      <c r="QJB3" s="44"/>
      <c r="QJC3" s="44"/>
      <c r="QJD3" s="44"/>
      <c r="QJE3" s="44"/>
      <c r="QJF3" s="44"/>
      <c r="QJG3" s="44"/>
      <c r="QJH3" s="44"/>
      <c r="QJI3" s="44"/>
      <c r="QJJ3" s="44"/>
      <c r="QJK3" s="44"/>
      <c r="QJL3" s="44"/>
      <c r="QJM3" s="44"/>
      <c r="QJN3" s="44"/>
      <c r="QJO3" s="44"/>
      <c r="QJP3" s="44"/>
      <c r="QJQ3" s="44"/>
      <c r="QJR3" s="44"/>
      <c r="QJS3" s="44"/>
      <c r="QJT3" s="44"/>
      <c r="QJU3" s="44"/>
      <c r="QJV3" s="44"/>
      <c r="QJW3" s="44"/>
      <c r="QJX3" s="44"/>
      <c r="QJY3" s="44"/>
      <c r="QJZ3" s="44"/>
      <c r="QKA3" s="44"/>
      <c r="QKB3" s="44"/>
      <c r="QKC3" s="44"/>
      <c r="QKD3" s="44"/>
      <c r="QKE3" s="44"/>
      <c r="QKF3" s="44"/>
      <c r="QKG3" s="44"/>
      <c r="QKH3" s="44"/>
      <c r="QKI3" s="44"/>
      <c r="QKJ3" s="44"/>
      <c r="QKK3" s="44"/>
      <c r="QKL3" s="44"/>
      <c r="QKM3" s="44"/>
      <c r="QKN3" s="44"/>
      <c r="QKO3" s="44"/>
      <c r="QKP3" s="44"/>
      <c r="QKQ3" s="44"/>
      <c r="QKR3" s="44"/>
      <c r="QKS3" s="44"/>
      <c r="QKT3" s="44"/>
      <c r="QKU3" s="44"/>
      <c r="QKV3" s="44"/>
      <c r="QKW3" s="44"/>
      <c r="QKX3" s="44"/>
      <c r="QKY3" s="44"/>
      <c r="QKZ3" s="44"/>
      <c r="QLA3" s="44"/>
      <c r="QLB3" s="44"/>
      <c r="QLC3" s="44"/>
      <c r="QLD3" s="44"/>
      <c r="QLE3" s="44"/>
      <c r="QLF3" s="44"/>
      <c r="QLG3" s="44"/>
      <c r="QLH3" s="44"/>
      <c r="QLI3" s="44"/>
      <c r="QLJ3" s="44"/>
      <c r="QLK3" s="44"/>
      <c r="QLL3" s="44"/>
      <c r="QLM3" s="44"/>
      <c r="QLN3" s="44"/>
      <c r="QLO3" s="44"/>
      <c r="QLP3" s="44"/>
      <c r="QLQ3" s="44"/>
      <c r="QLR3" s="44"/>
      <c r="QLS3" s="44"/>
      <c r="QLT3" s="44"/>
      <c r="QLU3" s="44"/>
      <c r="QLV3" s="44"/>
      <c r="QLW3" s="44"/>
      <c r="QLX3" s="44"/>
      <c r="QLY3" s="44"/>
      <c r="QLZ3" s="44"/>
      <c r="QMA3" s="44"/>
      <c r="QMB3" s="44"/>
      <c r="QMC3" s="44"/>
      <c r="QMD3" s="44"/>
      <c r="QME3" s="44"/>
      <c r="QMF3" s="44"/>
      <c r="QMG3" s="44"/>
      <c r="QMH3" s="44"/>
      <c r="QMI3" s="44"/>
      <c r="QMJ3" s="44"/>
      <c r="QMK3" s="44"/>
      <c r="QML3" s="44"/>
      <c r="QMM3" s="44"/>
      <c r="QMN3" s="44"/>
      <c r="QMO3" s="44"/>
      <c r="QMP3" s="44"/>
      <c r="QMQ3" s="44"/>
      <c r="QMR3" s="44"/>
      <c r="QMS3" s="44"/>
      <c r="QMT3" s="44"/>
      <c r="QMU3" s="44"/>
      <c r="QMV3" s="44"/>
      <c r="QMW3" s="44"/>
      <c r="QMX3" s="44"/>
      <c r="QMY3" s="44"/>
      <c r="QMZ3" s="44"/>
      <c r="QNA3" s="44"/>
      <c r="QNB3" s="44"/>
      <c r="QNC3" s="44"/>
      <c r="QND3" s="44"/>
      <c r="QNE3" s="44"/>
      <c r="QNF3" s="44"/>
      <c r="QNG3" s="44"/>
      <c r="QNH3" s="44"/>
      <c r="QNI3" s="44"/>
      <c r="QNJ3" s="44"/>
      <c r="QNK3" s="44"/>
      <c r="QNL3" s="44"/>
      <c r="QNM3" s="44"/>
      <c r="QNN3" s="44"/>
      <c r="QNO3" s="44"/>
      <c r="QNP3" s="44"/>
      <c r="QNQ3" s="44"/>
      <c r="QNR3" s="44"/>
      <c r="QNS3" s="44"/>
      <c r="QNT3" s="44"/>
      <c r="QNU3" s="44"/>
      <c r="QNV3" s="44"/>
      <c r="QNW3" s="44"/>
      <c r="QNX3" s="44"/>
      <c r="QNY3" s="44"/>
      <c r="QNZ3" s="44"/>
      <c r="QOA3" s="44"/>
      <c r="QOB3" s="44"/>
      <c r="QOC3" s="44"/>
      <c r="QOD3" s="44"/>
      <c r="QOE3" s="44"/>
      <c r="QOF3" s="44"/>
      <c r="QOG3" s="44"/>
      <c r="QOH3" s="44"/>
      <c r="QOI3" s="44"/>
      <c r="QOJ3" s="44"/>
      <c r="QOK3" s="44"/>
      <c r="QOL3" s="44"/>
      <c r="QOM3" s="44"/>
      <c r="QON3" s="44"/>
      <c r="QOO3" s="44"/>
      <c r="QOP3" s="44"/>
      <c r="QOQ3" s="44"/>
      <c r="QOR3" s="44"/>
      <c r="QOS3" s="44"/>
      <c r="QOT3" s="44"/>
      <c r="QOU3" s="44"/>
      <c r="QOV3" s="44"/>
      <c r="QOW3" s="44"/>
      <c r="QOX3" s="44"/>
      <c r="QOY3" s="44"/>
      <c r="QOZ3" s="44"/>
      <c r="QPA3" s="44"/>
      <c r="QPB3" s="44"/>
      <c r="QPC3" s="44"/>
      <c r="QPD3" s="44"/>
      <c r="QPE3" s="44"/>
      <c r="QPF3" s="44"/>
      <c r="QPG3" s="44"/>
      <c r="QPH3" s="44"/>
      <c r="QPI3" s="44"/>
      <c r="QPJ3" s="44"/>
      <c r="QPK3" s="44"/>
      <c r="QPL3" s="44"/>
      <c r="QPM3" s="44"/>
      <c r="QPN3" s="44"/>
      <c r="QPO3" s="44"/>
      <c r="QPP3" s="44"/>
      <c r="QPQ3" s="44"/>
      <c r="QPR3" s="44"/>
      <c r="QPS3" s="44"/>
      <c r="QPT3" s="44"/>
      <c r="QPU3" s="44"/>
      <c r="QPV3" s="44"/>
      <c r="QPW3" s="44"/>
      <c r="QPX3" s="44"/>
      <c r="QPY3" s="44"/>
      <c r="QPZ3" s="44"/>
      <c r="QQA3" s="44"/>
      <c r="QQB3" s="44"/>
      <c r="QQC3" s="44"/>
      <c r="QQD3" s="44"/>
      <c r="QQE3" s="44"/>
      <c r="QQF3" s="44"/>
      <c r="QQG3" s="44"/>
      <c r="QQH3" s="44"/>
      <c r="QQI3" s="44"/>
      <c r="QQJ3" s="44"/>
      <c r="QQK3" s="44"/>
      <c r="QQL3" s="44"/>
      <c r="QQM3" s="44"/>
      <c r="QQN3" s="44"/>
      <c r="QQO3" s="44"/>
      <c r="QQP3" s="44"/>
      <c r="QQQ3" s="44"/>
      <c r="QQR3" s="44"/>
      <c r="QQS3" s="44"/>
      <c r="QQT3" s="44"/>
      <c r="QQU3" s="44"/>
      <c r="QQV3" s="44"/>
      <c r="QQW3" s="44"/>
      <c r="QQX3" s="44"/>
      <c r="QQY3" s="44"/>
      <c r="QQZ3" s="44"/>
      <c r="QRA3" s="44"/>
      <c r="QRB3" s="44"/>
      <c r="QRC3" s="44"/>
      <c r="QRD3" s="44"/>
      <c r="QRE3" s="44"/>
      <c r="QRF3" s="44"/>
      <c r="QRG3" s="44"/>
      <c r="QRH3" s="44"/>
      <c r="QRI3" s="44"/>
      <c r="QRJ3" s="44"/>
      <c r="QRK3" s="44"/>
      <c r="QRL3" s="44"/>
      <c r="QRM3" s="44"/>
      <c r="QRN3" s="44"/>
      <c r="QRO3" s="44"/>
      <c r="QRP3" s="44"/>
      <c r="QRQ3" s="44"/>
      <c r="QRR3" s="44"/>
      <c r="QRS3" s="44"/>
      <c r="QRT3" s="44"/>
      <c r="QRU3" s="44"/>
      <c r="QRV3" s="44"/>
      <c r="QRW3" s="44"/>
      <c r="QRX3" s="44"/>
      <c r="QRY3" s="44"/>
      <c r="QRZ3" s="44"/>
      <c r="QSA3" s="44"/>
      <c r="QSB3" s="44"/>
      <c r="QSC3" s="44"/>
      <c r="QSD3" s="44"/>
      <c r="QSE3" s="44"/>
      <c r="QSF3" s="44"/>
      <c r="QSG3" s="44"/>
      <c r="QSH3" s="44"/>
      <c r="QSI3" s="44"/>
      <c r="QSJ3" s="44"/>
      <c r="QSK3" s="44"/>
      <c r="QSL3" s="44"/>
      <c r="QSM3" s="44"/>
      <c r="QSN3" s="44"/>
      <c r="QSO3" s="44"/>
      <c r="QSP3" s="44"/>
      <c r="QSQ3" s="44"/>
      <c r="QSR3" s="44"/>
      <c r="QSS3" s="44"/>
      <c r="QST3" s="44"/>
      <c r="QSU3" s="44"/>
      <c r="QSV3" s="44"/>
      <c r="QSW3" s="44"/>
      <c r="QSX3" s="44"/>
      <c r="QSY3" s="44"/>
      <c r="QSZ3" s="44"/>
      <c r="QTA3" s="44"/>
      <c r="QTB3" s="44"/>
      <c r="QTC3" s="44"/>
      <c r="QTD3" s="44"/>
      <c r="QTE3" s="44"/>
      <c r="QTF3" s="44"/>
      <c r="QTG3" s="44"/>
      <c r="QTH3" s="44"/>
      <c r="QTI3" s="44"/>
      <c r="QTJ3" s="44"/>
      <c r="QTK3" s="44"/>
      <c r="QTL3" s="44"/>
      <c r="QTM3" s="44"/>
      <c r="QTN3" s="44"/>
      <c r="QTO3" s="44"/>
      <c r="QTP3" s="44"/>
      <c r="QTQ3" s="44"/>
      <c r="QTR3" s="44"/>
      <c r="QTS3" s="44"/>
      <c r="QTT3" s="44"/>
      <c r="QTU3" s="44"/>
      <c r="QTV3" s="44"/>
      <c r="QTW3" s="44"/>
      <c r="QTX3" s="44"/>
      <c r="QTY3" s="44"/>
      <c r="QTZ3" s="44"/>
      <c r="QUA3" s="44"/>
      <c r="QUB3" s="44"/>
      <c r="QUC3" s="44"/>
      <c r="QUD3" s="44"/>
      <c r="QUE3" s="44"/>
      <c r="QUF3" s="44"/>
      <c r="QUG3" s="44"/>
      <c r="QUH3" s="44"/>
      <c r="QUI3" s="44"/>
      <c r="QUJ3" s="44"/>
      <c r="QUK3" s="44"/>
      <c r="QUL3" s="44"/>
      <c r="QUM3" s="44"/>
      <c r="QUN3" s="44"/>
      <c r="QUO3" s="44"/>
      <c r="QUP3" s="44"/>
      <c r="QUQ3" s="44"/>
      <c r="QUR3" s="44"/>
      <c r="QUS3" s="44"/>
      <c r="QUT3" s="44"/>
      <c r="QUU3" s="44"/>
      <c r="QUV3" s="44"/>
      <c r="QUW3" s="44"/>
      <c r="QUX3" s="44"/>
      <c r="QUY3" s="44"/>
      <c r="QUZ3" s="44"/>
      <c r="QVA3" s="44"/>
      <c r="QVB3" s="44"/>
      <c r="QVC3" s="44"/>
      <c r="QVD3" s="44"/>
      <c r="QVE3" s="44"/>
      <c r="QVF3" s="44"/>
      <c r="QVG3" s="44"/>
      <c r="QVH3" s="44"/>
      <c r="QVI3" s="44"/>
      <c r="QVJ3" s="44"/>
      <c r="QVK3" s="44"/>
      <c r="QVL3" s="44"/>
      <c r="QVM3" s="44"/>
      <c r="QVN3" s="44"/>
      <c r="QVO3" s="44"/>
      <c r="QVP3" s="44"/>
      <c r="QVQ3" s="44"/>
      <c r="QVR3" s="44"/>
      <c r="QVS3" s="44"/>
      <c r="QVT3" s="44"/>
      <c r="QVU3" s="44"/>
      <c r="QVV3" s="44"/>
      <c r="QVW3" s="44"/>
      <c r="QVX3" s="44"/>
      <c r="QVY3" s="44"/>
      <c r="QVZ3" s="44"/>
      <c r="QWA3" s="44"/>
      <c r="QWB3" s="44"/>
      <c r="QWC3" s="44"/>
      <c r="QWD3" s="44"/>
      <c r="QWE3" s="44"/>
      <c r="QWF3" s="44"/>
      <c r="QWG3" s="44"/>
      <c r="QWH3" s="44"/>
      <c r="QWI3" s="44"/>
      <c r="QWJ3" s="44"/>
      <c r="QWK3" s="44"/>
      <c r="QWL3" s="44"/>
      <c r="QWM3" s="44"/>
      <c r="QWN3" s="44"/>
      <c r="QWO3" s="44"/>
      <c r="QWP3" s="44"/>
      <c r="QWQ3" s="44"/>
      <c r="QWR3" s="44"/>
      <c r="QWS3" s="44"/>
      <c r="QWT3" s="44"/>
      <c r="QWU3" s="44"/>
      <c r="QWV3" s="44"/>
      <c r="QWW3" s="44"/>
      <c r="QWX3" s="44"/>
      <c r="QWY3" s="44"/>
      <c r="QWZ3" s="44"/>
      <c r="QXA3" s="44"/>
      <c r="QXB3" s="44"/>
      <c r="QXC3" s="44"/>
      <c r="QXD3" s="44"/>
      <c r="QXE3" s="44"/>
      <c r="QXF3" s="44"/>
      <c r="QXG3" s="44"/>
      <c r="QXH3" s="44"/>
      <c r="QXI3" s="44"/>
      <c r="QXJ3" s="44"/>
      <c r="QXK3" s="44"/>
      <c r="QXL3" s="44"/>
      <c r="QXM3" s="44"/>
      <c r="QXN3" s="44"/>
      <c r="QXO3" s="44"/>
      <c r="QXP3" s="44"/>
      <c r="QXQ3" s="44"/>
      <c r="QXR3" s="44"/>
      <c r="QXS3" s="44"/>
      <c r="QXT3" s="44"/>
      <c r="QXU3" s="44"/>
      <c r="QXV3" s="44"/>
      <c r="QXW3" s="44"/>
      <c r="QXX3" s="44"/>
      <c r="QXY3" s="44"/>
      <c r="QXZ3" s="44"/>
      <c r="QYA3" s="44"/>
      <c r="QYB3" s="44"/>
      <c r="QYC3" s="44"/>
      <c r="QYD3" s="44"/>
      <c r="QYE3" s="44"/>
      <c r="QYF3" s="44"/>
      <c r="QYG3" s="44"/>
      <c r="QYH3" s="44"/>
      <c r="QYI3" s="44"/>
      <c r="QYJ3" s="44"/>
      <c r="QYK3" s="44"/>
      <c r="QYL3" s="44"/>
      <c r="QYM3" s="44"/>
      <c r="QYN3" s="44"/>
      <c r="QYO3" s="44"/>
      <c r="QYP3" s="44"/>
      <c r="QYQ3" s="44"/>
      <c r="QYR3" s="44"/>
      <c r="QYS3" s="44"/>
      <c r="QYT3" s="44"/>
      <c r="QYU3" s="44"/>
      <c r="QYV3" s="44"/>
      <c r="QYW3" s="44"/>
      <c r="QYX3" s="44"/>
      <c r="QYY3" s="44"/>
      <c r="QYZ3" s="44"/>
      <c r="QZA3" s="44"/>
      <c r="QZB3" s="44"/>
      <c r="QZC3" s="44"/>
      <c r="QZD3" s="44"/>
      <c r="QZE3" s="44"/>
      <c r="QZF3" s="44"/>
      <c r="QZG3" s="44"/>
      <c r="QZH3" s="44"/>
      <c r="QZI3" s="44"/>
      <c r="QZJ3" s="44"/>
      <c r="QZK3" s="44"/>
      <c r="QZL3" s="44"/>
      <c r="QZM3" s="44"/>
      <c r="QZN3" s="44"/>
      <c r="QZO3" s="44"/>
      <c r="QZP3" s="44"/>
      <c r="QZQ3" s="44"/>
      <c r="QZR3" s="44"/>
      <c r="QZS3" s="44"/>
      <c r="QZT3" s="44"/>
      <c r="QZU3" s="44"/>
      <c r="QZV3" s="44"/>
      <c r="QZW3" s="44"/>
      <c r="QZX3" s="44"/>
      <c r="QZY3" s="44"/>
      <c r="QZZ3" s="44"/>
      <c r="RAA3" s="44"/>
      <c r="RAB3" s="44"/>
      <c r="RAC3" s="44"/>
      <c r="RAD3" s="44"/>
      <c r="RAE3" s="44"/>
      <c r="RAF3" s="44"/>
      <c r="RAG3" s="44"/>
      <c r="RAH3" s="44"/>
      <c r="RAI3" s="44"/>
      <c r="RAJ3" s="44"/>
      <c r="RAK3" s="44"/>
      <c r="RAL3" s="44"/>
      <c r="RAM3" s="44"/>
      <c r="RAN3" s="44"/>
      <c r="RAO3" s="44"/>
      <c r="RAP3" s="44"/>
      <c r="RAQ3" s="44"/>
      <c r="RAR3" s="44"/>
      <c r="RAS3" s="44"/>
      <c r="RAT3" s="44"/>
      <c r="RAU3" s="44"/>
      <c r="RAV3" s="44"/>
      <c r="RAW3" s="44"/>
      <c r="RAX3" s="44"/>
      <c r="RAY3" s="44"/>
      <c r="RAZ3" s="44"/>
      <c r="RBA3" s="44"/>
      <c r="RBB3" s="44"/>
      <c r="RBC3" s="44"/>
      <c r="RBD3" s="44"/>
      <c r="RBE3" s="44"/>
      <c r="RBF3" s="44"/>
      <c r="RBG3" s="44"/>
      <c r="RBH3" s="44"/>
      <c r="RBI3" s="44"/>
      <c r="RBJ3" s="44"/>
      <c r="RBK3" s="44"/>
      <c r="RBL3" s="44"/>
      <c r="RBM3" s="44"/>
      <c r="RBN3" s="44"/>
      <c r="RBO3" s="44"/>
      <c r="RBP3" s="44"/>
      <c r="RBQ3" s="44"/>
      <c r="RBR3" s="44"/>
      <c r="RBS3" s="44"/>
      <c r="RBT3" s="44"/>
      <c r="RBU3" s="44"/>
      <c r="RBV3" s="44"/>
      <c r="RBW3" s="44"/>
      <c r="RBX3" s="44"/>
      <c r="RBY3" s="44"/>
      <c r="RBZ3" s="44"/>
      <c r="RCA3" s="44"/>
      <c r="RCB3" s="44"/>
      <c r="RCC3" s="44"/>
      <c r="RCD3" s="44"/>
      <c r="RCE3" s="44"/>
      <c r="RCF3" s="44"/>
      <c r="RCG3" s="44"/>
      <c r="RCH3" s="44"/>
      <c r="RCI3" s="44"/>
      <c r="RCJ3" s="44"/>
      <c r="RCK3" s="44"/>
      <c r="RCL3" s="44"/>
      <c r="RCM3" s="44"/>
      <c r="RCN3" s="44"/>
      <c r="RCO3" s="44"/>
      <c r="RCP3" s="44"/>
      <c r="RCQ3" s="44"/>
      <c r="RCR3" s="44"/>
      <c r="RCS3" s="44"/>
      <c r="RCT3" s="44"/>
      <c r="RCU3" s="44"/>
      <c r="RCV3" s="44"/>
      <c r="RCW3" s="44"/>
      <c r="RCX3" s="44"/>
      <c r="RCY3" s="44"/>
      <c r="RCZ3" s="44"/>
      <c r="RDA3" s="44"/>
      <c r="RDB3" s="44"/>
      <c r="RDC3" s="44"/>
      <c r="RDD3" s="44"/>
      <c r="RDE3" s="44"/>
      <c r="RDF3" s="44"/>
      <c r="RDG3" s="44"/>
      <c r="RDH3" s="44"/>
      <c r="RDI3" s="44"/>
      <c r="RDJ3" s="44"/>
      <c r="RDK3" s="44"/>
      <c r="RDL3" s="44"/>
      <c r="RDM3" s="44"/>
      <c r="RDN3" s="44"/>
      <c r="RDO3" s="44"/>
      <c r="RDP3" s="44"/>
      <c r="RDQ3" s="44"/>
      <c r="RDR3" s="44"/>
      <c r="RDS3" s="44"/>
      <c r="RDT3" s="44"/>
      <c r="RDU3" s="44"/>
      <c r="RDV3" s="44"/>
      <c r="RDW3" s="44"/>
      <c r="RDX3" s="44"/>
      <c r="RDY3" s="44"/>
      <c r="RDZ3" s="44"/>
      <c r="REA3" s="44"/>
      <c r="REB3" s="44"/>
      <c r="REC3" s="44"/>
      <c r="RED3" s="44"/>
      <c r="REE3" s="44"/>
      <c r="REF3" s="44"/>
      <c r="REG3" s="44"/>
      <c r="REH3" s="44"/>
      <c r="REI3" s="44"/>
      <c r="REJ3" s="44"/>
      <c r="REK3" s="44"/>
      <c r="REL3" s="44"/>
      <c r="REM3" s="44"/>
      <c r="REN3" s="44"/>
      <c r="REO3" s="44"/>
      <c r="REP3" s="44"/>
      <c r="REQ3" s="44"/>
      <c r="RER3" s="44"/>
      <c r="RES3" s="44"/>
      <c r="RET3" s="44"/>
      <c r="REU3" s="44"/>
      <c r="REV3" s="44"/>
      <c r="REW3" s="44"/>
      <c r="REX3" s="44"/>
      <c r="REY3" s="44"/>
      <c r="REZ3" s="44"/>
      <c r="RFA3" s="44"/>
      <c r="RFB3" s="44"/>
      <c r="RFC3" s="44"/>
      <c r="RFD3" s="44"/>
      <c r="RFE3" s="44"/>
      <c r="RFF3" s="44"/>
      <c r="RFG3" s="44"/>
      <c r="RFH3" s="44"/>
      <c r="RFI3" s="44"/>
      <c r="RFJ3" s="44"/>
      <c r="RFK3" s="44"/>
      <c r="RFL3" s="44"/>
      <c r="RFM3" s="44"/>
      <c r="RFN3" s="44"/>
      <c r="RFO3" s="44"/>
      <c r="RFP3" s="44"/>
      <c r="RFQ3" s="44"/>
      <c r="RFR3" s="44"/>
      <c r="RFS3" s="44"/>
      <c r="RFT3" s="44"/>
      <c r="RFU3" s="44"/>
      <c r="RFV3" s="44"/>
      <c r="RFW3" s="44"/>
      <c r="RFX3" s="44"/>
      <c r="RFY3" s="44"/>
      <c r="RFZ3" s="44"/>
      <c r="RGA3" s="44"/>
      <c r="RGB3" s="44"/>
      <c r="RGC3" s="44"/>
      <c r="RGD3" s="44"/>
      <c r="RGE3" s="44"/>
      <c r="RGF3" s="44"/>
      <c r="RGG3" s="44"/>
      <c r="RGH3" s="44"/>
      <c r="RGI3" s="44"/>
      <c r="RGJ3" s="44"/>
      <c r="RGK3" s="44"/>
      <c r="RGL3" s="44"/>
      <c r="RGM3" s="44"/>
      <c r="RGN3" s="44"/>
      <c r="RGO3" s="44"/>
      <c r="RGP3" s="44"/>
      <c r="RGQ3" s="44"/>
      <c r="RGR3" s="44"/>
      <c r="RGS3" s="44"/>
      <c r="RGT3" s="44"/>
      <c r="RGU3" s="44"/>
      <c r="RGV3" s="44"/>
      <c r="RGW3" s="44"/>
      <c r="RGX3" s="44"/>
      <c r="RGY3" s="44"/>
      <c r="RGZ3" s="44"/>
      <c r="RHA3" s="44"/>
      <c r="RHB3" s="44"/>
      <c r="RHC3" s="44"/>
      <c r="RHD3" s="44"/>
      <c r="RHE3" s="44"/>
      <c r="RHF3" s="44"/>
      <c r="RHG3" s="44"/>
      <c r="RHH3" s="44"/>
      <c r="RHI3" s="44"/>
      <c r="RHJ3" s="44"/>
      <c r="RHK3" s="44"/>
      <c r="RHL3" s="44"/>
      <c r="RHM3" s="44"/>
      <c r="RHN3" s="44"/>
      <c r="RHO3" s="44"/>
      <c r="RHP3" s="44"/>
      <c r="RHQ3" s="44"/>
      <c r="RHR3" s="44"/>
      <c r="RHS3" s="44"/>
      <c r="RHT3" s="44"/>
      <c r="RHU3" s="44"/>
      <c r="RHV3" s="44"/>
      <c r="RHW3" s="44"/>
      <c r="RHX3" s="44"/>
      <c r="RHY3" s="44"/>
      <c r="RHZ3" s="44"/>
      <c r="RIA3" s="44"/>
      <c r="RIB3" s="44"/>
      <c r="RIC3" s="44"/>
      <c r="RID3" s="44"/>
      <c r="RIE3" s="44"/>
      <c r="RIF3" s="44"/>
      <c r="RIG3" s="44"/>
      <c r="RIH3" s="44"/>
      <c r="RII3" s="44"/>
      <c r="RIJ3" s="44"/>
      <c r="RIK3" s="44"/>
      <c r="RIL3" s="44"/>
      <c r="RIM3" s="44"/>
      <c r="RIN3" s="44"/>
      <c r="RIO3" s="44"/>
      <c r="RIP3" s="44"/>
      <c r="RIQ3" s="44"/>
      <c r="RIR3" s="44"/>
      <c r="RIS3" s="44"/>
      <c r="RIT3" s="44"/>
      <c r="RIU3" s="44"/>
      <c r="RIV3" s="44"/>
      <c r="RIW3" s="44"/>
      <c r="RIX3" s="44"/>
      <c r="RIY3" s="44"/>
      <c r="RIZ3" s="44"/>
      <c r="RJA3" s="44"/>
      <c r="RJB3" s="44"/>
      <c r="RJC3" s="44"/>
      <c r="RJD3" s="44"/>
      <c r="RJE3" s="44"/>
      <c r="RJF3" s="44"/>
      <c r="RJG3" s="44"/>
      <c r="RJH3" s="44"/>
      <c r="RJI3" s="44"/>
      <c r="RJJ3" s="44"/>
      <c r="RJK3" s="44"/>
      <c r="RJL3" s="44"/>
      <c r="RJM3" s="44"/>
      <c r="RJN3" s="44"/>
      <c r="RJO3" s="44"/>
      <c r="RJP3" s="44"/>
      <c r="RJQ3" s="44"/>
      <c r="RJR3" s="44"/>
      <c r="RJS3" s="44"/>
      <c r="RJT3" s="44"/>
      <c r="RJU3" s="44"/>
      <c r="RJV3" s="44"/>
      <c r="RJW3" s="44"/>
      <c r="RJX3" s="44"/>
      <c r="RJY3" s="44"/>
      <c r="RJZ3" s="44"/>
      <c r="RKA3" s="44"/>
      <c r="RKB3" s="44"/>
      <c r="RKC3" s="44"/>
      <c r="RKD3" s="44"/>
      <c r="RKE3" s="44"/>
      <c r="RKF3" s="44"/>
      <c r="RKG3" s="44"/>
      <c r="RKH3" s="44"/>
      <c r="RKI3" s="44"/>
      <c r="RKJ3" s="44"/>
      <c r="RKK3" s="44"/>
      <c r="RKL3" s="44"/>
      <c r="RKM3" s="44"/>
      <c r="RKN3" s="44"/>
      <c r="RKO3" s="44"/>
      <c r="RKP3" s="44"/>
      <c r="RKQ3" s="44"/>
      <c r="RKR3" s="44"/>
      <c r="RKS3" s="44"/>
      <c r="RKT3" s="44"/>
      <c r="RKU3" s="44"/>
      <c r="RKV3" s="44"/>
      <c r="RKW3" s="44"/>
      <c r="RKX3" s="44"/>
      <c r="RKY3" s="44"/>
      <c r="RKZ3" s="44"/>
      <c r="RLA3" s="44"/>
      <c r="RLB3" s="44"/>
      <c r="RLC3" s="44"/>
      <c r="RLD3" s="44"/>
      <c r="RLE3" s="44"/>
      <c r="RLF3" s="44"/>
      <c r="RLG3" s="44"/>
      <c r="RLH3" s="44"/>
      <c r="RLI3" s="44"/>
      <c r="RLJ3" s="44"/>
      <c r="RLK3" s="44"/>
      <c r="RLL3" s="44"/>
      <c r="RLM3" s="44"/>
      <c r="RLN3" s="44"/>
      <c r="RLO3" s="44"/>
      <c r="RLP3" s="44"/>
      <c r="RLQ3" s="44"/>
      <c r="RLR3" s="44"/>
      <c r="RLS3" s="44"/>
      <c r="RLT3" s="44"/>
      <c r="RLU3" s="44"/>
      <c r="RLV3" s="44"/>
      <c r="RLW3" s="44"/>
      <c r="RLX3" s="44"/>
      <c r="RLY3" s="44"/>
      <c r="RLZ3" s="44"/>
      <c r="RMA3" s="44"/>
      <c r="RMB3" s="44"/>
      <c r="RMC3" s="44"/>
      <c r="RMD3" s="44"/>
      <c r="RME3" s="44"/>
      <c r="RMF3" s="44"/>
      <c r="RMG3" s="44"/>
      <c r="RMH3" s="44"/>
      <c r="RMI3" s="44"/>
      <c r="RMJ3" s="44"/>
      <c r="RMK3" s="44"/>
      <c r="RML3" s="44"/>
      <c r="RMM3" s="44"/>
      <c r="RMN3" s="44"/>
      <c r="RMO3" s="44"/>
      <c r="RMP3" s="44"/>
      <c r="RMQ3" s="44"/>
      <c r="RMR3" s="44"/>
      <c r="RMS3" s="44"/>
      <c r="RMT3" s="44"/>
      <c r="RMU3" s="44"/>
      <c r="RMV3" s="44"/>
      <c r="RMW3" s="44"/>
      <c r="RMX3" s="44"/>
      <c r="RMY3" s="44"/>
      <c r="RMZ3" s="44"/>
      <c r="RNA3" s="44"/>
      <c r="RNB3" s="44"/>
      <c r="RNC3" s="44"/>
      <c r="RND3" s="44"/>
      <c r="RNE3" s="44"/>
      <c r="RNF3" s="44"/>
      <c r="RNG3" s="44"/>
      <c r="RNH3" s="44"/>
      <c r="RNI3" s="44"/>
      <c r="RNJ3" s="44"/>
      <c r="RNK3" s="44"/>
      <c r="RNL3" s="44"/>
      <c r="RNM3" s="44"/>
      <c r="RNN3" s="44"/>
      <c r="RNO3" s="44"/>
      <c r="RNP3" s="44"/>
      <c r="RNQ3" s="44"/>
      <c r="RNR3" s="44"/>
      <c r="RNS3" s="44"/>
      <c r="RNT3" s="44"/>
      <c r="RNU3" s="44"/>
      <c r="RNV3" s="44"/>
      <c r="RNW3" s="44"/>
      <c r="RNX3" s="44"/>
      <c r="RNY3" s="44"/>
      <c r="RNZ3" s="44"/>
      <c r="ROA3" s="44"/>
      <c r="ROB3" s="44"/>
      <c r="ROC3" s="44"/>
      <c r="ROD3" s="44"/>
      <c r="ROE3" s="44"/>
      <c r="ROF3" s="44"/>
      <c r="ROG3" s="44"/>
      <c r="ROH3" s="44"/>
      <c r="ROI3" s="44"/>
      <c r="ROJ3" s="44"/>
      <c r="ROK3" s="44"/>
      <c r="ROL3" s="44"/>
      <c r="ROM3" s="44"/>
      <c r="RON3" s="44"/>
      <c r="ROO3" s="44"/>
      <c r="ROP3" s="44"/>
      <c r="ROQ3" s="44"/>
      <c r="ROR3" s="44"/>
      <c r="ROS3" s="44"/>
      <c r="ROT3" s="44"/>
      <c r="ROU3" s="44"/>
      <c r="ROV3" s="44"/>
      <c r="ROW3" s="44"/>
      <c r="ROX3" s="44"/>
      <c r="ROY3" s="44"/>
      <c r="ROZ3" s="44"/>
      <c r="RPA3" s="44"/>
      <c r="RPB3" s="44"/>
      <c r="RPC3" s="44"/>
      <c r="RPD3" s="44"/>
      <c r="RPE3" s="44"/>
      <c r="RPF3" s="44"/>
      <c r="RPG3" s="44"/>
      <c r="RPH3" s="44"/>
      <c r="RPI3" s="44"/>
      <c r="RPJ3" s="44"/>
      <c r="RPK3" s="44"/>
      <c r="RPL3" s="44"/>
      <c r="RPM3" s="44"/>
      <c r="RPN3" s="44"/>
      <c r="RPO3" s="44"/>
      <c r="RPP3" s="44"/>
      <c r="RPQ3" s="44"/>
      <c r="RPR3" s="44"/>
      <c r="RPS3" s="44"/>
      <c r="RPT3" s="44"/>
      <c r="RPU3" s="44"/>
      <c r="RPV3" s="44"/>
      <c r="RPW3" s="44"/>
      <c r="RPX3" s="44"/>
      <c r="RPY3" s="44"/>
      <c r="RPZ3" s="44"/>
      <c r="RQA3" s="44"/>
      <c r="RQB3" s="44"/>
      <c r="RQC3" s="44"/>
      <c r="RQD3" s="44"/>
      <c r="RQE3" s="44"/>
      <c r="RQF3" s="44"/>
      <c r="RQG3" s="44"/>
      <c r="RQH3" s="44"/>
      <c r="RQI3" s="44"/>
      <c r="RQJ3" s="44"/>
      <c r="RQK3" s="44"/>
      <c r="RQL3" s="44"/>
      <c r="RQM3" s="44"/>
      <c r="RQN3" s="44"/>
      <c r="RQO3" s="44"/>
      <c r="RQP3" s="44"/>
      <c r="RQQ3" s="44"/>
      <c r="RQR3" s="44"/>
      <c r="RQS3" s="44"/>
      <c r="RQT3" s="44"/>
      <c r="RQU3" s="44"/>
      <c r="RQV3" s="44"/>
      <c r="RQW3" s="44"/>
      <c r="RQX3" s="44"/>
      <c r="RQY3" s="44"/>
      <c r="RQZ3" s="44"/>
      <c r="RRA3" s="44"/>
      <c r="RRB3" s="44"/>
      <c r="RRC3" s="44"/>
      <c r="RRD3" s="44"/>
      <c r="RRE3" s="44"/>
      <c r="RRF3" s="44"/>
      <c r="RRG3" s="44"/>
      <c r="RRH3" s="44"/>
      <c r="RRI3" s="44"/>
      <c r="RRJ3" s="44"/>
      <c r="RRK3" s="44"/>
      <c r="RRL3" s="44"/>
      <c r="RRM3" s="44"/>
      <c r="RRN3" s="44"/>
      <c r="RRO3" s="44"/>
      <c r="RRP3" s="44"/>
      <c r="RRQ3" s="44"/>
      <c r="RRR3" s="44"/>
      <c r="RRS3" s="44"/>
      <c r="RRT3" s="44"/>
      <c r="RRU3" s="44"/>
      <c r="RRV3" s="44"/>
      <c r="RRW3" s="44"/>
      <c r="RRX3" s="44"/>
      <c r="RRY3" s="44"/>
      <c r="RRZ3" s="44"/>
      <c r="RSA3" s="44"/>
      <c r="RSB3" s="44"/>
      <c r="RSC3" s="44"/>
      <c r="RSD3" s="44"/>
      <c r="RSE3" s="44"/>
      <c r="RSF3" s="44"/>
      <c r="RSG3" s="44"/>
      <c r="RSH3" s="44"/>
      <c r="RSI3" s="44"/>
      <c r="RSJ3" s="44"/>
      <c r="RSK3" s="44"/>
      <c r="RSL3" s="44"/>
      <c r="RSM3" s="44"/>
      <c r="RSN3" s="44"/>
      <c r="RSO3" s="44"/>
      <c r="RSP3" s="44"/>
      <c r="RSQ3" s="44"/>
      <c r="RSR3" s="44"/>
      <c r="RSS3" s="44"/>
      <c r="RST3" s="44"/>
      <c r="RSU3" s="44"/>
      <c r="RSV3" s="44"/>
      <c r="RSW3" s="44"/>
      <c r="RSX3" s="44"/>
      <c r="RSY3" s="44"/>
      <c r="RSZ3" s="44"/>
      <c r="RTA3" s="44"/>
      <c r="RTB3" s="44"/>
      <c r="RTC3" s="44"/>
      <c r="RTD3" s="44"/>
      <c r="RTE3" s="44"/>
      <c r="RTF3" s="44"/>
      <c r="RTG3" s="44"/>
      <c r="RTH3" s="44"/>
      <c r="RTI3" s="44"/>
      <c r="RTJ3" s="44"/>
      <c r="RTK3" s="44"/>
      <c r="RTL3" s="44"/>
      <c r="RTM3" s="44"/>
      <c r="RTN3" s="44"/>
      <c r="RTO3" s="44"/>
      <c r="RTP3" s="44"/>
      <c r="RTQ3" s="44"/>
      <c r="RTR3" s="44"/>
      <c r="RTS3" s="44"/>
      <c r="RTT3" s="44"/>
      <c r="RTU3" s="44"/>
      <c r="RTV3" s="44"/>
      <c r="RTW3" s="44"/>
      <c r="RTX3" s="44"/>
      <c r="RTY3" s="44"/>
      <c r="RTZ3" s="44"/>
      <c r="RUA3" s="44"/>
      <c r="RUB3" s="44"/>
      <c r="RUC3" s="44"/>
      <c r="RUD3" s="44"/>
      <c r="RUE3" s="44"/>
      <c r="RUF3" s="44"/>
      <c r="RUG3" s="44"/>
      <c r="RUH3" s="44"/>
      <c r="RUI3" s="44"/>
      <c r="RUJ3" s="44"/>
      <c r="RUK3" s="44"/>
      <c r="RUL3" s="44"/>
      <c r="RUM3" s="44"/>
      <c r="RUN3" s="44"/>
      <c r="RUO3" s="44"/>
      <c r="RUP3" s="44"/>
      <c r="RUQ3" s="44"/>
      <c r="RUR3" s="44"/>
      <c r="RUS3" s="44"/>
      <c r="RUT3" s="44"/>
      <c r="RUU3" s="44"/>
      <c r="RUV3" s="44"/>
      <c r="RUW3" s="44"/>
      <c r="RUX3" s="44"/>
      <c r="RUY3" s="44"/>
      <c r="RUZ3" s="44"/>
      <c r="RVA3" s="44"/>
      <c r="RVB3" s="44"/>
      <c r="RVC3" s="44"/>
      <c r="RVD3" s="44"/>
      <c r="RVE3" s="44"/>
      <c r="RVF3" s="44"/>
      <c r="RVG3" s="44"/>
      <c r="RVH3" s="44"/>
      <c r="RVI3" s="44"/>
      <c r="RVJ3" s="44"/>
      <c r="RVK3" s="44"/>
      <c r="RVL3" s="44"/>
      <c r="RVM3" s="44"/>
      <c r="RVN3" s="44"/>
      <c r="RVO3" s="44"/>
      <c r="RVP3" s="44"/>
      <c r="RVQ3" s="44"/>
      <c r="RVR3" s="44"/>
      <c r="RVS3" s="44"/>
      <c r="RVT3" s="44"/>
      <c r="RVU3" s="44"/>
      <c r="RVV3" s="44"/>
      <c r="RVW3" s="44"/>
      <c r="RVX3" s="44"/>
      <c r="RVY3" s="44"/>
      <c r="RVZ3" s="44"/>
      <c r="RWA3" s="44"/>
      <c r="RWB3" s="44"/>
      <c r="RWC3" s="44"/>
      <c r="RWD3" s="44"/>
      <c r="RWE3" s="44"/>
      <c r="RWF3" s="44"/>
      <c r="RWG3" s="44"/>
      <c r="RWH3" s="44"/>
      <c r="RWI3" s="44"/>
      <c r="RWJ3" s="44"/>
      <c r="RWK3" s="44"/>
      <c r="RWL3" s="44"/>
      <c r="RWM3" s="44"/>
      <c r="RWN3" s="44"/>
      <c r="RWO3" s="44"/>
      <c r="RWP3" s="44"/>
      <c r="RWQ3" s="44"/>
      <c r="RWR3" s="44"/>
      <c r="RWS3" s="44"/>
      <c r="RWT3" s="44"/>
      <c r="RWU3" s="44"/>
      <c r="RWV3" s="44"/>
      <c r="RWW3" s="44"/>
      <c r="RWX3" s="44"/>
      <c r="RWY3" s="44"/>
      <c r="RWZ3" s="44"/>
      <c r="RXA3" s="44"/>
      <c r="RXB3" s="44"/>
      <c r="RXC3" s="44"/>
      <c r="RXD3" s="44"/>
      <c r="RXE3" s="44"/>
      <c r="RXF3" s="44"/>
      <c r="RXG3" s="44"/>
      <c r="RXH3" s="44"/>
      <c r="RXI3" s="44"/>
      <c r="RXJ3" s="44"/>
      <c r="RXK3" s="44"/>
      <c r="RXL3" s="44"/>
      <c r="RXM3" s="44"/>
      <c r="RXN3" s="44"/>
      <c r="RXO3" s="44"/>
      <c r="RXP3" s="44"/>
      <c r="RXQ3" s="44"/>
      <c r="RXR3" s="44"/>
      <c r="RXS3" s="44"/>
      <c r="RXT3" s="44"/>
      <c r="RXU3" s="44"/>
      <c r="RXV3" s="44"/>
      <c r="RXW3" s="44"/>
      <c r="RXX3" s="44"/>
      <c r="RXY3" s="44"/>
      <c r="RXZ3" s="44"/>
      <c r="RYA3" s="44"/>
      <c r="RYB3" s="44"/>
      <c r="RYC3" s="44"/>
      <c r="RYD3" s="44"/>
      <c r="RYE3" s="44"/>
      <c r="RYF3" s="44"/>
      <c r="RYG3" s="44"/>
      <c r="RYH3" s="44"/>
      <c r="RYI3" s="44"/>
      <c r="RYJ3" s="44"/>
      <c r="RYK3" s="44"/>
      <c r="RYL3" s="44"/>
      <c r="RYM3" s="44"/>
      <c r="RYN3" s="44"/>
      <c r="RYO3" s="44"/>
      <c r="RYP3" s="44"/>
      <c r="RYQ3" s="44"/>
      <c r="RYR3" s="44"/>
      <c r="RYS3" s="44"/>
      <c r="RYT3" s="44"/>
      <c r="RYU3" s="44"/>
      <c r="RYV3" s="44"/>
      <c r="RYW3" s="44"/>
      <c r="RYX3" s="44"/>
      <c r="RYY3" s="44"/>
      <c r="RYZ3" s="44"/>
      <c r="RZA3" s="44"/>
      <c r="RZB3" s="44"/>
      <c r="RZC3" s="44"/>
      <c r="RZD3" s="44"/>
      <c r="RZE3" s="44"/>
      <c r="RZF3" s="44"/>
      <c r="RZG3" s="44"/>
      <c r="RZH3" s="44"/>
      <c r="RZI3" s="44"/>
      <c r="RZJ3" s="44"/>
      <c r="RZK3" s="44"/>
      <c r="RZL3" s="44"/>
      <c r="RZM3" s="44"/>
      <c r="RZN3" s="44"/>
      <c r="RZO3" s="44"/>
      <c r="RZP3" s="44"/>
      <c r="RZQ3" s="44"/>
      <c r="RZR3" s="44"/>
      <c r="RZS3" s="44"/>
      <c r="RZT3" s="44"/>
      <c r="RZU3" s="44"/>
      <c r="RZV3" s="44"/>
      <c r="RZW3" s="44"/>
      <c r="RZX3" s="44"/>
      <c r="RZY3" s="44"/>
      <c r="RZZ3" s="44"/>
      <c r="SAA3" s="44"/>
      <c r="SAB3" s="44"/>
      <c r="SAC3" s="44"/>
      <c r="SAD3" s="44"/>
      <c r="SAE3" s="44"/>
      <c r="SAF3" s="44"/>
      <c r="SAG3" s="44"/>
      <c r="SAH3" s="44"/>
      <c r="SAI3" s="44"/>
      <c r="SAJ3" s="44"/>
      <c r="SAK3" s="44"/>
      <c r="SAL3" s="44"/>
      <c r="SAM3" s="44"/>
      <c r="SAN3" s="44"/>
      <c r="SAO3" s="44"/>
      <c r="SAP3" s="44"/>
      <c r="SAQ3" s="44"/>
      <c r="SAR3" s="44"/>
      <c r="SAS3" s="44"/>
      <c r="SAT3" s="44"/>
      <c r="SAU3" s="44"/>
      <c r="SAV3" s="44"/>
      <c r="SAW3" s="44"/>
      <c r="SAX3" s="44"/>
      <c r="SAY3" s="44"/>
      <c r="SAZ3" s="44"/>
      <c r="SBA3" s="44"/>
      <c r="SBB3" s="44"/>
      <c r="SBC3" s="44"/>
      <c r="SBD3" s="44"/>
      <c r="SBE3" s="44"/>
      <c r="SBF3" s="44"/>
      <c r="SBG3" s="44"/>
      <c r="SBH3" s="44"/>
      <c r="SBI3" s="44"/>
      <c r="SBJ3" s="44"/>
      <c r="SBK3" s="44"/>
      <c r="SBL3" s="44"/>
      <c r="SBM3" s="44"/>
      <c r="SBN3" s="44"/>
      <c r="SBO3" s="44"/>
      <c r="SBP3" s="44"/>
      <c r="SBQ3" s="44"/>
      <c r="SBR3" s="44"/>
      <c r="SBS3" s="44"/>
      <c r="SBT3" s="44"/>
      <c r="SBU3" s="44"/>
      <c r="SBV3" s="44"/>
      <c r="SBW3" s="44"/>
      <c r="SBX3" s="44"/>
      <c r="SBY3" s="44"/>
      <c r="SBZ3" s="44"/>
      <c r="SCA3" s="44"/>
      <c r="SCB3" s="44"/>
      <c r="SCC3" s="44"/>
      <c r="SCD3" s="44"/>
      <c r="SCE3" s="44"/>
      <c r="SCF3" s="44"/>
      <c r="SCG3" s="44"/>
      <c r="SCH3" s="44"/>
      <c r="SCI3" s="44"/>
      <c r="SCJ3" s="44"/>
      <c r="SCK3" s="44"/>
      <c r="SCL3" s="44"/>
      <c r="SCM3" s="44"/>
      <c r="SCN3" s="44"/>
      <c r="SCO3" s="44"/>
      <c r="SCP3" s="44"/>
      <c r="SCQ3" s="44"/>
      <c r="SCR3" s="44"/>
      <c r="SCS3" s="44"/>
      <c r="SCT3" s="44"/>
      <c r="SCU3" s="44"/>
      <c r="SCV3" s="44"/>
      <c r="SCW3" s="44"/>
      <c r="SCX3" s="44"/>
      <c r="SCY3" s="44"/>
      <c r="SCZ3" s="44"/>
      <c r="SDA3" s="44"/>
      <c r="SDB3" s="44"/>
      <c r="SDC3" s="44"/>
      <c r="SDD3" s="44"/>
      <c r="SDE3" s="44"/>
      <c r="SDF3" s="44"/>
      <c r="SDG3" s="44"/>
      <c r="SDH3" s="44"/>
      <c r="SDI3" s="44"/>
      <c r="SDJ3" s="44"/>
      <c r="SDK3" s="44"/>
      <c r="SDL3" s="44"/>
      <c r="SDM3" s="44"/>
      <c r="SDN3" s="44"/>
      <c r="SDO3" s="44"/>
      <c r="SDP3" s="44"/>
      <c r="SDQ3" s="44"/>
      <c r="SDR3" s="44"/>
      <c r="SDS3" s="44"/>
      <c r="SDT3" s="44"/>
      <c r="SDU3" s="44"/>
      <c r="SDV3" s="44"/>
      <c r="SDW3" s="44"/>
      <c r="SDX3" s="44"/>
      <c r="SDY3" s="44"/>
      <c r="SDZ3" s="44"/>
      <c r="SEA3" s="44"/>
      <c r="SEB3" s="44"/>
      <c r="SEC3" s="44"/>
      <c r="SED3" s="44"/>
      <c r="SEE3" s="44"/>
      <c r="SEF3" s="44"/>
      <c r="SEG3" s="44"/>
      <c r="SEH3" s="44"/>
      <c r="SEI3" s="44"/>
      <c r="SEJ3" s="44"/>
      <c r="SEK3" s="44"/>
      <c r="SEL3" s="44"/>
      <c r="SEM3" s="44"/>
      <c r="SEN3" s="44"/>
      <c r="SEO3" s="44"/>
      <c r="SEP3" s="44"/>
      <c r="SEQ3" s="44"/>
      <c r="SER3" s="44"/>
      <c r="SES3" s="44"/>
      <c r="SET3" s="44"/>
      <c r="SEU3" s="44"/>
      <c r="SEV3" s="44"/>
      <c r="SEW3" s="44"/>
      <c r="SEX3" s="44"/>
      <c r="SEY3" s="44"/>
      <c r="SEZ3" s="44"/>
      <c r="SFA3" s="44"/>
      <c r="SFB3" s="44"/>
      <c r="SFC3" s="44"/>
      <c r="SFD3" s="44"/>
      <c r="SFE3" s="44"/>
      <c r="SFF3" s="44"/>
      <c r="SFG3" s="44"/>
      <c r="SFH3" s="44"/>
      <c r="SFI3" s="44"/>
      <c r="SFJ3" s="44"/>
      <c r="SFK3" s="44"/>
      <c r="SFL3" s="44"/>
      <c r="SFM3" s="44"/>
      <c r="SFN3" s="44"/>
      <c r="SFO3" s="44"/>
      <c r="SFP3" s="44"/>
      <c r="SFQ3" s="44"/>
      <c r="SFR3" s="44"/>
      <c r="SFS3" s="44"/>
      <c r="SFT3" s="44"/>
      <c r="SFU3" s="44"/>
      <c r="SFV3" s="44"/>
      <c r="SFW3" s="44"/>
      <c r="SFX3" s="44"/>
      <c r="SFY3" s="44"/>
      <c r="SFZ3" s="44"/>
      <c r="SGA3" s="44"/>
      <c r="SGB3" s="44"/>
      <c r="SGC3" s="44"/>
      <c r="SGD3" s="44"/>
      <c r="SGE3" s="44"/>
      <c r="SGF3" s="44"/>
      <c r="SGG3" s="44"/>
      <c r="SGH3" s="44"/>
      <c r="SGI3" s="44"/>
      <c r="SGJ3" s="44"/>
      <c r="SGK3" s="44"/>
      <c r="SGL3" s="44"/>
      <c r="SGM3" s="44"/>
      <c r="SGN3" s="44"/>
      <c r="SGO3" s="44"/>
      <c r="SGP3" s="44"/>
      <c r="SGQ3" s="44"/>
      <c r="SGR3" s="44"/>
      <c r="SGS3" s="44"/>
      <c r="SGT3" s="44"/>
      <c r="SGU3" s="44"/>
      <c r="SGV3" s="44"/>
      <c r="SGW3" s="44"/>
      <c r="SGX3" s="44"/>
      <c r="SGY3" s="44"/>
      <c r="SGZ3" s="44"/>
      <c r="SHA3" s="44"/>
      <c r="SHB3" s="44"/>
      <c r="SHC3" s="44"/>
      <c r="SHD3" s="44"/>
      <c r="SHE3" s="44"/>
      <c r="SHF3" s="44"/>
      <c r="SHG3" s="44"/>
      <c r="SHH3" s="44"/>
      <c r="SHI3" s="44"/>
      <c r="SHJ3" s="44"/>
      <c r="SHK3" s="44"/>
      <c r="SHL3" s="44"/>
      <c r="SHM3" s="44"/>
      <c r="SHN3" s="44"/>
      <c r="SHO3" s="44"/>
      <c r="SHP3" s="44"/>
      <c r="SHQ3" s="44"/>
      <c r="SHR3" s="44"/>
      <c r="SHS3" s="44"/>
      <c r="SHT3" s="44"/>
      <c r="SHU3" s="44"/>
      <c r="SHV3" s="44"/>
      <c r="SHW3" s="44"/>
      <c r="SHX3" s="44"/>
      <c r="SHY3" s="44"/>
      <c r="SHZ3" s="44"/>
      <c r="SIA3" s="44"/>
      <c r="SIB3" s="44"/>
      <c r="SIC3" s="44"/>
      <c r="SID3" s="44"/>
      <c r="SIE3" s="44"/>
      <c r="SIF3" s="44"/>
      <c r="SIG3" s="44"/>
      <c r="SIH3" s="44"/>
      <c r="SII3" s="44"/>
      <c r="SIJ3" s="44"/>
      <c r="SIK3" s="44"/>
      <c r="SIL3" s="44"/>
      <c r="SIM3" s="44"/>
      <c r="SIN3" s="44"/>
      <c r="SIO3" s="44"/>
      <c r="SIP3" s="44"/>
      <c r="SIQ3" s="44"/>
      <c r="SIR3" s="44"/>
      <c r="SIS3" s="44"/>
      <c r="SIT3" s="44"/>
      <c r="SIU3" s="44"/>
      <c r="SIV3" s="44"/>
      <c r="SIW3" s="44"/>
      <c r="SIX3" s="44"/>
      <c r="SIY3" s="44"/>
      <c r="SIZ3" s="44"/>
      <c r="SJA3" s="44"/>
      <c r="SJB3" s="44"/>
      <c r="SJC3" s="44"/>
      <c r="SJD3" s="44"/>
      <c r="SJE3" s="44"/>
      <c r="SJF3" s="44"/>
      <c r="SJG3" s="44"/>
      <c r="SJH3" s="44"/>
      <c r="SJI3" s="44"/>
      <c r="SJJ3" s="44"/>
      <c r="SJK3" s="44"/>
      <c r="SJL3" s="44"/>
      <c r="SJM3" s="44"/>
      <c r="SJN3" s="44"/>
      <c r="SJO3" s="44"/>
      <c r="SJP3" s="44"/>
      <c r="SJQ3" s="44"/>
      <c r="SJR3" s="44"/>
      <c r="SJS3" s="44"/>
      <c r="SJT3" s="44"/>
      <c r="SJU3" s="44"/>
      <c r="SJV3" s="44"/>
      <c r="SJW3" s="44"/>
      <c r="SJX3" s="44"/>
      <c r="SJY3" s="44"/>
      <c r="SJZ3" s="44"/>
      <c r="SKA3" s="44"/>
      <c r="SKB3" s="44"/>
      <c r="SKC3" s="44"/>
      <c r="SKD3" s="44"/>
      <c r="SKE3" s="44"/>
      <c r="SKF3" s="44"/>
      <c r="SKG3" s="44"/>
      <c r="SKH3" s="44"/>
      <c r="SKI3" s="44"/>
      <c r="SKJ3" s="44"/>
      <c r="SKK3" s="44"/>
      <c r="SKL3" s="44"/>
      <c r="SKM3" s="44"/>
      <c r="SKN3" s="44"/>
      <c r="SKO3" s="44"/>
      <c r="SKP3" s="44"/>
      <c r="SKQ3" s="44"/>
      <c r="SKR3" s="44"/>
      <c r="SKS3" s="44"/>
      <c r="SKT3" s="44"/>
      <c r="SKU3" s="44"/>
      <c r="SKV3" s="44"/>
      <c r="SKW3" s="44"/>
      <c r="SKX3" s="44"/>
      <c r="SKY3" s="44"/>
      <c r="SKZ3" s="44"/>
      <c r="SLA3" s="44"/>
      <c r="SLB3" s="44"/>
      <c r="SLC3" s="44"/>
      <c r="SLD3" s="44"/>
      <c r="SLE3" s="44"/>
      <c r="SLF3" s="44"/>
      <c r="SLG3" s="44"/>
      <c r="SLH3" s="44"/>
      <c r="SLI3" s="44"/>
      <c r="SLJ3" s="44"/>
      <c r="SLK3" s="44"/>
      <c r="SLL3" s="44"/>
      <c r="SLM3" s="44"/>
      <c r="SLN3" s="44"/>
      <c r="SLO3" s="44"/>
      <c r="SLP3" s="44"/>
      <c r="SLQ3" s="44"/>
      <c r="SLR3" s="44"/>
      <c r="SLS3" s="44"/>
      <c r="SLT3" s="44"/>
      <c r="SLU3" s="44"/>
      <c r="SLV3" s="44"/>
      <c r="SLW3" s="44"/>
      <c r="SLX3" s="44"/>
      <c r="SLY3" s="44"/>
      <c r="SLZ3" s="44"/>
      <c r="SMA3" s="44"/>
      <c r="SMB3" s="44"/>
      <c r="SMC3" s="44"/>
      <c r="SMD3" s="44"/>
      <c r="SME3" s="44"/>
      <c r="SMF3" s="44"/>
      <c r="SMG3" s="44"/>
      <c r="SMH3" s="44"/>
      <c r="SMI3" s="44"/>
      <c r="SMJ3" s="44"/>
      <c r="SMK3" s="44"/>
      <c r="SML3" s="44"/>
      <c r="SMM3" s="44"/>
      <c r="SMN3" s="44"/>
      <c r="SMO3" s="44"/>
      <c r="SMP3" s="44"/>
      <c r="SMQ3" s="44"/>
      <c r="SMR3" s="44"/>
      <c r="SMS3" s="44"/>
      <c r="SMT3" s="44"/>
      <c r="SMU3" s="44"/>
      <c r="SMV3" s="44"/>
      <c r="SMW3" s="44"/>
      <c r="SMX3" s="44"/>
      <c r="SMY3" s="44"/>
      <c r="SMZ3" s="44"/>
      <c r="SNA3" s="44"/>
      <c r="SNB3" s="44"/>
      <c r="SNC3" s="44"/>
      <c r="SND3" s="44"/>
      <c r="SNE3" s="44"/>
      <c r="SNF3" s="44"/>
      <c r="SNG3" s="44"/>
      <c r="SNH3" s="44"/>
      <c r="SNI3" s="44"/>
      <c r="SNJ3" s="44"/>
      <c r="SNK3" s="44"/>
      <c r="SNL3" s="44"/>
      <c r="SNM3" s="44"/>
      <c r="SNN3" s="44"/>
      <c r="SNO3" s="44"/>
      <c r="SNP3" s="44"/>
      <c r="SNQ3" s="44"/>
      <c r="SNR3" s="44"/>
      <c r="SNS3" s="44"/>
      <c r="SNT3" s="44"/>
      <c r="SNU3" s="44"/>
      <c r="SNV3" s="44"/>
      <c r="SNW3" s="44"/>
      <c r="SNX3" s="44"/>
      <c r="SNY3" s="44"/>
      <c r="SNZ3" s="44"/>
      <c r="SOA3" s="44"/>
      <c r="SOB3" s="44"/>
      <c r="SOC3" s="44"/>
      <c r="SOD3" s="44"/>
      <c r="SOE3" s="44"/>
      <c r="SOF3" s="44"/>
      <c r="SOG3" s="44"/>
      <c r="SOH3" s="44"/>
      <c r="SOI3" s="44"/>
      <c r="SOJ3" s="44"/>
      <c r="SOK3" s="44"/>
      <c r="SOL3" s="44"/>
      <c r="SOM3" s="44"/>
      <c r="SON3" s="44"/>
      <c r="SOO3" s="44"/>
      <c r="SOP3" s="44"/>
      <c r="SOQ3" s="44"/>
      <c r="SOR3" s="44"/>
      <c r="SOS3" s="44"/>
      <c r="SOT3" s="44"/>
      <c r="SOU3" s="44"/>
      <c r="SOV3" s="44"/>
      <c r="SOW3" s="44"/>
      <c r="SOX3" s="44"/>
      <c r="SOY3" s="44"/>
      <c r="SOZ3" s="44"/>
      <c r="SPA3" s="44"/>
      <c r="SPB3" s="44"/>
      <c r="SPC3" s="44"/>
      <c r="SPD3" s="44"/>
      <c r="SPE3" s="44"/>
      <c r="SPF3" s="44"/>
      <c r="SPG3" s="44"/>
      <c r="SPH3" s="44"/>
      <c r="SPI3" s="44"/>
      <c r="SPJ3" s="44"/>
      <c r="SPK3" s="44"/>
      <c r="SPL3" s="44"/>
      <c r="SPM3" s="44"/>
      <c r="SPN3" s="44"/>
      <c r="SPO3" s="44"/>
      <c r="SPP3" s="44"/>
      <c r="SPQ3" s="44"/>
      <c r="SPR3" s="44"/>
      <c r="SPS3" s="44"/>
      <c r="SPT3" s="44"/>
      <c r="SPU3" s="44"/>
      <c r="SPV3" s="44"/>
      <c r="SPW3" s="44"/>
      <c r="SPX3" s="44"/>
      <c r="SPY3" s="44"/>
      <c r="SPZ3" s="44"/>
      <c r="SQA3" s="44"/>
      <c r="SQB3" s="44"/>
      <c r="SQC3" s="44"/>
      <c r="SQD3" s="44"/>
      <c r="SQE3" s="44"/>
      <c r="SQF3" s="44"/>
      <c r="SQG3" s="44"/>
      <c r="SQH3" s="44"/>
      <c r="SQI3" s="44"/>
      <c r="SQJ3" s="44"/>
      <c r="SQK3" s="44"/>
      <c r="SQL3" s="44"/>
      <c r="SQM3" s="44"/>
      <c r="SQN3" s="44"/>
      <c r="SQO3" s="44"/>
      <c r="SQP3" s="44"/>
      <c r="SQQ3" s="44"/>
      <c r="SQR3" s="44"/>
      <c r="SQS3" s="44"/>
      <c r="SQT3" s="44"/>
      <c r="SQU3" s="44"/>
      <c r="SQV3" s="44"/>
      <c r="SQW3" s="44"/>
      <c r="SQX3" s="44"/>
      <c r="SQY3" s="44"/>
      <c r="SQZ3" s="44"/>
      <c r="SRA3" s="44"/>
      <c r="SRB3" s="44"/>
      <c r="SRC3" s="44"/>
      <c r="SRD3" s="44"/>
      <c r="SRE3" s="44"/>
      <c r="SRF3" s="44"/>
      <c r="SRG3" s="44"/>
      <c r="SRH3" s="44"/>
      <c r="SRI3" s="44"/>
      <c r="SRJ3" s="44"/>
      <c r="SRK3" s="44"/>
      <c r="SRL3" s="44"/>
      <c r="SRM3" s="44"/>
      <c r="SRN3" s="44"/>
      <c r="SRO3" s="44"/>
      <c r="SRP3" s="44"/>
      <c r="SRQ3" s="44"/>
      <c r="SRR3" s="44"/>
      <c r="SRS3" s="44"/>
      <c r="SRT3" s="44"/>
      <c r="SRU3" s="44"/>
      <c r="SRV3" s="44"/>
      <c r="SRW3" s="44"/>
      <c r="SRX3" s="44"/>
      <c r="SRY3" s="44"/>
      <c r="SRZ3" s="44"/>
      <c r="SSA3" s="44"/>
      <c r="SSB3" s="44"/>
      <c r="SSC3" s="44"/>
      <c r="SSD3" s="44"/>
      <c r="SSE3" s="44"/>
      <c r="SSF3" s="44"/>
      <c r="SSG3" s="44"/>
      <c r="SSH3" s="44"/>
      <c r="SSI3" s="44"/>
      <c r="SSJ3" s="44"/>
      <c r="SSK3" s="44"/>
      <c r="SSL3" s="44"/>
      <c r="SSM3" s="44"/>
      <c r="SSN3" s="44"/>
      <c r="SSO3" s="44"/>
      <c r="SSP3" s="44"/>
      <c r="SSQ3" s="44"/>
      <c r="SSR3" s="44"/>
      <c r="SSS3" s="44"/>
      <c r="SST3" s="44"/>
      <c r="SSU3" s="44"/>
      <c r="SSV3" s="44"/>
      <c r="SSW3" s="44"/>
      <c r="SSX3" s="44"/>
      <c r="SSY3" s="44"/>
      <c r="SSZ3" s="44"/>
      <c r="STA3" s="44"/>
      <c r="STB3" s="44"/>
      <c r="STC3" s="44"/>
      <c r="STD3" s="44"/>
      <c r="STE3" s="44"/>
      <c r="STF3" s="44"/>
      <c r="STG3" s="44"/>
      <c r="STH3" s="44"/>
      <c r="STI3" s="44"/>
      <c r="STJ3" s="44"/>
      <c r="STK3" s="44"/>
      <c r="STL3" s="44"/>
      <c r="STM3" s="44"/>
      <c r="STN3" s="44"/>
      <c r="STO3" s="44"/>
      <c r="STP3" s="44"/>
      <c r="STQ3" s="44"/>
      <c r="STR3" s="44"/>
      <c r="STS3" s="44"/>
      <c r="STT3" s="44"/>
      <c r="STU3" s="44"/>
      <c r="STV3" s="44"/>
      <c r="STW3" s="44"/>
      <c r="STX3" s="44"/>
      <c r="STY3" s="44"/>
      <c r="STZ3" s="44"/>
      <c r="SUA3" s="44"/>
      <c r="SUB3" s="44"/>
      <c r="SUC3" s="44"/>
      <c r="SUD3" s="44"/>
      <c r="SUE3" s="44"/>
      <c r="SUF3" s="44"/>
      <c r="SUG3" s="44"/>
      <c r="SUH3" s="44"/>
      <c r="SUI3" s="44"/>
      <c r="SUJ3" s="44"/>
      <c r="SUK3" s="44"/>
      <c r="SUL3" s="44"/>
      <c r="SUM3" s="44"/>
      <c r="SUN3" s="44"/>
      <c r="SUO3" s="44"/>
      <c r="SUP3" s="44"/>
      <c r="SUQ3" s="44"/>
      <c r="SUR3" s="44"/>
      <c r="SUS3" s="44"/>
      <c r="SUT3" s="44"/>
      <c r="SUU3" s="44"/>
      <c r="SUV3" s="44"/>
      <c r="SUW3" s="44"/>
      <c r="SUX3" s="44"/>
      <c r="SUY3" s="44"/>
      <c r="SUZ3" s="44"/>
      <c r="SVA3" s="44"/>
      <c r="SVB3" s="44"/>
      <c r="SVC3" s="44"/>
      <c r="SVD3" s="44"/>
      <c r="SVE3" s="44"/>
      <c r="SVF3" s="44"/>
      <c r="SVG3" s="44"/>
      <c r="SVH3" s="44"/>
      <c r="SVI3" s="44"/>
      <c r="SVJ3" s="44"/>
      <c r="SVK3" s="44"/>
      <c r="SVL3" s="44"/>
      <c r="SVM3" s="44"/>
      <c r="SVN3" s="44"/>
      <c r="SVO3" s="44"/>
      <c r="SVP3" s="44"/>
      <c r="SVQ3" s="44"/>
      <c r="SVR3" s="44"/>
      <c r="SVS3" s="44"/>
      <c r="SVT3" s="44"/>
      <c r="SVU3" s="44"/>
      <c r="SVV3" s="44"/>
      <c r="SVW3" s="44"/>
      <c r="SVX3" s="44"/>
      <c r="SVY3" s="44"/>
      <c r="SVZ3" s="44"/>
      <c r="SWA3" s="44"/>
      <c r="SWB3" s="44"/>
      <c r="SWC3" s="44"/>
      <c r="SWD3" s="44"/>
      <c r="SWE3" s="44"/>
      <c r="SWF3" s="44"/>
      <c r="SWG3" s="44"/>
      <c r="SWH3" s="44"/>
      <c r="SWI3" s="44"/>
      <c r="SWJ3" s="44"/>
      <c r="SWK3" s="44"/>
      <c r="SWL3" s="44"/>
      <c r="SWM3" s="44"/>
      <c r="SWN3" s="44"/>
      <c r="SWO3" s="44"/>
      <c r="SWP3" s="44"/>
      <c r="SWQ3" s="44"/>
      <c r="SWR3" s="44"/>
      <c r="SWS3" s="44"/>
      <c r="SWT3" s="44"/>
      <c r="SWU3" s="44"/>
      <c r="SWV3" s="44"/>
      <c r="SWW3" s="44"/>
      <c r="SWX3" s="44"/>
      <c r="SWY3" s="44"/>
      <c r="SWZ3" s="44"/>
      <c r="SXA3" s="44"/>
      <c r="SXB3" s="44"/>
      <c r="SXC3" s="44"/>
      <c r="SXD3" s="44"/>
      <c r="SXE3" s="44"/>
      <c r="SXF3" s="44"/>
      <c r="SXG3" s="44"/>
      <c r="SXH3" s="44"/>
      <c r="SXI3" s="44"/>
      <c r="SXJ3" s="44"/>
      <c r="SXK3" s="44"/>
      <c r="SXL3" s="44"/>
      <c r="SXM3" s="44"/>
      <c r="SXN3" s="44"/>
      <c r="SXO3" s="44"/>
      <c r="SXP3" s="44"/>
      <c r="SXQ3" s="44"/>
      <c r="SXR3" s="44"/>
      <c r="SXS3" s="44"/>
      <c r="SXT3" s="44"/>
      <c r="SXU3" s="44"/>
      <c r="SXV3" s="44"/>
      <c r="SXW3" s="44"/>
      <c r="SXX3" s="44"/>
      <c r="SXY3" s="44"/>
      <c r="SXZ3" s="44"/>
      <c r="SYA3" s="44"/>
      <c r="SYB3" s="44"/>
      <c r="SYC3" s="44"/>
      <c r="SYD3" s="44"/>
      <c r="SYE3" s="44"/>
      <c r="SYF3" s="44"/>
      <c r="SYG3" s="44"/>
      <c r="SYH3" s="44"/>
      <c r="SYI3" s="44"/>
      <c r="SYJ3" s="44"/>
      <c r="SYK3" s="44"/>
      <c r="SYL3" s="44"/>
      <c r="SYM3" s="44"/>
      <c r="SYN3" s="44"/>
      <c r="SYO3" s="44"/>
      <c r="SYP3" s="44"/>
      <c r="SYQ3" s="44"/>
      <c r="SYR3" s="44"/>
      <c r="SYS3" s="44"/>
      <c r="SYT3" s="44"/>
      <c r="SYU3" s="44"/>
      <c r="SYV3" s="44"/>
      <c r="SYW3" s="44"/>
      <c r="SYX3" s="44"/>
      <c r="SYY3" s="44"/>
      <c r="SYZ3" s="44"/>
      <c r="SZA3" s="44"/>
      <c r="SZB3" s="44"/>
      <c r="SZC3" s="44"/>
      <c r="SZD3" s="44"/>
      <c r="SZE3" s="44"/>
      <c r="SZF3" s="44"/>
      <c r="SZG3" s="44"/>
      <c r="SZH3" s="44"/>
      <c r="SZI3" s="44"/>
      <c r="SZJ3" s="44"/>
      <c r="SZK3" s="44"/>
      <c r="SZL3" s="44"/>
      <c r="SZM3" s="44"/>
      <c r="SZN3" s="44"/>
      <c r="SZO3" s="44"/>
      <c r="SZP3" s="44"/>
      <c r="SZQ3" s="44"/>
      <c r="SZR3" s="44"/>
      <c r="SZS3" s="44"/>
      <c r="SZT3" s="44"/>
      <c r="SZU3" s="44"/>
      <c r="SZV3" s="44"/>
      <c r="SZW3" s="44"/>
      <c r="SZX3" s="44"/>
      <c r="SZY3" s="44"/>
      <c r="SZZ3" s="44"/>
      <c r="TAA3" s="44"/>
      <c r="TAB3" s="44"/>
      <c r="TAC3" s="44"/>
      <c r="TAD3" s="44"/>
      <c r="TAE3" s="44"/>
      <c r="TAF3" s="44"/>
      <c r="TAG3" s="44"/>
      <c r="TAH3" s="44"/>
      <c r="TAI3" s="44"/>
      <c r="TAJ3" s="44"/>
      <c r="TAK3" s="44"/>
      <c r="TAL3" s="44"/>
      <c r="TAM3" s="44"/>
      <c r="TAN3" s="44"/>
      <c r="TAO3" s="44"/>
      <c r="TAP3" s="44"/>
      <c r="TAQ3" s="44"/>
      <c r="TAR3" s="44"/>
      <c r="TAS3" s="44"/>
      <c r="TAT3" s="44"/>
      <c r="TAU3" s="44"/>
      <c r="TAV3" s="44"/>
      <c r="TAW3" s="44"/>
      <c r="TAX3" s="44"/>
      <c r="TAY3" s="44"/>
      <c r="TAZ3" s="44"/>
      <c r="TBA3" s="44"/>
      <c r="TBB3" s="44"/>
      <c r="TBC3" s="44"/>
      <c r="TBD3" s="44"/>
      <c r="TBE3" s="44"/>
      <c r="TBF3" s="44"/>
      <c r="TBG3" s="44"/>
      <c r="TBH3" s="44"/>
      <c r="TBI3" s="44"/>
      <c r="TBJ3" s="44"/>
      <c r="TBK3" s="44"/>
      <c r="TBL3" s="44"/>
      <c r="TBM3" s="44"/>
      <c r="TBN3" s="44"/>
      <c r="TBO3" s="44"/>
      <c r="TBP3" s="44"/>
      <c r="TBQ3" s="44"/>
      <c r="TBR3" s="44"/>
      <c r="TBS3" s="44"/>
      <c r="TBT3" s="44"/>
      <c r="TBU3" s="44"/>
      <c r="TBV3" s="44"/>
      <c r="TBW3" s="44"/>
      <c r="TBX3" s="44"/>
      <c r="TBY3" s="44"/>
      <c r="TBZ3" s="44"/>
      <c r="TCA3" s="44"/>
      <c r="TCB3" s="44"/>
      <c r="TCC3" s="44"/>
      <c r="TCD3" s="44"/>
      <c r="TCE3" s="44"/>
      <c r="TCF3" s="44"/>
      <c r="TCG3" s="44"/>
      <c r="TCH3" s="44"/>
      <c r="TCI3" s="44"/>
      <c r="TCJ3" s="44"/>
      <c r="TCK3" s="44"/>
      <c r="TCL3" s="44"/>
      <c r="TCM3" s="44"/>
      <c r="TCN3" s="44"/>
      <c r="TCO3" s="44"/>
      <c r="TCP3" s="44"/>
      <c r="TCQ3" s="44"/>
      <c r="TCR3" s="44"/>
      <c r="TCS3" s="44"/>
      <c r="TCT3" s="44"/>
      <c r="TCU3" s="44"/>
      <c r="TCV3" s="44"/>
      <c r="TCW3" s="44"/>
      <c r="TCX3" s="44"/>
      <c r="TCY3" s="44"/>
      <c r="TCZ3" s="44"/>
      <c r="TDA3" s="44"/>
      <c r="TDB3" s="44"/>
      <c r="TDC3" s="44"/>
      <c r="TDD3" s="44"/>
      <c r="TDE3" s="44"/>
      <c r="TDF3" s="44"/>
      <c r="TDG3" s="44"/>
      <c r="TDH3" s="44"/>
      <c r="TDI3" s="44"/>
      <c r="TDJ3" s="44"/>
      <c r="TDK3" s="44"/>
      <c r="TDL3" s="44"/>
      <c r="TDM3" s="44"/>
      <c r="TDN3" s="44"/>
      <c r="TDO3" s="44"/>
      <c r="TDP3" s="44"/>
      <c r="TDQ3" s="44"/>
      <c r="TDR3" s="44"/>
      <c r="TDS3" s="44"/>
      <c r="TDT3" s="44"/>
      <c r="TDU3" s="44"/>
      <c r="TDV3" s="44"/>
      <c r="TDW3" s="44"/>
      <c r="TDX3" s="44"/>
      <c r="TDY3" s="44"/>
      <c r="TDZ3" s="44"/>
      <c r="TEA3" s="44"/>
      <c r="TEB3" s="44"/>
      <c r="TEC3" s="44"/>
      <c r="TED3" s="44"/>
      <c r="TEE3" s="44"/>
      <c r="TEF3" s="44"/>
      <c r="TEG3" s="44"/>
      <c r="TEH3" s="44"/>
      <c r="TEI3" s="44"/>
      <c r="TEJ3" s="44"/>
      <c r="TEK3" s="44"/>
      <c r="TEL3" s="44"/>
      <c r="TEM3" s="44"/>
      <c r="TEN3" s="44"/>
      <c r="TEO3" s="44"/>
      <c r="TEP3" s="44"/>
      <c r="TEQ3" s="44"/>
      <c r="TER3" s="44"/>
      <c r="TES3" s="44"/>
      <c r="TET3" s="44"/>
      <c r="TEU3" s="44"/>
      <c r="TEV3" s="44"/>
      <c r="TEW3" s="44"/>
      <c r="TEX3" s="44"/>
      <c r="TEY3" s="44"/>
      <c r="TEZ3" s="44"/>
      <c r="TFA3" s="44"/>
      <c r="TFB3" s="44"/>
      <c r="TFC3" s="44"/>
      <c r="TFD3" s="44"/>
      <c r="TFE3" s="44"/>
      <c r="TFF3" s="44"/>
      <c r="TFG3" s="44"/>
      <c r="TFH3" s="44"/>
      <c r="TFI3" s="44"/>
      <c r="TFJ3" s="44"/>
      <c r="TFK3" s="44"/>
      <c r="TFL3" s="44"/>
      <c r="TFM3" s="44"/>
      <c r="TFN3" s="44"/>
      <c r="TFO3" s="44"/>
      <c r="TFP3" s="44"/>
      <c r="TFQ3" s="44"/>
      <c r="TFR3" s="44"/>
      <c r="TFS3" s="44"/>
      <c r="TFT3" s="44"/>
      <c r="TFU3" s="44"/>
      <c r="TFV3" s="44"/>
      <c r="TFW3" s="44"/>
      <c r="TFX3" s="44"/>
      <c r="TFY3" s="44"/>
      <c r="TFZ3" s="44"/>
      <c r="TGA3" s="44"/>
      <c r="TGB3" s="44"/>
      <c r="TGC3" s="44"/>
      <c r="TGD3" s="44"/>
      <c r="TGE3" s="44"/>
      <c r="TGF3" s="44"/>
      <c r="TGG3" s="44"/>
      <c r="TGH3" s="44"/>
      <c r="TGI3" s="44"/>
      <c r="TGJ3" s="44"/>
      <c r="TGK3" s="44"/>
      <c r="TGL3" s="44"/>
      <c r="TGM3" s="44"/>
      <c r="TGN3" s="44"/>
      <c r="TGO3" s="44"/>
      <c r="TGP3" s="44"/>
      <c r="TGQ3" s="44"/>
      <c r="TGR3" s="44"/>
      <c r="TGS3" s="44"/>
      <c r="TGT3" s="44"/>
      <c r="TGU3" s="44"/>
      <c r="TGV3" s="44"/>
      <c r="TGW3" s="44"/>
      <c r="TGX3" s="44"/>
      <c r="TGY3" s="44"/>
      <c r="TGZ3" s="44"/>
      <c r="THA3" s="44"/>
      <c r="THB3" s="44"/>
      <c r="THC3" s="44"/>
      <c r="THD3" s="44"/>
      <c r="THE3" s="44"/>
      <c r="THF3" s="44"/>
      <c r="THG3" s="44"/>
      <c r="THH3" s="44"/>
      <c r="THI3" s="44"/>
      <c r="THJ3" s="44"/>
      <c r="THK3" s="44"/>
      <c r="THL3" s="44"/>
      <c r="THM3" s="44"/>
      <c r="THN3" s="44"/>
      <c r="THO3" s="44"/>
      <c r="THP3" s="44"/>
      <c r="THQ3" s="44"/>
      <c r="THR3" s="44"/>
      <c r="THS3" s="44"/>
      <c r="THT3" s="44"/>
      <c r="THU3" s="44"/>
      <c r="THV3" s="44"/>
      <c r="THW3" s="44"/>
      <c r="THX3" s="44"/>
      <c r="THY3" s="44"/>
      <c r="THZ3" s="44"/>
      <c r="TIA3" s="44"/>
      <c r="TIB3" s="44"/>
      <c r="TIC3" s="44"/>
      <c r="TID3" s="44"/>
      <c r="TIE3" s="44"/>
      <c r="TIF3" s="44"/>
      <c r="TIG3" s="44"/>
      <c r="TIH3" s="44"/>
      <c r="TII3" s="44"/>
      <c r="TIJ3" s="44"/>
      <c r="TIK3" s="44"/>
      <c r="TIL3" s="44"/>
      <c r="TIM3" s="44"/>
      <c r="TIN3" s="44"/>
      <c r="TIO3" s="44"/>
      <c r="TIP3" s="44"/>
      <c r="TIQ3" s="44"/>
      <c r="TIR3" s="44"/>
      <c r="TIS3" s="44"/>
      <c r="TIT3" s="44"/>
      <c r="TIU3" s="44"/>
      <c r="TIV3" s="44"/>
      <c r="TIW3" s="44"/>
      <c r="TIX3" s="44"/>
      <c r="TIY3" s="44"/>
      <c r="TIZ3" s="44"/>
      <c r="TJA3" s="44"/>
      <c r="TJB3" s="44"/>
      <c r="TJC3" s="44"/>
      <c r="TJD3" s="44"/>
      <c r="TJE3" s="44"/>
      <c r="TJF3" s="44"/>
      <c r="TJG3" s="44"/>
      <c r="TJH3" s="44"/>
      <c r="TJI3" s="44"/>
      <c r="TJJ3" s="44"/>
      <c r="TJK3" s="44"/>
      <c r="TJL3" s="44"/>
      <c r="TJM3" s="44"/>
      <c r="TJN3" s="44"/>
      <c r="TJO3" s="44"/>
      <c r="TJP3" s="44"/>
      <c r="TJQ3" s="44"/>
      <c r="TJR3" s="44"/>
      <c r="TJS3" s="44"/>
      <c r="TJT3" s="44"/>
      <c r="TJU3" s="44"/>
      <c r="TJV3" s="44"/>
      <c r="TJW3" s="44"/>
      <c r="TJX3" s="44"/>
      <c r="TJY3" s="44"/>
      <c r="TJZ3" s="44"/>
      <c r="TKA3" s="44"/>
      <c r="TKB3" s="44"/>
      <c r="TKC3" s="44"/>
      <c r="TKD3" s="44"/>
      <c r="TKE3" s="44"/>
      <c r="TKF3" s="44"/>
      <c r="TKG3" s="44"/>
      <c r="TKH3" s="44"/>
      <c r="TKI3" s="44"/>
      <c r="TKJ3" s="44"/>
      <c r="TKK3" s="44"/>
      <c r="TKL3" s="44"/>
      <c r="TKM3" s="44"/>
      <c r="TKN3" s="44"/>
      <c r="TKO3" s="44"/>
      <c r="TKP3" s="44"/>
      <c r="TKQ3" s="44"/>
      <c r="TKR3" s="44"/>
      <c r="TKS3" s="44"/>
      <c r="TKT3" s="44"/>
      <c r="TKU3" s="44"/>
      <c r="TKV3" s="44"/>
      <c r="TKW3" s="44"/>
      <c r="TKX3" s="44"/>
      <c r="TKY3" s="44"/>
      <c r="TKZ3" s="44"/>
      <c r="TLA3" s="44"/>
      <c r="TLB3" s="44"/>
      <c r="TLC3" s="44"/>
      <c r="TLD3" s="44"/>
      <c r="TLE3" s="44"/>
      <c r="TLF3" s="44"/>
      <c r="TLG3" s="44"/>
      <c r="TLH3" s="44"/>
      <c r="TLI3" s="44"/>
      <c r="TLJ3" s="44"/>
      <c r="TLK3" s="44"/>
      <c r="TLL3" s="44"/>
      <c r="TLM3" s="44"/>
      <c r="TLN3" s="44"/>
      <c r="TLO3" s="44"/>
      <c r="TLP3" s="44"/>
      <c r="TLQ3" s="44"/>
      <c r="TLR3" s="44"/>
      <c r="TLS3" s="44"/>
      <c r="TLT3" s="44"/>
      <c r="TLU3" s="44"/>
      <c r="TLV3" s="44"/>
      <c r="TLW3" s="44"/>
      <c r="TLX3" s="44"/>
      <c r="TLY3" s="44"/>
      <c r="TLZ3" s="44"/>
      <c r="TMA3" s="44"/>
      <c r="TMB3" s="44"/>
      <c r="TMC3" s="44"/>
      <c r="TMD3" s="44"/>
      <c r="TME3" s="44"/>
      <c r="TMF3" s="44"/>
      <c r="TMG3" s="44"/>
      <c r="TMH3" s="44"/>
      <c r="TMI3" s="44"/>
      <c r="TMJ3" s="44"/>
      <c r="TMK3" s="44"/>
      <c r="TML3" s="44"/>
      <c r="TMM3" s="44"/>
      <c r="TMN3" s="44"/>
      <c r="TMO3" s="44"/>
      <c r="TMP3" s="44"/>
      <c r="TMQ3" s="44"/>
      <c r="TMR3" s="44"/>
      <c r="TMS3" s="44"/>
      <c r="TMT3" s="44"/>
      <c r="TMU3" s="44"/>
      <c r="TMV3" s="44"/>
      <c r="TMW3" s="44"/>
      <c r="TMX3" s="44"/>
      <c r="TMY3" s="44"/>
      <c r="TMZ3" s="44"/>
      <c r="TNA3" s="44"/>
      <c r="TNB3" s="44"/>
      <c r="TNC3" s="44"/>
      <c r="TND3" s="44"/>
      <c r="TNE3" s="44"/>
      <c r="TNF3" s="44"/>
      <c r="TNG3" s="44"/>
      <c r="TNH3" s="44"/>
      <c r="TNI3" s="44"/>
      <c r="TNJ3" s="44"/>
      <c r="TNK3" s="44"/>
      <c r="TNL3" s="44"/>
      <c r="TNM3" s="44"/>
      <c r="TNN3" s="44"/>
      <c r="TNO3" s="44"/>
      <c r="TNP3" s="44"/>
      <c r="TNQ3" s="44"/>
      <c r="TNR3" s="44"/>
      <c r="TNS3" s="44"/>
      <c r="TNT3" s="44"/>
      <c r="TNU3" s="44"/>
      <c r="TNV3" s="44"/>
      <c r="TNW3" s="44"/>
      <c r="TNX3" s="44"/>
      <c r="TNY3" s="44"/>
      <c r="TNZ3" s="44"/>
      <c r="TOA3" s="44"/>
      <c r="TOB3" s="44"/>
      <c r="TOC3" s="44"/>
      <c r="TOD3" s="44"/>
      <c r="TOE3" s="44"/>
      <c r="TOF3" s="44"/>
      <c r="TOG3" s="44"/>
      <c r="TOH3" s="44"/>
      <c r="TOI3" s="44"/>
      <c r="TOJ3" s="44"/>
      <c r="TOK3" s="44"/>
      <c r="TOL3" s="44"/>
      <c r="TOM3" s="44"/>
      <c r="TON3" s="44"/>
      <c r="TOO3" s="44"/>
      <c r="TOP3" s="44"/>
      <c r="TOQ3" s="44"/>
      <c r="TOR3" s="44"/>
      <c r="TOS3" s="44"/>
      <c r="TOT3" s="44"/>
      <c r="TOU3" s="44"/>
      <c r="TOV3" s="44"/>
      <c r="TOW3" s="44"/>
      <c r="TOX3" s="44"/>
      <c r="TOY3" s="44"/>
      <c r="TOZ3" s="44"/>
      <c r="TPA3" s="44"/>
      <c r="TPB3" s="44"/>
      <c r="TPC3" s="44"/>
      <c r="TPD3" s="44"/>
      <c r="TPE3" s="44"/>
      <c r="TPF3" s="44"/>
      <c r="TPG3" s="44"/>
      <c r="TPH3" s="44"/>
      <c r="TPI3" s="44"/>
      <c r="TPJ3" s="44"/>
      <c r="TPK3" s="44"/>
      <c r="TPL3" s="44"/>
      <c r="TPM3" s="44"/>
      <c r="TPN3" s="44"/>
      <c r="TPO3" s="44"/>
      <c r="TPP3" s="44"/>
      <c r="TPQ3" s="44"/>
      <c r="TPR3" s="44"/>
      <c r="TPS3" s="44"/>
      <c r="TPT3" s="44"/>
      <c r="TPU3" s="44"/>
      <c r="TPV3" s="44"/>
      <c r="TPW3" s="44"/>
      <c r="TPX3" s="44"/>
      <c r="TPY3" s="44"/>
      <c r="TPZ3" s="44"/>
      <c r="TQA3" s="44"/>
      <c r="TQB3" s="44"/>
      <c r="TQC3" s="44"/>
      <c r="TQD3" s="44"/>
      <c r="TQE3" s="44"/>
      <c r="TQF3" s="44"/>
      <c r="TQG3" s="44"/>
      <c r="TQH3" s="44"/>
      <c r="TQI3" s="44"/>
      <c r="TQJ3" s="44"/>
      <c r="TQK3" s="44"/>
      <c r="TQL3" s="44"/>
      <c r="TQM3" s="44"/>
      <c r="TQN3" s="44"/>
      <c r="TQO3" s="44"/>
      <c r="TQP3" s="44"/>
      <c r="TQQ3" s="44"/>
      <c r="TQR3" s="44"/>
      <c r="TQS3" s="44"/>
      <c r="TQT3" s="44"/>
      <c r="TQU3" s="44"/>
      <c r="TQV3" s="44"/>
      <c r="TQW3" s="44"/>
      <c r="TQX3" s="44"/>
      <c r="TQY3" s="44"/>
      <c r="TQZ3" s="44"/>
      <c r="TRA3" s="44"/>
      <c r="TRB3" s="44"/>
      <c r="TRC3" s="44"/>
      <c r="TRD3" s="44"/>
      <c r="TRE3" s="44"/>
      <c r="TRF3" s="44"/>
      <c r="TRG3" s="44"/>
      <c r="TRH3" s="44"/>
      <c r="TRI3" s="44"/>
      <c r="TRJ3" s="44"/>
      <c r="TRK3" s="44"/>
      <c r="TRL3" s="44"/>
      <c r="TRM3" s="44"/>
      <c r="TRN3" s="44"/>
      <c r="TRO3" s="44"/>
      <c r="TRP3" s="44"/>
      <c r="TRQ3" s="44"/>
      <c r="TRR3" s="44"/>
      <c r="TRS3" s="44"/>
      <c r="TRT3" s="44"/>
      <c r="TRU3" s="44"/>
      <c r="TRV3" s="44"/>
      <c r="TRW3" s="44"/>
      <c r="TRX3" s="44"/>
      <c r="TRY3" s="44"/>
      <c r="TRZ3" s="44"/>
      <c r="TSA3" s="44"/>
      <c r="TSB3" s="44"/>
      <c r="TSC3" s="44"/>
      <c r="TSD3" s="44"/>
      <c r="TSE3" s="44"/>
      <c r="TSF3" s="44"/>
      <c r="TSG3" s="44"/>
      <c r="TSH3" s="44"/>
      <c r="TSI3" s="44"/>
      <c r="TSJ3" s="44"/>
      <c r="TSK3" s="44"/>
      <c r="TSL3" s="44"/>
      <c r="TSM3" s="44"/>
      <c r="TSN3" s="44"/>
      <c r="TSO3" s="44"/>
      <c r="TSP3" s="44"/>
      <c r="TSQ3" s="44"/>
      <c r="TSR3" s="44"/>
      <c r="TSS3" s="44"/>
      <c r="TST3" s="44"/>
      <c r="TSU3" s="44"/>
      <c r="TSV3" s="44"/>
      <c r="TSW3" s="44"/>
      <c r="TSX3" s="44"/>
      <c r="TSY3" s="44"/>
      <c r="TSZ3" s="44"/>
      <c r="TTA3" s="44"/>
      <c r="TTB3" s="44"/>
      <c r="TTC3" s="44"/>
      <c r="TTD3" s="44"/>
      <c r="TTE3" s="44"/>
      <c r="TTF3" s="44"/>
      <c r="TTG3" s="44"/>
      <c r="TTH3" s="44"/>
      <c r="TTI3" s="44"/>
      <c r="TTJ3" s="44"/>
      <c r="TTK3" s="44"/>
      <c r="TTL3" s="44"/>
      <c r="TTM3" s="44"/>
      <c r="TTN3" s="44"/>
      <c r="TTO3" s="44"/>
      <c r="TTP3" s="44"/>
      <c r="TTQ3" s="44"/>
      <c r="TTR3" s="44"/>
      <c r="TTS3" s="44"/>
      <c r="TTT3" s="44"/>
      <c r="TTU3" s="44"/>
      <c r="TTV3" s="44"/>
      <c r="TTW3" s="44"/>
      <c r="TTX3" s="44"/>
      <c r="TTY3" s="44"/>
      <c r="TTZ3" s="44"/>
      <c r="TUA3" s="44"/>
      <c r="TUB3" s="44"/>
      <c r="TUC3" s="44"/>
      <c r="TUD3" s="44"/>
      <c r="TUE3" s="44"/>
      <c r="TUF3" s="44"/>
      <c r="TUG3" s="44"/>
      <c r="TUH3" s="44"/>
      <c r="TUI3" s="44"/>
      <c r="TUJ3" s="44"/>
      <c r="TUK3" s="44"/>
      <c r="TUL3" s="44"/>
      <c r="TUM3" s="44"/>
      <c r="TUN3" s="44"/>
      <c r="TUO3" s="44"/>
      <c r="TUP3" s="44"/>
      <c r="TUQ3" s="44"/>
      <c r="TUR3" s="44"/>
      <c r="TUS3" s="44"/>
      <c r="TUT3" s="44"/>
      <c r="TUU3" s="44"/>
      <c r="TUV3" s="44"/>
      <c r="TUW3" s="44"/>
      <c r="TUX3" s="44"/>
      <c r="TUY3" s="44"/>
      <c r="TUZ3" s="44"/>
      <c r="TVA3" s="44"/>
      <c r="TVB3" s="44"/>
      <c r="TVC3" s="44"/>
      <c r="TVD3" s="44"/>
      <c r="TVE3" s="44"/>
      <c r="TVF3" s="44"/>
      <c r="TVG3" s="44"/>
      <c r="TVH3" s="44"/>
      <c r="TVI3" s="44"/>
      <c r="TVJ3" s="44"/>
      <c r="TVK3" s="44"/>
      <c r="TVL3" s="44"/>
      <c r="TVM3" s="44"/>
      <c r="TVN3" s="44"/>
      <c r="TVO3" s="44"/>
      <c r="TVP3" s="44"/>
      <c r="TVQ3" s="44"/>
      <c r="TVR3" s="44"/>
      <c r="TVS3" s="44"/>
      <c r="TVT3" s="44"/>
      <c r="TVU3" s="44"/>
      <c r="TVV3" s="44"/>
      <c r="TVW3" s="44"/>
      <c r="TVX3" s="44"/>
      <c r="TVY3" s="44"/>
      <c r="TVZ3" s="44"/>
      <c r="TWA3" s="44"/>
      <c r="TWB3" s="44"/>
      <c r="TWC3" s="44"/>
      <c r="TWD3" s="44"/>
      <c r="TWE3" s="44"/>
      <c r="TWF3" s="44"/>
      <c r="TWG3" s="44"/>
      <c r="TWH3" s="44"/>
      <c r="TWI3" s="44"/>
      <c r="TWJ3" s="44"/>
      <c r="TWK3" s="44"/>
      <c r="TWL3" s="44"/>
      <c r="TWM3" s="44"/>
      <c r="TWN3" s="44"/>
      <c r="TWO3" s="44"/>
      <c r="TWP3" s="44"/>
      <c r="TWQ3" s="44"/>
      <c r="TWR3" s="44"/>
      <c r="TWS3" s="44"/>
      <c r="TWT3" s="44"/>
      <c r="TWU3" s="44"/>
      <c r="TWV3" s="44"/>
      <c r="TWW3" s="44"/>
      <c r="TWX3" s="44"/>
      <c r="TWY3" s="44"/>
      <c r="TWZ3" s="44"/>
      <c r="TXA3" s="44"/>
      <c r="TXB3" s="44"/>
      <c r="TXC3" s="44"/>
      <c r="TXD3" s="44"/>
      <c r="TXE3" s="44"/>
      <c r="TXF3" s="44"/>
      <c r="TXG3" s="44"/>
      <c r="TXH3" s="44"/>
      <c r="TXI3" s="44"/>
      <c r="TXJ3" s="44"/>
      <c r="TXK3" s="44"/>
      <c r="TXL3" s="44"/>
      <c r="TXM3" s="44"/>
      <c r="TXN3" s="44"/>
      <c r="TXO3" s="44"/>
      <c r="TXP3" s="44"/>
      <c r="TXQ3" s="44"/>
      <c r="TXR3" s="44"/>
      <c r="TXS3" s="44"/>
      <c r="TXT3" s="44"/>
      <c r="TXU3" s="44"/>
      <c r="TXV3" s="44"/>
      <c r="TXW3" s="44"/>
      <c r="TXX3" s="44"/>
      <c r="TXY3" s="44"/>
      <c r="TXZ3" s="44"/>
      <c r="TYA3" s="44"/>
      <c r="TYB3" s="44"/>
      <c r="TYC3" s="44"/>
      <c r="TYD3" s="44"/>
      <c r="TYE3" s="44"/>
      <c r="TYF3" s="44"/>
      <c r="TYG3" s="44"/>
      <c r="TYH3" s="44"/>
      <c r="TYI3" s="44"/>
      <c r="TYJ3" s="44"/>
      <c r="TYK3" s="44"/>
      <c r="TYL3" s="44"/>
      <c r="TYM3" s="44"/>
      <c r="TYN3" s="44"/>
      <c r="TYO3" s="44"/>
      <c r="TYP3" s="44"/>
      <c r="TYQ3" s="44"/>
      <c r="TYR3" s="44"/>
      <c r="TYS3" s="44"/>
      <c r="TYT3" s="44"/>
      <c r="TYU3" s="44"/>
      <c r="TYV3" s="44"/>
      <c r="TYW3" s="44"/>
      <c r="TYX3" s="44"/>
      <c r="TYY3" s="44"/>
      <c r="TYZ3" s="44"/>
      <c r="TZA3" s="44"/>
      <c r="TZB3" s="44"/>
      <c r="TZC3" s="44"/>
      <c r="TZD3" s="44"/>
      <c r="TZE3" s="44"/>
      <c r="TZF3" s="44"/>
      <c r="TZG3" s="44"/>
      <c r="TZH3" s="44"/>
      <c r="TZI3" s="44"/>
      <c r="TZJ3" s="44"/>
      <c r="TZK3" s="44"/>
      <c r="TZL3" s="44"/>
      <c r="TZM3" s="44"/>
      <c r="TZN3" s="44"/>
      <c r="TZO3" s="44"/>
      <c r="TZP3" s="44"/>
      <c r="TZQ3" s="44"/>
      <c r="TZR3" s="44"/>
      <c r="TZS3" s="44"/>
      <c r="TZT3" s="44"/>
      <c r="TZU3" s="44"/>
      <c r="TZV3" s="44"/>
      <c r="TZW3" s="44"/>
      <c r="TZX3" s="44"/>
      <c r="TZY3" s="44"/>
      <c r="TZZ3" s="44"/>
      <c r="UAA3" s="44"/>
      <c r="UAB3" s="44"/>
      <c r="UAC3" s="44"/>
      <c r="UAD3" s="44"/>
      <c r="UAE3" s="44"/>
      <c r="UAF3" s="44"/>
      <c r="UAG3" s="44"/>
      <c r="UAH3" s="44"/>
      <c r="UAI3" s="44"/>
      <c r="UAJ3" s="44"/>
      <c r="UAK3" s="44"/>
      <c r="UAL3" s="44"/>
      <c r="UAM3" s="44"/>
      <c r="UAN3" s="44"/>
      <c r="UAO3" s="44"/>
      <c r="UAP3" s="44"/>
      <c r="UAQ3" s="44"/>
      <c r="UAR3" s="44"/>
      <c r="UAS3" s="44"/>
      <c r="UAT3" s="44"/>
      <c r="UAU3" s="44"/>
      <c r="UAV3" s="44"/>
      <c r="UAW3" s="44"/>
      <c r="UAX3" s="44"/>
      <c r="UAY3" s="44"/>
      <c r="UAZ3" s="44"/>
      <c r="UBA3" s="44"/>
      <c r="UBB3" s="44"/>
      <c r="UBC3" s="44"/>
      <c r="UBD3" s="44"/>
      <c r="UBE3" s="44"/>
      <c r="UBF3" s="44"/>
      <c r="UBG3" s="44"/>
      <c r="UBH3" s="44"/>
      <c r="UBI3" s="44"/>
      <c r="UBJ3" s="44"/>
      <c r="UBK3" s="44"/>
      <c r="UBL3" s="44"/>
      <c r="UBM3" s="44"/>
      <c r="UBN3" s="44"/>
      <c r="UBO3" s="44"/>
      <c r="UBP3" s="44"/>
      <c r="UBQ3" s="44"/>
      <c r="UBR3" s="44"/>
      <c r="UBS3" s="44"/>
      <c r="UBT3" s="44"/>
      <c r="UBU3" s="44"/>
      <c r="UBV3" s="44"/>
      <c r="UBW3" s="44"/>
      <c r="UBX3" s="44"/>
      <c r="UBY3" s="44"/>
      <c r="UBZ3" s="44"/>
      <c r="UCA3" s="44"/>
      <c r="UCB3" s="44"/>
      <c r="UCC3" s="44"/>
      <c r="UCD3" s="44"/>
      <c r="UCE3" s="44"/>
      <c r="UCF3" s="44"/>
      <c r="UCG3" s="44"/>
      <c r="UCH3" s="44"/>
      <c r="UCI3" s="44"/>
      <c r="UCJ3" s="44"/>
      <c r="UCK3" s="44"/>
      <c r="UCL3" s="44"/>
      <c r="UCM3" s="44"/>
      <c r="UCN3" s="44"/>
      <c r="UCO3" s="44"/>
      <c r="UCP3" s="44"/>
      <c r="UCQ3" s="44"/>
      <c r="UCR3" s="44"/>
      <c r="UCS3" s="44"/>
      <c r="UCT3" s="44"/>
      <c r="UCU3" s="44"/>
      <c r="UCV3" s="44"/>
      <c r="UCW3" s="44"/>
      <c r="UCX3" s="44"/>
      <c r="UCY3" s="44"/>
      <c r="UCZ3" s="44"/>
      <c r="UDA3" s="44"/>
      <c r="UDB3" s="44"/>
      <c r="UDC3" s="44"/>
      <c r="UDD3" s="44"/>
      <c r="UDE3" s="44"/>
      <c r="UDF3" s="44"/>
      <c r="UDG3" s="44"/>
      <c r="UDH3" s="44"/>
      <c r="UDI3" s="44"/>
      <c r="UDJ3" s="44"/>
      <c r="UDK3" s="44"/>
      <c r="UDL3" s="44"/>
      <c r="UDM3" s="44"/>
      <c r="UDN3" s="44"/>
      <c r="UDO3" s="44"/>
      <c r="UDP3" s="44"/>
      <c r="UDQ3" s="44"/>
      <c r="UDR3" s="44"/>
      <c r="UDS3" s="44"/>
      <c r="UDT3" s="44"/>
      <c r="UDU3" s="44"/>
      <c r="UDV3" s="44"/>
      <c r="UDW3" s="44"/>
      <c r="UDX3" s="44"/>
      <c r="UDY3" s="44"/>
      <c r="UDZ3" s="44"/>
      <c r="UEA3" s="44"/>
      <c r="UEB3" s="44"/>
      <c r="UEC3" s="44"/>
      <c r="UED3" s="44"/>
      <c r="UEE3" s="44"/>
      <c r="UEF3" s="44"/>
      <c r="UEG3" s="44"/>
      <c r="UEH3" s="44"/>
      <c r="UEI3" s="44"/>
      <c r="UEJ3" s="44"/>
      <c r="UEK3" s="44"/>
      <c r="UEL3" s="44"/>
      <c r="UEM3" s="44"/>
      <c r="UEN3" s="44"/>
      <c r="UEO3" s="44"/>
      <c r="UEP3" s="44"/>
      <c r="UEQ3" s="44"/>
      <c r="UER3" s="44"/>
      <c r="UES3" s="44"/>
      <c r="UET3" s="44"/>
      <c r="UEU3" s="44"/>
      <c r="UEV3" s="44"/>
      <c r="UEW3" s="44"/>
      <c r="UEX3" s="44"/>
      <c r="UEY3" s="44"/>
      <c r="UEZ3" s="44"/>
      <c r="UFA3" s="44"/>
      <c r="UFB3" s="44"/>
      <c r="UFC3" s="44"/>
      <c r="UFD3" s="44"/>
      <c r="UFE3" s="44"/>
      <c r="UFF3" s="44"/>
      <c r="UFG3" s="44"/>
      <c r="UFH3" s="44"/>
      <c r="UFI3" s="44"/>
      <c r="UFJ3" s="44"/>
      <c r="UFK3" s="44"/>
      <c r="UFL3" s="44"/>
      <c r="UFM3" s="44"/>
      <c r="UFN3" s="44"/>
      <c r="UFO3" s="44"/>
      <c r="UFP3" s="44"/>
      <c r="UFQ3" s="44"/>
      <c r="UFR3" s="44"/>
      <c r="UFS3" s="44"/>
      <c r="UFT3" s="44"/>
      <c r="UFU3" s="44"/>
      <c r="UFV3" s="44"/>
      <c r="UFW3" s="44"/>
      <c r="UFX3" s="44"/>
      <c r="UFY3" s="44"/>
      <c r="UFZ3" s="44"/>
      <c r="UGA3" s="44"/>
      <c r="UGB3" s="44"/>
      <c r="UGC3" s="44"/>
      <c r="UGD3" s="44"/>
      <c r="UGE3" s="44"/>
      <c r="UGF3" s="44"/>
      <c r="UGG3" s="44"/>
      <c r="UGH3" s="44"/>
      <c r="UGI3" s="44"/>
      <c r="UGJ3" s="44"/>
      <c r="UGK3" s="44"/>
      <c r="UGL3" s="44"/>
      <c r="UGM3" s="44"/>
      <c r="UGN3" s="44"/>
      <c r="UGO3" s="44"/>
      <c r="UGP3" s="44"/>
      <c r="UGQ3" s="44"/>
      <c r="UGR3" s="44"/>
      <c r="UGS3" s="44"/>
      <c r="UGT3" s="44"/>
      <c r="UGU3" s="44"/>
      <c r="UGV3" s="44"/>
      <c r="UGW3" s="44"/>
      <c r="UGX3" s="44"/>
      <c r="UGY3" s="44"/>
      <c r="UGZ3" s="44"/>
      <c r="UHA3" s="44"/>
      <c r="UHB3" s="44"/>
      <c r="UHC3" s="44"/>
      <c r="UHD3" s="44"/>
      <c r="UHE3" s="44"/>
      <c r="UHF3" s="44"/>
      <c r="UHG3" s="44"/>
      <c r="UHH3" s="44"/>
      <c r="UHI3" s="44"/>
      <c r="UHJ3" s="44"/>
      <c r="UHK3" s="44"/>
      <c r="UHL3" s="44"/>
      <c r="UHM3" s="44"/>
      <c r="UHN3" s="44"/>
      <c r="UHO3" s="44"/>
      <c r="UHP3" s="44"/>
      <c r="UHQ3" s="44"/>
      <c r="UHR3" s="44"/>
      <c r="UHS3" s="44"/>
      <c r="UHT3" s="44"/>
      <c r="UHU3" s="44"/>
      <c r="UHV3" s="44"/>
      <c r="UHW3" s="44"/>
      <c r="UHX3" s="44"/>
      <c r="UHY3" s="44"/>
      <c r="UHZ3" s="44"/>
      <c r="UIA3" s="44"/>
      <c r="UIB3" s="44"/>
      <c r="UIC3" s="44"/>
      <c r="UID3" s="44"/>
      <c r="UIE3" s="44"/>
      <c r="UIF3" s="44"/>
      <c r="UIG3" s="44"/>
      <c r="UIH3" s="44"/>
      <c r="UII3" s="44"/>
      <c r="UIJ3" s="44"/>
      <c r="UIK3" s="44"/>
      <c r="UIL3" s="44"/>
      <c r="UIM3" s="44"/>
      <c r="UIN3" s="44"/>
      <c r="UIO3" s="44"/>
      <c r="UIP3" s="44"/>
      <c r="UIQ3" s="44"/>
      <c r="UIR3" s="44"/>
      <c r="UIS3" s="44"/>
      <c r="UIT3" s="44"/>
      <c r="UIU3" s="44"/>
      <c r="UIV3" s="44"/>
      <c r="UIW3" s="44"/>
      <c r="UIX3" s="44"/>
      <c r="UIY3" s="44"/>
      <c r="UIZ3" s="44"/>
      <c r="UJA3" s="44"/>
      <c r="UJB3" s="44"/>
      <c r="UJC3" s="44"/>
      <c r="UJD3" s="44"/>
      <c r="UJE3" s="44"/>
      <c r="UJF3" s="44"/>
      <c r="UJG3" s="44"/>
      <c r="UJH3" s="44"/>
      <c r="UJI3" s="44"/>
      <c r="UJJ3" s="44"/>
      <c r="UJK3" s="44"/>
      <c r="UJL3" s="44"/>
      <c r="UJM3" s="44"/>
      <c r="UJN3" s="44"/>
      <c r="UJO3" s="44"/>
      <c r="UJP3" s="44"/>
      <c r="UJQ3" s="44"/>
      <c r="UJR3" s="44"/>
      <c r="UJS3" s="44"/>
      <c r="UJT3" s="44"/>
      <c r="UJU3" s="44"/>
      <c r="UJV3" s="44"/>
      <c r="UJW3" s="44"/>
      <c r="UJX3" s="44"/>
      <c r="UJY3" s="44"/>
      <c r="UJZ3" s="44"/>
      <c r="UKA3" s="44"/>
      <c r="UKB3" s="44"/>
      <c r="UKC3" s="44"/>
      <c r="UKD3" s="44"/>
      <c r="UKE3" s="44"/>
      <c r="UKF3" s="44"/>
      <c r="UKG3" s="44"/>
      <c r="UKH3" s="44"/>
      <c r="UKI3" s="44"/>
      <c r="UKJ3" s="44"/>
      <c r="UKK3" s="44"/>
      <c r="UKL3" s="44"/>
      <c r="UKM3" s="44"/>
      <c r="UKN3" s="44"/>
      <c r="UKO3" s="44"/>
      <c r="UKP3" s="44"/>
      <c r="UKQ3" s="44"/>
      <c r="UKR3" s="44"/>
      <c r="UKS3" s="44"/>
      <c r="UKT3" s="44"/>
      <c r="UKU3" s="44"/>
      <c r="UKV3" s="44"/>
      <c r="UKW3" s="44"/>
      <c r="UKX3" s="44"/>
      <c r="UKY3" s="44"/>
      <c r="UKZ3" s="44"/>
      <c r="ULA3" s="44"/>
      <c r="ULB3" s="44"/>
      <c r="ULC3" s="44"/>
      <c r="ULD3" s="44"/>
      <c r="ULE3" s="44"/>
      <c r="ULF3" s="44"/>
      <c r="ULG3" s="44"/>
      <c r="ULH3" s="44"/>
      <c r="ULI3" s="44"/>
      <c r="ULJ3" s="44"/>
      <c r="ULK3" s="44"/>
      <c r="ULL3" s="44"/>
      <c r="ULM3" s="44"/>
      <c r="ULN3" s="44"/>
      <c r="ULO3" s="44"/>
      <c r="ULP3" s="44"/>
      <c r="ULQ3" s="44"/>
      <c r="ULR3" s="44"/>
      <c r="ULS3" s="44"/>
      <c r="ULT3" s="44"/>
      <c r="ULU3" s="44"/>
      <c r="ULV3" s="44"/>
      <c r="ULW3" s="44"/>
      <c r="ULX3" s="44"/>
      <c r="ULY3" s="44"/>
      <c r="ULZ3" s="44"/>
      <c r="UMA3" s="44"/>
      <c r="UMB3" s="44"/>
      <c r="UMC3" s="44"/>
      <c r="UMD3" s="44"/>
      <c r="UME3" s="44"/>
      <c r="UMF3" s="44"/>
      <c r="UMG3" s="44"/>
      <c r="UMH3" s="44"/>
      <c r="UMI3" s="44"/>
      <c r="UMJ3" s="44"/>
      <c r="UMK3" s="44"/>
      <c r="UML3" s="44"/>
      <c r="UMM3" s="44"/>
      <c r="UMN3" s="44"/>
      <c r="UMO3" s="44"/>
      <c r="UMP3" s="44"/>
      <c r="UMQ3" s="44"/>
      <c r="UMR3" s="44"/>
      <c r="UMS3" s="44"/>
      <c r="UMT3" s="44"/>
      <c r="UMU3" s="44"/>
      <c r="UMV3" s="44"/>
      <c r="UMW3" s="44"/>
      <c r="UMX3" s="44"/>
      <c r="UMY3" s="44"/>
      <c r="UMZ3" s="44"/>
      <c r="UNA3" s="44"/>
      <c r="UNB3" s="44"/>
      <c r="UNC3" s="44"/>
      <c r="UND3" s="44"/>
      <c r="UNE3" s="44"/>
      <c r="UNF3" s="44"/>
      <c r="UNG3" s="44"/>
      <c r="UNH3" s="44"/>
      <c r="UNI3" s="44"/>
      <c r="UNJ3" s="44"/>
      <c r="UNK3" s="44"/>
      <c r="UNL3" s="44"/>
      <c r="UNM3" s="44"/>
      <c r="UNN3" s="44"/>
      <c r="UNO3" s="44"/>
      <c r="UNP3" s="44"/>
      <c r="UNQ3" s="44"/>
      <c r="UNR3" s="44"/>
      <c r="UNS3" s="44"/>
      <c r="UNT3" s="44"/>
      <c r="UNU3" s="44"/>
      <c r="UNV3" s="44"/>
      <c r="UNW3" s="44"/>
      <c r="UNX3" s="44"/>
      <c r="UNY3" s="44"/>
      <c r="UNZ3" s="44"/>
      <c r="UOA3" s="44"/>
      <c r="UOB3" s="44"/>
      <c r="UOC3" s="44"/>
      <c r="UOD3" s="44"/>
      <c r="UOE3" s="44"/>
      <c r="UOF3" s="44"/>
      <c r="UOG3" s="44"/>
      <c r="UOH3" s="44"/>
      <c r="UOI3" s="44"/>
      <c r="UOJ3" s="44"/>
      <c r="UOK3" s="44"/>
      <c r="UOL3" s="44"/>
      <c r="UOM3" s="44"/>
      <c r="UON3" s="44"/>
      <c r="UOO3" s="44"/>
      <c r="UOP3" s="44"/>
      <c r="UOQ3" s="44"/>
      <c r="UOR3" s="44"/>
      <c r="UOS3" s="44"/>
      <c r="UOT3" s="44"/>
      <c r="UOU3" s="44"/>
      <c r="UOV3" s="44"/>
      <c r="UOW3" s="44"/>
      <c r="UOX3" s="44"/>
      <c r="UOY3" s="44"/>
      <c r="UOZ3" s="44"/>
      <c r="UPA3" s="44"/>
      <c r="UPB3" s="44"/>
      <c r="UPC3" s="44"/>
      <c r="UPD3" s="44"/>
      <c r="UPE3" s="44"/>
      <c r="UPF3" s="44"/>
      <c r="UPG3" s="44"/>
      <c r="UPH3" s="44"/>
      <c r="UPI3" s="44"/>
      <c r="UPJ3" s="44"/>
      <c r="UPK3" s="44"/>
      <c r="UPL3" s="44"/>
      <c r="UPM3" s="44"/>
      <c r="UPN3" s="44"/>
      <c r="UPO3" s="44"/>
      <c r="UPP3" s="44"/>
      <c r="UPQ3" s="44"/>
      <c r="UPR3" s="44"/>
      <c r="UPS3" s="44"/>
      <c r="UPT3" s="44"/>
      <c r="UPU3" s="44"/>
      <c r="UPV3" s="44"/>
      <c r="UPW3" s="44"/>
      <c r="UPX3" s="44"/>
      <c r="UPY3" s="44"/>
      <c r="UPZ3" s="44"/>
      <c r="UQA3" s="44"/>
      <c r="UQB3" s="44"/>
      <c r="UQC3" s="44"/>
      <c r="UQD3" s="44"/>
      <c r="UQE3" s="44"/>
      <c r="UQF3" s="44"/>
      <c r="UQG3" s="44"/>
      <c r="UQH3" s="44"/>
      <c r="UQI3" s="44"/>
      <c r="UQJ3" s="44"/>
      <c r="UQK3" s="44"/>
      <c r="UQL3" s="44"/>
      <c r="UQM3" s="44"/>
      <c r="UQN3" s="44"/>
      <c r="UQO3" s="44"/>
      <c r="UQP3" s="44"/>
      <c r="UQQ3" s="44"/>
      <c r="UQR3" s="44"/>
      <c r="UQS3" s="44"/>
      <c r="UQT3" s="44"/>
      <c r="UQU3" s="44"/>
      <c r="UQV3" s="44"/>
      <c r="UQW3" s="44"/>
      <c r="UQX3" s="44"/>
      <c r="UQY3" s="44"/>
      <c r="UQZ3" s="44"/>
      <c r="URA3" s="44"/>
      <c r="URB3" s="44"/>
      <c r="URC3" s="44"/>
      <c r="URD3" s="44"/>
      <c r="URE3" s="44"/>
      <c r="URF3" s="44"/>
      <c r="URG3" s="44"/>
      <c r="URH3" s="44"/>
      <c r="URI3" s="44"/>
      <c r="URJ3" s="44"/>
      <c r="URK3" s="44"/>
      <c r="URL3" s="44"/>
      <c r="URM3" s="44"/>
      <c r="URN3" s="44"/>
      <c r="URO3" s="44"/>
      <c r="URP3" s="44"/>
      <c r="URQ3" s="44"/>
      <c r="URR3" s="44"/>
      <c r="URS3" s="44"/>
      <c r="URT3" s="44"/>
      <c r="URU3" s="44"/>
      <c r="URV3" s="44"/>
      <c r="URW3" s="44"/>
      <c r="URX3" s="44"/>
      <c r="URY3" s="44"/>
      <c r="URZ3" s="44"/>
      <c r="USA3" s="44"/>
      <c r="USB3" s="44"/>
      <c r="USC3" s="44"/>
      <c r="USD3" s="44"/>
      <c r="USE3" s="44"/>
      <c r="USF3" s="44"/>
      <c r="USG3" s="44"/>
      <c r="USH3" s="44"/>
      <c r="USI3" s="44"/>
      <c r="USJ3" s="44"/>
      <c r="USK3" s="44"/>
      <c r="USL3" s="44"/>
      <c r="USM3" s="44"/>
      <c r="USN3" s="44"/>
      <c r="USO3" s="44"/>
      <c r="USP3" s="44"/>
      <c r="USQ3" s="44"/>
      <c r="USR3" s="44"/>
      <c r="USS3" s="44"/>
      <c r="UST3" s="44"/>
      <c r="USU3" s="44"/>
      <c r="USV3" s="44"/>
      <c r="USW3" s="44"/>
      <c r="USX3" s="44"/>
      <c r="USY3" s="44"/>
      <c r="USZ3" s="44"/>
      <c r="UTA3" s="44"/>
      <c r="UTB3" s="44"/>
      <c r="UTC3" s="44"/>
      <c r="UTD3" s="44"/>
      <c r="UTE3" s="44"/>
      <c r="UTF3" s="44"/>
      <c r="UTG3" s="44"/>
      <c r="UTH3" s="44"/>
      <c r="UTI3" s="44"/>
      <c r="UTJ3" s="44"/>
      <c r="UTK3" s="44"/>
      <c r="UTL3" s="44"/>
      <c r="UTM3" s="44"/>
      <c r="UTN3" s="44"/>
      <c r="UTO3" s="44"/>
      <c r="UTP3" s="44"/>
      <c r="UTQ3" s="44"/>
      <c r="UTR3" s="44"/>
      <c r="UTS3" s="44"/>
      <c r="UTT3" s="44"/>
      <c r="UTU3" s="44"/>
      <c r="UTV3" s="44"/>
      <c r="UTW3" s="44"/>
      <c r="UTX3" s="44"/>
      <c r="UTY3" s="44"/>
      <c r="UTZ3" s="44"/>
      <c r="UUA3" s="44"/>
      <c r="UUB3" s="44"/>
      <c r="UUC3" s="44"/>
      <c r="UUD3" s="44"/>
      <c r="UUE3" s="44"/>
      <c r="UUF3" s="44"/>
      <c r="UUG3" s="44"/>
      <c r="UUH3" s="44"/>
      <c r="UUI3" s="44"/>
      <c r="UUJ3" s="44"/>
      <c r="UUK3" s="44"/>
      <c r="UUL3" s="44"/>
      <c r="UUM3" s="44"/>
      <c r="UUN3" s="44"/>
      <c r="UUO3" s="44"/>
      <c r="UUP3" s="44"/>
      <c r="UUQ3" s="44"/>
      <c r="UUR3" s="44"/>
      <c r="UUS3" s="44"/>
      <c r="UUT3" s="44"/>
      <c r="UUU3" s="44"/>
      <c r="UUV3" s="44"/>
      <c r="UUW3" s="44"/>
      <c r="UUX3" s="44"/>
      <c r="UUY3" s="44"/>
      <c r="UUZ3" s="44"/>
      <c r="UVA3" s="44"/>
      <c r="UVB3" s="44"/>
      <c r="UVC3" s="44"/>
      <c r="UVD3" s="44"/>
      <c r="UVE3" s="44"/>
      <c r="UVF3" s="44"/>
      <c r="UVG3" s="44"/>
      <c r="UVH3" s="44"/>
      <c r="UVI3" s="44"/>
      <c r="UVJ3" s="44"/>
      <c r="UVK3" s="44"/>
      <c r="UVL3" s="44"/>
      <c r="UVM3" s="44"/>
      <c r="UVN3" s="44"/>
      <c r="UVO3" s="44"/>
      <c r="UVP3" s="44"/>
      <c r="UVQ3" s="44"/>
      <c r="UVR3" s="44"/>
      <c r="UVS3" s="44"/>
      <c r="UVT3" s="44"/>
      <c r="UVU3" s="44"/>
      <c r="UVV3" s="44"/>
      <c r="UVW3" s="44"/>
      <c r="UVX3" s="44"/>
      <c r="UVY3" s="44"/>
      <c r="UVZ3" s="44"/>
      <c r="UWA3" s="44"/>
      <c r="UWB3" s="44"/>
      <c r="UWC3" s="44"/>
      <c r="UWD3" s="44"/>
      <c r="UWE3" s="44"/>
      <c r="UWF3" s="44"/>
      <c r="UWG3" s="44"/>
      <c r="UWH3" s="44"/>
      <c r="UWI3" s="44"/>
      <c r="UWJ3" s="44"/>
      <c r="UWK3" s="44"/>
      <c r="UWL3" s="44"/>
      <c r="UWM3" s="44"/>
      <c r="UWN3" s="44"/>
      <c r="UWO3" s="44"/>
      <c r="UWP3" s="44"/>
      <c r="UWQ3" s="44"/>
      <c r="UWR3" s="44"/>
      <c r="UWS3" s="44"/>
      <c r="UWT3" s="44"/>
      <c r="UWU3" s="44"/>
      <c r="UWV3" s="44"/>
      <c r="UWW3" s="44"/>
      <c r="UWX3" s="44"/>
      <c r="UWY3" s="44"/>
      <c r="UWZ3" s="44"/>
      <c r="UXA3" s="44"/>
      <c r="UXB3" s="44"/>
      <c r="UXC3" s="44"/>
      <c r="UXD3" s="44"/>
      <c r="UXE3" s="44"/>
      <c r="UXF3" s="44"/>
      <c r="UXG3" s="44"/>
      <c r="UXH3" s="44"/>
      <c r="UXI3" s="44"/>
      <c r="UXJ3" s="44"/>
      <c r="UXK3" s="44"/>
      <c r="UXL3" s="44"/>
      <c r="UXM3" s="44"/>
      <c r="UXN3" s="44"/>
      <c r="UXO3" s="44"/>
      <c r="UXP3" s="44"/>
      <c r="UXQ3" s="44"/>
      <c r="UXR3" s="44"/>
      <c r="UXS3" s="44"/>
      <c r="UXT3" s="44"/>
      <c r="UXU3" s="44"/>
      <c r="UXV3" s="44"/>
      <c r="UXW3" s="44"/>
      <c r="UXX3" s="44"/>
      <c r="UXY3" s="44"/>
      <c r="UXZ3" s="44"/>
      <c r="UYA3" s="44"/>
      <c r="UYB3" s="44"/>
      <c r="UYC3" s="44"/>
      <c r="UYD3" s="44"/>
      <c r="UYE3" s="44"/>
      <c r="UYF3" s="44"/>
      <c r="UYG3" s="44"/>
      <c r="UYH3" s="44"/>
      <c r="UYI3" s="44"/>
      <c r="UYJ3" s="44"/>
      <c r="UYK3" s="44"/>
      <c r="UYL3" s="44"/>
      <c r="UYM3" s="44"/>
      <c r="UYN3" s="44"/>
      <c r="UYO3" s="44"/>
      <c r="UYP3" s="44"/>
      <c r="UYQ3" s="44"/>
      <c r="UYR3" s="44"/>
      <c r="UYS3" s="44"/>
      <c r="UYT3" s="44"/>
      <c r="UYU3" s="44"/>
      <c r="UYV3" s="44"/>
      <c r="UYW3" s="44"/>
      <c r="UYX3" s="44"/>
      <c r="UYY3" s="44"/>
      <c r="UYZ3" s="44"/>
      <c r="UZA3" s="44"/>
      <c r="UZB3" s="44"/>
      <c r="UZC3" s="44"/>
      <c r="UZD3" s="44"/>
      <c r="UZE3" s="44"/>
      <c r="UZF3" s="44"/>
      <c r="UZG3" s="44"/>
      <c r="UZH3" s="44"/>
      <c r="UZI3" s="44"/>
      <c r="UZJ3" s="44"/>
      <c r="UZK3" s="44"/>
      <c r="UZL3" s="44"/>
      <c r="UZM3" s="44"/>
      <c r="UZN3" s="44"/>
      <c r="UZO3" s="44"/>
      <c r="UZP3" s="44"/>
      <c r="UZQ3" s="44"/>
      <c r="UZR3" s="44"/>
      <c r="UZS3" s="44"/>
      <c r="UZT3" s="44"/>
      <c r="UZU3" s="44"/>
      <c r="UZV3" s="44"/>
      <c r="UZW3" s="44"/>
      <c r="UZX3" s="44"/>
      <c r="UZY3" s="44"/>
      <c r="UZZ3" s="44"/>
      <c r="VAA3" s="44"/>
      <c r="VAB3" s="44"/>
      <c r="VAC3" s="44"/>
      <c r="VAD3" s="44"/>
      <c r="VAE3" s="44"/>
      <c r="VAF3" s="44"/>
      <c r="VAG3" s="44"/>
      <c r="VAH3" s="44"/>
      <c r="VAI3" s="44"/>
      <c r="VAJ3" s="44"/>
      <c r="VAK3" s="44"/>
      <c r="VAL3" s="44"/>
      <c r="VAM3" s="44"/>
      <c r="VAN3" s="44"/>
      <c r="VAO3" s="44"/>
      <c r="VAP3" s="44"/>
      <c r="VAQ3" s="44"/>
      <c r="VAR3" s="44"/>
      <c r="VAS3" s="44"/>
      <c r="VAT3" s="44"/>
      <c r="VAU3" s="44"/>
      <c r="VAV3" s="44"/>
      <c r="VAW3" s="44"/>
      <c r="VAX3" s="44"/>
      <c r="VAY3" s="44"/>
      <c r="VAZ3" s="44"/>
      <c r="VBA3" s="44"/>
      <c r="VBB3" s="44"/>
      <c r="VBC3" s="44"/>
      <c r="VBD3" s="44"/>
      <c r="VBE3" s="44"/>
      <c r="VBF3" s="44"/>
      <c r="VBG3" s="44"/>
      <c r="VBH3" s="44"/>
      <c r="VBI3" s="44"/>
      <c r="VBJ3" s="44"/>
      <c r="VBK3" s="44"/>
      <c r="VBL3" s="44"/>
      <c r="VBM3" s="44"/>
      <c r="VBN3" s="44"/>
      <c r="VBO3" s="44"/>
      <c r="VBP3" s="44"/>
      <c r="VBQ3" s="44"/>
      <c r="VBR3" s="44"/>
      <c r="VBS3" s="44"/>
      <c r="VBT3" s="44"/>
      <c r="VBU3" s="44"/>
      <c r="VBV3" s="44"/>
      <c r="VBW3" s="44"/>
      <c r="VBX3" s="44"/>
      <c r="VBY3" s="44"/>
      <c r="VBZ3" s="44"/>
      <c r="VCA3" s="44"/>
      <c r="VCB3" s="44"/>
      <c r="VCC3" s="44"/>
      <c r="VCD3" s="44"/>
      <c r="VCE3" s="44"/>
      <c r="VCF3" s="44"/>
      <c r="VCG3" s="44"/>
      <c r="VCH3" s="44"/>
      <c r="VCI3" s="44"/>
      <c r="VCJ3" s="44"/>
      <c r="VCK3" s="44"/>
      <c r="VCL3" s="44"/>
      <c r="VCM3" s="44"/>
      <c r="VCN3" s="44"/>
      <c r="VCO3" s="44"/>
      <c r="VCP3" s="44"/>
      <c r="VCQ3" s="44"/>
      <c r="VCR3" s="44"/>
      <c r="VCS3" s="44"/>
      <c r="VCT3" s="44"/>
      <c r="VCU3" s="44"/>
      <c r="VCV3" s="44"/>
      <c r="VCW3" s="44"/>
      <c r="VCX3" s="44"/>
      <c r="VCY3" s="44"/>
      <c r="VCZ3" s="44"/>
      <c r="VDA3" s="44"/>
      <c r="VDB3" s="44"/>
      <c r="VDC3" s="44"/>
      <c r="VDD3" s="44"/>
      <c r="VDE3" s="44"/>
      <c r="VDF3" s="44"/>
      <c r="VDG3" s="44"/>
      <c r="VDH3" s="44"/>
      <c r="VDI3" s="44"/>
      <c r="VDJ3" s="44"/>
      <c r="VDK3" s="44"/>
      <c r="VDL3" s="44"/>
      <c r="VDM3" s="44"/>
      <c r="VDN3" s="44"/>
      <c r="VDO3" s="44"/>
      <c r="VDP3" s="44"/>
      <c r="VDQ3" s="44"/>
      <c r="VDR3" s="44"/>
      <c r="VDS3" s="44"/>
      <c r="VDT3" s="44"/>
      <c r="VDU3" s="44"/>
      <c r="VDV3" s="44"/>
      <c r="VDW3" s="44"/>
      <c r="VDX3" s="44"/>
      <c r="VDY3" s="44"/>
      <c r="VDZ3" s="44"/>
      <c r="VEA3" s="44"/>
      <c r="VEB3" s="44"/>
      <c r="VEC3" s="44"/>
      <c r="VED3" s="44"/>
      <c r="VEE3" s="44"/>
      <c r="VEF3" s="44"/>
      <c r="VEG3" s="44"/>
      <c r="VEH3" s="44"/>
      <c r="VEI3" s="44"/>
      <c r="VEJ3" s="44"/>
      <c r="VEK3" s="44"/>
      <c r="VEL3" s="44"/>
      <c r="VEM3" s="44"/>
      <c r="VEN3" s="44"/>
      <c r="VEO3" s="44"/>
      <c r="VEP3" s="44"/>
      <c r="VEQ3" s="44"/>
      <c r="VER3" s="44"/>
      <c r="VES3" s="44"/>
      <c r="VET3" s="44"/>
      <c r="VEU3" s="44"/>
      <c r="VEV3" s="44"/>
      <c r="VEW3" s="44"/>
      <c r="VEX3" s="44"/>
      <c r="VEY3" s="44"/>
      <c r="VEZ3" s="44"/>
      <c r="VFA3" s="44"/>
      <c r="VFB3" s="44"/>
      <c r="VFC3" s="44"/>
      <c r="VFD3" s="44"/>
      <c r="VFE3" s="44"/>
      <c r="VFF3" s="44"/>
      <c r="VFG3" s="44"/>
      <c r="VFH3" s="44"/>
      <c r="VFI3" s="44"/>
      <c r="VFJ3" s="44"/>
      <c r="VFK3" s="44"/>
      <c r="VFL3" s="44"/>
      <c r="VFM3" s="44"/>
      <c r="VFN3" s="44"/>
      <c r="VFO3" s="44"/>
      <c r="VFP3" s="44"/>
      <c r="VFQ3" s="44"/>
      <c r="VFR3" s="44"/>
      <c r="VFS3" s="44"/>
      <c r="VFT3" s="44"/>
      <c r="VFU3" s="44"/>
      <c r="VFV3" s="44"/>
      <c r="VFW3" s="44"/>
      <c r="VFX3" s="44"/>
      <c r="VFY3" s="44"/>
      <c r="VFZ3" s="44"/>
      <c r="VGA3" s="44"/>
      <c r="VGB3" s="44"/>
      <c r="VGC3" s="44"/>
      <c r="VGD3" s="44"/>
      <c r="VGE3" s="44"/>
      <c r="VGF3" s="44"/>
      <c r="VGG3" s="44"/>
      <c r="VGH3" s="44"/>
      <c r="VGI3" s="44"/>
      <c r="VGJ3" s="44"/>
      <c r="VGK3" s="44"/>
      <c r="VGL3" s="44"/>
      <c r="VGM3" s="44"/>
      <c r="VGN3" s="44"/>
      <c r="VGO3" s="44"/>
      <c r="VGP3" s="44"/>
      <c r="VGQ3" s="44"/>
      <c r="VGR3" s="44"/>
      <c r="VGS3" s="44"/>
      <c r="VGT3" s="44"/>
      <c r="VGU3" s="44"/>
      <c r="VGV3" s="44"/>
      <c r="VGW3" s="44"/>
      <c r="VGX3" s="44"/>
      <c r="VGY3" s="44"/>
      <c r="VGZ3" s="44"/>
      <c r="VHA3" s="44"/>
      <c r="VHB3" s="44"/>
      <c r="VHC3" s="44"/>
      <c r="VHD3" s="44"/>
      <c r="VHE3" s="44"/>
      <c r="VHF3" s="44"/>
      <c r="VHG3" s="44"/>
      <c r="VHH3" s="44"/>
      <c r="VHI3" s="44"/>
      <c r="VHJ3" s="44"/>
      <c r="VHK3" s="44"/>
      <c r="VHL3" s="44"/>
      <c r="VHM3" s="44"/>
      <c r="VHN3" s="44"/>
      <c r="VHO3" s="44"/>
      <c r="VHP3" s="44"/>
      <c r="VHQ3" s="44"/>
      <c r="VHR3" s="44"/>
      <c r="VHS3" s="44"/>
      <c r="VHT3" s="44"/>
      <c r="VHU3" s="44"/>
      <c r="VHV3" s="44"/>
      <c r="VHW3" s="44"/>
      <c r="VHX3" s="44"/>
      <c r="VHY3" s="44"/>
      <c r="VHZ3" s="44"/>
      <c r="VIA3" s="44"/>
      <c r="VIB3" s="44"/>
      <c r="VIC3" s="44"/>
      <c r="VID3" s="44"/>
      <c r="VIE3" s="44"/>
      <c r="VIF3" s="44"/>
      <c r="VIG3" s="44"/>
      <c r="VIH3" s="44"/>
      <c r="VII3" s="44"/>
      <c r="VIJ3" s="44"/>
      <c r="VIK3" s="44"/>
      <c r="VIL3" s="44"/>
      <c r="VIM3" s="44"/>
      <c r="VIN3" s="44"/>
      <c r="VIO3" s="44"/>
      <c r="VIP3" s="44"/>
      <c r="VIQ3" s="44"/>
      <c r="VIR3" s="44"/>
      <c r="VIS3" s="44"/>
      <c r="VIT3" s="44"/>
      <c r="VIU3" s="44"/>
      <c r="VIV3" s="44"/>
      <c r="VIW3" s="44"/>
      <c r="VIX3" s="44"/>
      <c r="VIY3" s="44"/>
      <c r="VIZ3" s="44"/>
      <c r="VJA3" s="44"/>
      <c r="VJB3" s="44"/>
      <c r="VJC3" s="44"/>
      <c r="VJD3" s="44"/>
      <c r="VJE3" s="44"/>
      <c r="VJF3" s="44"/>
      <c r="VJG3" s="44"/>
      <c r="VJH3" s="44"/>
      <c r="VJI3" s="44"/>
      <c r="VJJ3" s="44"/>
      <c r="VJK3" s="44"/>
      <c r="VJL3" s="44"/>
      <c r="VJM3" s="44"/>
      <c r="VJN3" s="44"/>
      <c r="VJO3" s="44"/>
      <c r="VJP3" s="44"/>
      <c r="VJQ3" s="44"/>
      <c r="VJR3" s="44"/>
      <c r="VJS3" s="44"/>
      <c r="VJT3" s="44"/>
      <c r="VJU3" s="44"/>
      <c r="VJV3" s="44"/>
      <c r="VJW3" s="44"/>
      <c r="VJX3" s="44"/>
      <c r="VJY3" s="44"/>
      <c r="VJZ3" s="44"/>
      <c r="VKA3" s="44"/>
      <c r="VKB3" s="44"/>
      <c r="VKC3" s="44"/>
      <c r="VKD3" s="44"/>
      <c r="VKE3" s="44"/>
      <c r="VKF3" s="44"/>
      <c r="VKG3" s="44"/>
      <c r="VKH3" s="44"/>
      <c r="VKI3" s="44"/>
      <c r="VKJ3" s="44"/>
      <c r="VKK3" s="44"/>
      <c r="VKL3" s="44"/>
      <c r="VKM3" s="44"/>
      <c r="VKN3" s="44"/>
      <c r="VKO3" s="44"/>
      <c r="VKP3" s="44"/>
      <c r="VKQ3" s="44"/>
      <c r="VKR3" s="44"/>
      <c r="VKS3" s="44"/>
      <c r="VKT3" s="44"/>
      <c r="VKU3" s="44"/>
      <c r="VKV3" s="44"/>
      <c r="VKW3" s="44"/>
      <c r="VKX3" s="44"/>
      <c r="VKY3" s="44"/>
      <c r="VKZ3" s="44"/>
      <c r="VLA3" s="44"/>
      <c r="VLB3" s="44"/>
      <c r="VLC3" s="44"/>
      <c r="VLD3" s="44"/>
      <c r="VLE3" s="44"/>
      <c r="VLF3" s="44"/>
      <c r="VLG3" s="44"/>
      <c r="VLH3" s="44"/>
      <c r="VLI3" s="44"/>
      <c r="VLJ3" s="44"/>
      <c r="VLK3" s="44"/>
      <c r="VLL3" s="44"/>
      <c r="VLM3" s="44"/>
      <c r="VLN3" s="44"/>
      <c r="VLO3" s="44"/>
      <c r="VLP3" s="44"/>
      <c r="VLQ3" s="44"/>
      <c r="VLR3" s="44"/>
      <c r="VLS3" s="44"/>
      <c r="VLT3" s="44"/>
      <c r="VLU3" s="44"/>
      <c r="VLV3" s="44"/>
      <c r="VLW3" s="44"/>
      <c r="VLX3" s="44"/>
      <c r="VLY3" s="44"/>
      <c r="VLZ3" s="44"/>
      <c r="VMA3" s="44"/>
      <c r="VMB3" s="44"/>
      <c r="VMC3" s="44"/>
      <c r="VMD3" s="44"/>
      <c r="VME3" s="44"/>
      <c r="VMF3" s="44"/>
      <c r="VMG3" s="44"/>
      <c r="VMH3" s="44"/>
      <c r="VMI3" s="44"/>
      <c r="VMJ3" s="44"/>
      <c r="VMK3" s="44"/>
      <c r="VML3" s="44"/>
      <c r="VMM3" s="44"/>
      <c r="VMN3" s="44"/>
      <c r="VMO3" s="44"/>
      <c r="VMP3" s="44"/>
      <c r="VMQ3" s="44"/>
      <c r="VMR3" s="44"/>
      <c r="VMS3" s="44"/>
      <c r="VMT3" s="44"/>
      <c r="VMU3" s="44"/>
      <c r="VMV3" s="44"/>
      <c r="VMW3" s="44"/>
      <c r="VMX3" s="44"/>
      <c r="VMY3" s="44"/>
      <c r="VMZ3" s="44"/>
      <c r="VNA3" s="44"/>
      <c r="VNB3" s="44"/>
      <c r="VNC3" s="44"/>
      <c r="VND3" s="44"/>
      <c r="VNE3" s="44"/>
      <c r="VNF3" s="44"/>
      <c r="VNG3" s="44"/>
      <c r="VNH3" s="44"/>
      <c r="VNI3" s="44"/>
      <c r="VNJ3" s="44"/>
      <c r="VNK3" s="44"/>
      <c r="VNL3" s="44"/>
      <c r="VNM3" s="44"/>
      <c r="VNN3" s="44"/>
      <c r="VNO3" s="44"/>
      <c r="VNP3" s="44"/>
      <c r="VNQ3" s="44"/>
      <c r="VNR3" s="44"/>
      <c r="VNS3" s="44"/>
      <c r="VNT3" s="44"/>
      <c r="VNU3" s="44"/>
      <c r="VNV3" s="44"/>
      <c r="VNW3" s="44"/>
      <c r="VNX3" s="44"/>
      <c r="VNY3" s="44"/>
      <c r="VNZ3" s="44"/>
      <c r="VOA3" s="44"/>
      <c r="VOB3" s="44"/>
      <c r="VOC3" s="44"/>
      <c r="VOD3" s="44"/>
      <c r="VOE3" s="44"/>
      <c r="VOF3" s="44"/>
      <c r="VOG3" s="44"/>
      <c r="VOH3" s="44"/>
      <c r="VOI3" s="44"/>
      <c r="VOJ3" s="44"/>
      <c r="VOK3" s="44"/>
      <c r="VOL3" s="44"/>
      <c r="VOM3" s="44"/>
      <c r="VON3" s="44"/>
      <c r="VOO3" s="44"/>
      <c r="VOP3" s="44"/>
      <c r="VOQ3" s="44"/>
      <c r="VOR3" s="44"/>
      <c r="VOS3" s="44"/>
      <c r="VOT3" s="44"/>
      <c r="VOU3" s="44"/>
      <c r="VOV3" s="44"/>
      <c r="VOW3" s="44"/>
      <c r="VOX3" s="44"/>
      <c r="VOY3" s="44"/>
      <c r="VOZ3" s="44"/>
      <c r="VPA3" s="44"/>
      <c r="VPB3" s="44"/>
      <c r="VPC3" s="44"/>
      <c r="VPD3" s="44"/>
      <c r="VPE3" s="44"/>
      <c r="VPF3" s="44"/>
      <c r="VPG3" s="44"/>
      <c r="VPH3" s="44"/>
      <c r="VPI3" s="44"/>
      <c r="VPJ3" s="44"/>
      <c r="VPK3" s="44"/>
      <c r="VPL3" s="44"/>
      <c r="VPM3" s="44"/>
      <c r="VPN3" s="44"/>
      <c r="VPO3" s="44"/>
      <c r="VPP3" s="44"/>
      <c r="VPQ3" s="44"/>
      <c r="VPR3" s="44"/>
      <c r="VPS3" s="44"/>
      <c r="VPT3" s="44"/>
      <c r="VPU3" s="44"/>
      <c r="VPV3" s="44"/>
      <c r="VPW3" s="44"/>
      <c r="VPX3" s="44"/>
      <c r="VPY3" s="44"/>
      <c r="VPZ3" s="44"/>
      <c r="VQA3" s="44"/>
      <c r="VQB3" s="44"/>
      <c r="VQC3" s="44"/>
      <c r="VQD3" s="44"/>
      <c r="VQE3" s="44"/>
      <c r="VQF3" s="44"/>
      <c r="VQG3" s="44"/>
      <c r="VQH3" s="44"/>
      <c r="VQI3" s="44"/>
      <c r="VQJ3" s="44"/>
      <c r="VQK3" s="44"/>
      <c r="VQL3" s="44"/>
      <c r="VQM3" s="44"/>
      <c r="VQN3" s="44"/>
      <c r="VQO3" s="44"/>
      <c r="VQP3" s="44"/>
      <c r="VQQ3" s="44"/>
      <c r="VQR3" s="44"/>
      <c r="VQS3" s="44"/>
      <c r="VQT3" s="44"/>
      <c r="VQU3" s="44"/>
      <c r="VQV3" s="44"/>
      <c r="VQW3" s="44"/>
      <c r="VQX3" s="44"/>
      <c r="VQY3" s="44"/>
      <c r="VQZ3" s="44"/>
      <c r="VRA3" s="44"/>
      <c r="VRB3" s="44"/>
      <c r="VRC3" s="44"/>
      <c r="VRD3" s="44"/>
      <c r="VRE3" s="44"/>
      <c r="VRF3" s="44"/>
      <c r="VRG3" s="44"/>
      <c r="VRH3" s="44"/>
      <c r="VRI3" s="44"/>
      <c r="VRJ3" s="44"/>
      <c r="VRK3" s="44"/>
      <c r="VRL3" s="44"/>
      <c r="VRM3" s="44"/>
      <c r="VRN3" s="44"/>
      <c r="VRO3" s="44"/>
      <c r="VRP3" s="44"/>
      <c r="VRQ3" s="44"/>
      <c r="VRR3" s="44"/>
      <c r="VRS3" s="44"/>
      <c r="VRT3" s="44"/>
      <c r="VRU3" s="44"/>
      <c r="VRV3" s="44"/>
      <c r="VRW3" s="44"/>
      <c r="VRX3" s="44"/>
      <c r="VRY3" s="44"/>
      <c r="VRZ3" s="44"/>
      <c r="VSA3" s="44"/>
      <c r="VSB3" s="44"/>
      <c r="VSC3" s="44"/>
      <c r="VSD3" s="44"/>
      <c r="VSE3" s="44"/>
      <c r="VSF3" s="44"/>
      <c r="VSG3" s="44"/>
      <c r="VSH3" s="44"/>
      <c r="VSI3" s="44"/>
      <c r="VSJ3" s="44"/>
      <c r="VSK3" s="44"/>
      <c r="VSL3" s="44"/>
      <c r="VSM3" s="44"/>
      <c r="VSN3" s="44"/>
      <c r="VSO3" s="44"/>
      <c r="VSP3" s="44"/>
      <c r="VSQ3" s="44"/>
      <c r="VSR3" s="44"/>
      <c r="VSS3" s="44"/>
      <c r="VST3" s="44"/>
      <c r="VSU3" s="44"/>
      <c r="VSV3" s="44"/>
      <c r="VSW3" s="44"/>
      <c r="VSX3" s="44"/>
      <c r="VSY3" s="44"/>
      <c r="VSZ3" s="44"/>
      <c r="VTA3" s="44"/>
      <c r="VTB3" s="44"/>
      <c r="VTC3" s="44"/>
      <c r="VTD3" s="44"/>
      <c r="VTE3" s="44"/>
      <c r="VTF3" s="44"/>
      <c r="VTG3" s="44"/>
      <c r="VTH3" s="44"/>
      <c r="VTI3" s="44"/>
      <c r="VTJ3" s="44"/>
      <c r="VTK3" s="44"/>
      <c r="VTL3" s="44"/>
      <c r="VTM3" s="44"/>
      <c r="VTN3" s="44"/>
      <c r="VTO3" s="44"/>
      <c r="VTP3" s="44"/>
      <c r="VTQ3" s="44"/>
      <c r="VTR3" s="44"/>
      <c r="VTS3" s="44"/>
      <c r="VTT3" s="44"/>
      <c r="VTU3" s="44"/>
      <c r="VTV3" s="44"/>
      <c r="VTW3" s="44"/>
      <c r="VTX3" s="44"/>
      <c r="VTY3" s="44"/>
      <c r="VTZ3" s="44"/>
      <c r="VUA3" s="44"/>
      <c r="VUB3" s="44"/>
      <c r="VUC3" s="44"/>
      <c r="VUD3" s="44"/>
      <c r="VUE3" s="44"/>
      <c r="VUF3" s="44"/>
      <c r="VUG3" s="44"/>
      <c r="VUH3" s="44"/>
      <c r="VUI3" s="44"/>
      <c r="VUJ3" s="44"/>
      <c r="VUK3" s="44"/>
      <c r="VUL3" s="44"/>
      <c r="VUM3" s="44"/>
      <c r="VUN3" s="44"/>
      <c r="VUO3" s="44"/>
      <c r="VUP3" s="44"/>
      <c r="VUQ3" s="44"/>
      <c r="VUR3" s="44"/>
      <c r="VUS3" s="44"/>
      <c r="VUT3" s="44"/>
      <c r="VUU3" s="44"/>
      <c r="VUV3" s="44"/>
      <c r="VUW3" s="44"/>
      <c r="VUX3" s="44"/>
      <c r="VUY3" s="44"/>
      <c r="VUZ3" s="44"/>
      <c r="VVA3" s="44"/>
      <c r="VVB3" s="44"/>
      <c r="VVC3" s="44"/>
      <c r="VVD3" s="44"/>
      <c r="VVE3" s="44"/>
      <c r="VVF3" s="44"/>
      <c r="VVG3" s="44"/>
      <c r="VVH3" s="44"/>
      <c r="VVI3" s="44"/>
      <c r="VVJ3" s="44"/>
      <c r="VVK3" s="44"/>
      <c r="VVL3" s="44"/>
      <c r="VVM3" s="44"/>
      <c r="VVN3" s="44"/>
      <c r="VVO3" s="44"/>
      <c r="VVP3" s="44"/>
      <c r="VVQ3" s="44"/>
      <c r="VVR3" s="44"/>
      <c r="VVS3" s="44"/>
      <c r="VVT3" s="44"/>
      <c r="VVU3" s="44"/>
      <c r="VVV3" s="44"/>
      <c r="VVW3" s="44"/>
      <c r="VVX3" s="44"/>
      <c r="VVY3" s="44"/>
      <c r="VVZ3" s="44"/>
      <c r="VWA3" s="44"/>
      <c r="VWB3" s="44"/>
      <c r="VWC3" s="44"/>
      <c r="VWD3" s="44"/>
      <c r="VWE3" s="44"/>
      <c r="VWF3" s="44"/>
      <c r="VWG3" s="44"/>
      <c r="VWH3" s="44"/>
      <c r="VWI3" s="44"/>
      <c r="VWJ3" s="44"/>
      <c r="VWK3" s="44"/>
      <c r="VWL3" s="44"/>
      <c r="VWM3" s="44"/>
      <c r="VWN3" s="44"/>
      <c r="VWO3" s="44"/>
      <c r="VWP3" s="44"/>
      <c r="VWQ3" s="44"/>
      <c r="VWR3" s="44"/>
      <c r="VWS3" s="44"/>
      <c r="VWT3" s="44"/>
      <c r="VWU3" s="44"/>
      <c r="VWV3" s="44"/>
      <c r="VWW3" s="44"/>
      <c r="VWX3" s="44"/>
      <c r="VWY3" s="44"/>
      <c r="VWZ3" s="44"/>
      <c r="VXA3" s="44"/>
      <c r="VXB3" s="44"/>
      <c r="VXC3" s="44"/>
      <c r="VXD3" s="44"/>
      <c r="VXE3" s="44"/>
      <c r="VXF3" s="44"/>
      <c r="VXG3" s="44"/>
      <c r="VXH3" s="44"/>
      <c r="VXI3" s="44"/>
      <c r="VXJ3" s="44"/>
      <c r="VXK3" s="44"/>
      <c r="VXL3" s="44"/>
      <c r="VXM3" s="44"/>
      <c r="VXN3" s="44"/>
      <c r="VXO3" s="44"/>
      <c r="VXP3" s="44"/>
      <c r="VXQ3" s="44"/>
      <c r="VXR3" s="44"/>
      <c r="VXS3" s="44"/>
      <c r="VXT3" s="44"/>
      <c r="VXU3" s="44"/>
      <c r="VXV3" s="44"/>
      <c r="VXW3" s="44"/>
      <c r="VXX3" s="44"/>
      <c r="VXY3" s="44"/>
      <c r="VXZ3" s="44"/>
      <c r="VYA3" s="44"/>
      <c r="VYB3" s="44"/>
      <c r="VYC3" s="44"/>
      <c r="VYD3" s="44"/>
      <c r="VYE3" s="44"/>
      <c r="VYF3" s="44"/>
      <c r="VYG3" s="44"/>
      <c r="VYH3" s="44"/>
      <c r="VYI3" s="44"/>
      <c r="VYJ3" s="44"/>
      <c r="VYK3" s="44"/>
      <c r="VYL3" s="44"/>
      <c r="VYM3" s="44"/>
      <c r="VYN3" s="44"/>
      <c r="VYO3" s="44"/>
      <c r="VYP3" s="44"/>
      <c r="VYQ3" s="44"/>
      <c r="VYR3" s="44"/>
      <c r="VYS3" s="44"/>
      <c r="VYT3" s="44"/>
      <c r="VYU3" s="44"/>
      <c r="VYV3" s="44"/>
      <c r="VYW3" s="44"/>
      <c r="VYX3" s="44"/>
      <c r="VYY3" s="44"/>
      <c r="VYZ3" s="44"/>
      <c r="VZA3" s="44"/>
      <c r="VZB3" s="44"/>
      <c r="VZC3" s="44"/>
      <c r="VZD3" s="44"/>
      <c r="VZE3" s="44"/>
      <c r="VZF3" s="44"/>
      <c r="VZG3" s="44"/>
      <c r="VZH3" s="44"/>
      <c r="VZI3" s="44"/>
      <c r="VZJ3" s="44"/>
      <c r="VZK3" s="44"/>
      <c r="VZL3" s="44"/>
      <c r="VZM3" s="44"/>
      <c r="VZN3" s="44"/>
      <c r="VZO3" s="44"/>
      <c r="VZP3" s="44"/>
      <c r="VZQ3" s="44"/>
      <c r="VZR3" s="44"/>
      <c r="VZS3" s="44"/>
      <c r="VZT3" s="44"/>
      <c r="VZU3" s="44"/>
      <c r="VZV3" s="44"/>
      <c r="VZW3" s="44"/>
      <c r="VZX3" s="44"/>
      <c r="VZY3" s="44"/>
      <c r="VZZ3" s="44"/>
      <c r="WAA3" s="44"/>
      <c r="WAB3" s="44"/>
      <c r="WAC3" s="44"/>
      <c r="WAD3" s="44"/>
      <c r="WAE3" s="44"/>
      <c r="WAF3" s="44"/>
      <c r="WAG3" s="44"/>
      <c r="WAH3" s="44"/>
      <c r="WAI3" s="44"/>
      <c r="WAJ3" s="44"/>
      <c r="WAK3" s="44"/>
      <c r="WAL3" s="44"/>
      <c r="WAM3" s="44"/>
      <c r="WAN3" s="44"/>
      <c r="WAO3" s="44"/>
      <c r="WAP3" s="44"/>
      <c r="WAQ3" s="44"/>
      <c r="WAR3" s="44"/>
      <c r="WAS3" s="44"/>
      <c r="WAT3" s="44"/>
      <c r="WAU3" s="44"/>
      <c r="WAV3" s="44"/>
      <c r="WAW3" s="44"/>
      <c r="WAX3" s="44"/>
      <c r="WAY3" s="44"/>
      <c r="WAZ3" s="44"/>
      <c r="WBA3" s="44"/>
      <c r="WBB3" s="44"/>
      <c r="WBC3" s="44"/>
      <c r="WBD3" s="44"/>
      <c r="WBE3" s="44"/>
      <c r="WBF3" s="44"/>
      <c r="WBG3" s="44"/>
      <c r="WBH3" s="44"/>
      <c r="WBI3" s="44"/>
      <c r="WBJ3" s="44"/>
      <c r="WBK3" s="44"/>
      <c r="WBL3" s="44"/>
      <c r="WBM3" s="44"/>
      <c r="WBN3" s="44"/>
      <c r="WBO3" s="44"/>
      <c r="WBP3" s="44"/>
      <c r="WBQ3" s="44"/>
      <c r="WBR3" s="44"/>
      <c r="WBS3" s="44"/>
      <c r="WBT3" s="44"/>
      <c r="WBU3" s="44"/>
      <c r="WBV3" s="44"/>
      <c r="WBW3" s="44"/>
      <c r="WBX3" s="44"/>
      <c r="WBY3" s="44"/>
      <c r="WBZ3" s="44"/>
      <c r="WCA3" s="44"/>
      <c r="WCB3" s="44"/>
      <c r="WCC3" s="44"/>
      <c r="WCD3" s="44"/>
      <c r="WCE3" s="44"/>
      <c r="WCF3" s="44"/>
      <c r="WCG3" s="44"/>
      <c r="WCH3" s="44"/>
      <c r="WCI3" s="44"/>
      <c r="WCJ3" s="44"/>
      <c r="WCK3" s="44"/>
      <c r="WCL3" s="44"/>
      <c r="WCM3" s="44"/>
      <c r="WCN3" s="44"/>
      <c r="WCO3" s="44"/>
      <c r="WCP3" s="44"/>
      <c r="WCQ3" s="44"/>
      <c r="WCR3" s="44"/>
      <c r="WCS3" s="44"/>
      <c r="WCT3" s="44"/>
      <c r="WCU3" s="44"/>
      <c r="WCV3" s="44"/>
      <c r="WCW3" s="44"/>
      <c r="WCX3" s="44"/>
      <c r="WCY3" s="44"/>
      <c r="WCZ3" s="44"/>
      <c r="WDA3" s="44"/>
      <c r="WDB3" s="44"/>
      <c r="WDC3" s="44"/>
      <c r="WDD3" s="44"/>
      <c r="WDE3" s="44"/>
      <c r="WDF3" s="44"/>
      <c r="WDG3" s="44"/>
      <c r="WDH3" s="44"/>
      <c r="WDI3" s="44"/>
      <c r="WDJ3" s="44"/>
      <c r="WDK3" s="44"/>
      <c r="WDL3" s="44"/>
      <c r="WDM3" s="44"/>
      <c r="WDN3" s="44"/>
      <c r="WDO3" s="44"/>
      <c r="WDP3" s="44"/>
      <c r="WDQ3" s="44"/>
      <c r="WDR3" s="44"/>
      <c r="WDS3" s="44"/>
      <c r="WDT3" s="44"/>
      <c r="WDU3" s="44"/>
      <c r="WDV3" s="44"/>
      <c r="WDW3" s="44"/>
      <c r="WDX3" s="44"/>
      <c r="WDY3" s="44"/>
      <c r="WDZ3" s="44"/>
      <c r="WEA3" s="44"/>
      <c r="WEB3" s="44"/>
      <c r="WEC3" s="44"/>
      <c r="WED3" s="44"/>
      <c r="WEE3" s="44"/>
      <c r="WEF3" s="44"/>
      <c r="WEG3" s="44"/>
      <c r="WEH3" s="44"/>
      <c r="WEI3" s="44"/>
      <c r="WEJ3" s="44"/>
      <c r="WEK3" s="44"/>
      <c r="WEL3" s="44"/>
      <c r="WEM3" s="44"/>
      <c r="WEN3" s="44"/>
      <c r="WEO3" s="44"/>
      <c r="WEP3" s="44"/>
      <c r="WEQ3" s="44"/>
      <c r="WER3" s="44"/>
      <c r="WES3" s="44"/>
      <c r="WET3" s="44"/>
      <c r="WEU3" s="44"/>
      <c r="WEV3" s="44"/>
      <c r="WEW3" s="44"/>
      <c r="WEX3" s="44"/>
      <c r="WEY3" s="44"/>
      <c r="WEZ3" s="44"/>
      <c r="WFA3" s="44"/>
      <c r="WFB3" s="44"/>
      <c r="WFC3" s="44"/>
      <c r="WFD3" s="44"/>
      <c r="WFE3" s="44"/>
      <c r="WFF3" s="44"/>
      <c r="WFG3" s="44"/>
      <c r="WFH3" s="44"/>
      <c r="WFI3" s="44"/>
      <c r="WFJ3" s="44"/>
      <c r="WFK3" s="44"/>
      <c r="WFL3" s="44"/>
      <c r="WFM3" s="44"/>
      <c r="WFN3" s="44"/>
      <c r="WFO3" s="44"/>
      <c r="WFP3" s="44"/>
      <c r="WFQ3" s="44"/>
      <c r="WFR3" s="44"/>
      <c r="WFS3" s="44"/>
      <c r="WFT3" s="44"/>
      <c r="WFU3" s="44"/>
      <c r="WFV3" s="44"/>
      <c r="WFW3" s="44"/>
      <c r="WFX3" s="44"/>
      <c r="WFY3" s="44"/>
      <c r="WFZ3" s="44"/>
      <c r="WGA3" s="44"/>
      <c r="WGB3" s="44"/>
      <c r="WGC3" s="44"/>
      <c r="WGD3" s="44"/>
      <c r="WGE3" s="44"/>
      <c r="WGF3" s="44"/>
      <c r="WGG3" s="44"/>
      <c r="WGH3" s="44"/>
      <c r="WGI3" s="44"/>
      <c r="WGJ3" s="44"/>
      <c r="WGK3" s="44"/>
      <c r="WGL3" s="44"/>
      <c r="WGM3" s="44"/>
      <c r="WGN3" s="44"/>
      <c r="WGO3" s="44"/>
      <c r="WGP3" s="44"/>
      <c r="WGQ3" s="44"/>
      <c r="WGR3" s="44"/>
      <c r="WGS3" s="44"/>
      <c r="WGT3" s="44"/>
      <c r="WGU3" s="44"/>
      <c r="WGV3" s="44"/>
      <c r="WGW3" s="44"/>
      <c r="WGX3" s="44"/>
      <c r="WGY3" s="44"/>
      <c r="WGZ3" s="44"/>
      <c r="WHA3" s="44"/>
      <c r="WHB3" s="44"/>
      <c r="WHC3" s="44"/>
      <c r="WHD3" s="44"/>
      <c r="WHE3" s="44"/>
      <c r="WHF3" s="44"/>
      <c r="WHG3" s="44"/>
      <c r="WHH3" s="44"/>
      <c r="WHI3" s="44"/>
      <c r="WHJ3" s="44"/>
      <c r="WHK3" s="44"/>
      <c r="WHL3" s="44"/>
      <c r="WHM3" s="44"/>
      <c r="WHN3" s="44"/>
      <c r="WHO3" s="44"/>
      <c r="WHP3" s="44"/>
      <c r="WHQ3" s="44"/>
      <c r="WHR3" s="44"/>
      <c r="WHS3" s="44"/>
      <c r="WHT3" s="44"/>
      <c r="WHU3" s="44"/>
      <c r="WHV3" s="44"/>
      <c r="WHW3" s="44"/>
      <c r="WHX3" s="44"/>
      <c r="WHY3" s="44"/>
      <c r="WHZ3" s="44"/>
      <c r="WIA3" s="44"/>
      <c r="WIB3" s="44"/>
      <c r="WIC3" s="44"/>
      <c r="WID3" s="44"/>
      <c r="WIE3" s="44"/>
      <c r="WIF3" s="44"/>
      <c r="WIG3" s="44"/>
      <c r="WIH3" s="44"/>
      <c r="WII3" s="44"/>
      <c r="WIJ3" s="44"/>
      <c r="WIK3" s="44"/>
      <c r="WIL3" s="44"/>
      <c r="WIM3" s="44"/>
      <c r="WIN3" s="44"/>
      <c r="WIO3" s="44"/>
      <c r="WIP3" s="44"/>
      <c r="WIQ3" s="44"/>
      <c r="WIR3" s="44"/>
      <c r="WIS3" s="44"/>
      <c r="WIT3" s="44"/>
      <c r="WIU3" s="44"/>
      <c r="WIV3" s="44"/>
      <c r="WIW3" s="44"/>
      <c r="WIX3" s="44"/>
      <c r="WIY3" s="44"/>
      <c r="WIZ3" s="44"/>
      <c r="WJA3" s="44"/>
      <c r="WJB3" s="44"/>
      <c r="WJC3" s="44"/>
      <c r="WJD3" s="44"/>
      <c r="WJE3" s="44"/>
      <c r="WJF3" s="44"/>
      <c r="WJG3" s="44"/>
      <c r="WJH3" s="44"/>
      <c r="WJI3" s="44"/>
      <c r="WJJ3" s="44"/>
      <c r="WJK3" s="44"/>
      <c r="WJL3" s="44"/>
      <c r="WJM3" s="44"/>
      <c r="WJN3" s="44"/>
      <c r="WJO3" s="44"/>
      <c r="WJP3" s="44"/>
      <c r="WJQ3" s="44"/>
      <c r="WJR3" s="44"/>
      <c r="WJS3" s="44"/>
      <c r="WJT3" s="44"/>
      <c r="WJU3" s="44"/>
      <c r="WJV3" s="44"/>
      <c r="WJW3" s="44"/>
      <c r="WJX3" s="44"/>
      <c r="WJY3" s="44"/>
      <c r="WJZ3" s="44"/>
      <c r="WKA3" s="44"/>
      <c r="WKB3" s="44"/>
      <c r="WKC3" s="44"/>
      <c r="WKD3" s="44"/>
      <c r="WKE3" s="44"/>
      <c r="WKF3" s="44"/>
      <c r="WKG3" s="44"/>
      <c r="WKH3" s="44"/>
      <c r="WKI3" s="44"/>
      <c r="WKJ3" s="44"/>
      <c r="WKK3" s="44"/>
      <c r="WKL3" s="44"/>
      <c r="WKM3" s="44"/>
      <c r="WKN3" s="44"/>
      <c r="WKO3" s="44"/>
      <c r="WKP3" s="44"/>
      <c r="WKQ3" s="44"/>
      <c r="WKR3" s="44"/>
      <c r="WKS3" s="44"/>
      <c r="WKT3" s="44"/>
      <c r="WKU3" s="44"/>
      <c r="WKV3" s="44"/>
      <c r="WKW3" s="44"/>
      <c r="WKX3" s="44"/>
      <c r="WKY3" s="44"/>
      <c r="WKZ3" s="44"/>
      <c r="WLA3" s="44"/>
      <c r="WLB3" s="44"/>
      <c r="WLC3" s="44"/>
      <c r="WLD3" s="44"/>
      <c r="WLE3" s="44"/>
      <c r="WLF3" s="44"/>
      <c r="WLG3" s="44"/>
      <c r="WLH3" s="44"/>
      <c r="WLI3" s="44"/>
      <c r="WLJ3" s="44"/>
      <c r="WLK3" s="44"/>
      <c r="WLL3" s="44"/>
      <c r="WLM3" s="44"/>
      <c r="WLN3" s="44"/>
      <c r="WLO3" s="44"/>
      <c r="WLP3" s="44"/>
      <c r="WLQ3" s="44"/>
      <c r="WLR3" s="44"/>
      <c r="WLS3" s="44"/>
      <c r="WLT3" s="44"/>
      <c r="WLU3" s="44"/>
      <c r="WLV3" s="44"/>
      <c r="WLW3" s="44"/>
      <c r="WLX3" s="44"/>
      <c r="WLY3" s="44"/>
      <c r="WLZ3" s="44"/>
      <c r="WMA3" s="44"/>
      <c r="WMB3" s="44"/>
      <c r="WMC3" s="44"/>
      <c r="WMD3" s="44"/>
      <c r="WME3" s="44"/>
      <c r="WMF3" s="44"/>
      <c r="WMG3" s="44"/>
      <c r="WMH3" s="44"/>
      <c r="WMI3" s="44"/>
      <c r="WMJ3" s="44"/>
      <c r="WMK3" s="44"/>
      <c r="WML3" s="44"/>
      <c r="WMM3" s="44"/>
      <c r="WMN3" s="44"/>
      <c r="WMO3" s="44"/>
      <c r="WMP3" s="44"/>
      <c r="WMQ3" s="44"/>
      <c r="WMR3" s="44"/>
      <c r="WMS3" s="44"/>
      <c r="WMT3" s="44"/>
      <c r="WMU3" s="44"/>
      <c r="WMV3" s="44"/>
      <c r="WMW3" s="44"/>
      <c r="WMX3" s="44"/>
      <c r="WMY3" s="44"/>
      <c r="WMZ3" s="44"/>
      <c r="WNA3" s="44"/>
      <c r="WNB3" s="44"/>
      <c r="WNC3" s="44"/>
      <c r="WND3" s="44"/>
      <c r="WNE3" s="44"/>
      <c r="WNF3" s="44"/>
      <c r="WNG3" s="44"/>
      <c r="WNH3" s="44"/>
      <c r="WNI3" s="44"/>
      <c r="WNJ3" s="44"/>
      <c r="WNK3" s="44"/>
      <c r="WNL3" s="44"/>
      <c r="WNM3" s="44"/>
      <c r="WNN3" s="44"/>
      <c r="WNO3" s="44"/>
      <c r="WNP3" s="44"/>
      <c r="WNQ3" s="44"/>
      <c r="WNR3" s="44"/>
      <c r="WNS3" s="44"/>
      <c r="WNT3" s="44"/>
      <c r="WNU3" s="44"/>
      <c r="WNV3" s="44"/>
      <c r="WNW3" s="44"/>
      <c r="WNX3" s="44"/>
      <c r="WNY3" s="44"/>
      <c r="WNZ3" s="44"/>
      <c r="WOA3" s="44"/>
      <c r="WOB3" s="44"/>
      <c r="WOC3" s="44"/>
      <c r="WOD3" s="44"/>
      <c r="WOE3" s="44"/>
      <c r="WOF3" s="44"/>
      <c r="WOG3" s="44"/>
      <c r="WOH3" s="44"/>
      <c r="WOI3" s="44"/>
      <c r="WOJ3" s="44"/>
      <c r="WOK3" s="44"/>
      <c r="WOL3" s="44"/>
      <c r="WOM3" s="44"/>
      <c r="WON3" s="44"/>
      <c r="WOO3" s="44"/>
      <c r="WOP3" s="44"/>
      <c r="WOQ3" s="44"/>
      <c r="WOR3" s="44"/>
      <c r="WOS3" s="44"/>
      <c r="WOT3" s="44"/>
      <c r="WOU3" s="44"/>
      <c r="WOV3" s="44"/>
      <c r="WOW3" s="44"/>
      <c r="WOX3" s="44"/>
      <c r="WOY3" s="44"/>
      <c r="WOZ3" s="44"/>
      <c r="WPA3" s="44"/>
      <c r="WPB3" s="44"/>
      <c r="WPC3" s="44"/>
      <c r="WPD3" s="44"/>
      <c r="WPE3" s="44"/>
      <c r="WPF3" s="44"/>
      <c r="WPG3" s="44"/>
      <c r="WPH3" s="44"/>
      <c r="WPI3" s="44"/>
      <c r="WPJ3" s="44"/>
      <c r="WPK3" s="44"/>
      <c r="WPL3" s="44"/>
      <c r="WPM3" s="44"/>
      <c r="WPN3" s="44"/>
      <c r="WPO3" s="44"/>
      <c r="WPP3" s="44"/>
      <c r="WPQ3" s="44"/>
      <c r="WPR3" s="44"/>
      <c r="WPS3" s="44"/>
      <c r="WPT3" s="44"/>
      <c r="WPU3" s="44"/>
      <c r="WPV3" s="44"/>
      <c r="WPW3" s="44"/>
      <c r="WPX3" s="44"/>
      <c r="WPY3" s="44"/>
      <c r="WPZ3" s="44"/>
      <c r="WQA3" s="44"/>
      <c r="WQB3" s="44"/>
      <c r="WQC3" s="44"/>
      <c r="WQD3" s="44"/>
      <c r="WQE3" s="44"/>
      <c r="WQF3" s="44"/>
      <c r="WQG3" s="44"/>
      <c r="WQH3" s="44"/>
      <c r="WQI3" s="44"/>
      <c r="WQJ3" s="44"/>
      <c r="WQK3" s="44"/>
      <c r="WQL3" s="44"/>
      <c r="WQM3" s="44"/>
      <c r="WQN3" s="44"/>
      <c r="WQO3" s="44"/>
      <c r="WQP3" s="44"/>
      <c r="WQQ3" s="44"/>
      <c r="WQR3" s="44"/>
      <c r="WQS3" s="44"/>
      <c r="WQT3" s="44"/>
      <c r="WQU3" s="44"/>
      <c r="WQV3" s="44"/>
      <c r="WQW3" s="44"/>
      <c r="WQX3" s="44"/>
      <c r="WQY3" s="44"/>
      <c r="WQZ3" s="44"/>
      <c r="WRA3" s="44"/>
      <c r="WRB3" s="44"/>
      <c r="WRC3" s="44"/>
      <c r="WRD3" s="44"/>
      <c r="WRE3" s="44"/>
      <c r="WRF3" s="44"/>
      <c r="WRG3" s="44"/>
      <c r="WRH3" s="44"/>
      <c r="WRI3" s="44"/>
      <c r="WRJ3" s="44"/>
      <c r="WRK3" s="44"/>
      <c r="WRL3" s="44"/>
      <c r="WRM3" s="44"/>
      <c r="WRN3" s="44"/>
      <c r="WRO3" s="44"/>
      <c r="WRP3" s="44"/>
      <c r="WRQ3" s="44"/>
      <c r="WRR3" s="44"/>
      <c r="WRS3" s="44"/>
      <c r="WRT3" s="44"/>
      <c r="WRU3" s="44"/>
      <c r="WRV3" s="44"/>
      <c r="WRW3" s="44"/>
      <c r="WRX3" s="44"/>
      <c r="WRY3" s="44"/>
      <c r="WRZ3" s="44"/>
      <c r="WSA3" s="44"/>
      <c r="WSB3" s="44"/>
      <c r="WSC3" s="44"/>
      <c r="WSD3" s="44"/>
      <c r="WSE3" s="44"/>
      <c r="WSF3" s="44"/>
      <c r="WSG3" s="44"/>
      <c r="WSH3" s="44"/>
      <c r="WSI3" s="44"/>
      <c r="WSJ3" s="44"/>
      <c r="WSK3" s="44"/>
      <c r="WSL3" s="44"/>
      <c r="WSM3" s="44"/>
      <c r="WSN3" s="44"/>
      <c r="WSO3" s="44"/>
      <c r="WSP3" s="44"/>
      <c r="WSQ3" s="44"/>
      <c r="WSR3" s="44"/>
      <c r="WSS3" s="44"/>
      <c r="WST3" s="44"/>
      <c r="WSU3" s="44"/>
      <c r="WSV3" s="44"/>
      <c r="WSW3" s="44"/>
      <c r="WSX3" s="44"/>
      <c r="WSY3" s="44"/>
      <c r="WSZ3" s="44"/>
      <c r="WTA3" s="44"/>
      <c r="WTB3" s="44"/>
      <c r="WTC3" s="44"/>
      <c r="WTD3" s="44"/>
      <c r="WTE3" s="44"/>
      <c r="WTF3" s="44"/>
      <c r="WTG3" s="44"/>
      <c r="WTH3" s="44"/>
      <c r="WTI3" s="44"/>
      <c r="WTJ3" s="44"/>
      <c r="WTK3" s="44"/>
      <c r="WTL3" s="44"/>
      <c r="WTM3" s="44"/>
      <c r="WTN3" s="44"/>
      <c r="WTO3" s="44"/>
      <c r="WTP3" s="44"/>
      <c r="WTQ3" s="44"/>
      <c r="WTR3" s="44"/>
      <c r="WTS3" s="44"/>
      <c r="WTT3" s="44"/>
      <c r="WTU3" s="44"/>
      <c r="WTV3" s="44"/>
      <c r="WTW3" s="44"/>
      <c r="WTX3" s="44"/>
      <c r="WTY3" s="44"/>
      <c r="WTZ3" s="44"/>
      <c r="WUA3" s="44"/>
      <c r="WUB3" s="44"/>
      <c r="WUC3" s="44"/>
      <c r="WUD3" s="44"/>
      <c r="WUE3" s="44"/>
      <c r="WUF3" s="44"/>
      <c r="WUG3" s="44"/>
      <c r="WUH3" s="44"/>
      <c r="WUI3" s="44"/>
      <c r="WUJ3" s="44"/>
      <c r="WUK3" s="44"/>
      <c r="WUL3" s="44"/>
      <c r="WUM3" s="44"/>
      <c r="WUN3" s="44"/>
      <c r="WUO3" s="44"/>
      <c r="WUP3" s="44"/>
      <c r="WUQ3" s="44"/>
      <c r="WUR3" s="44"/>
      <c r="WUS3" s="44"/>
      <c r="WUT3" s="44"/>
      <c r="WUU3" s="44"/>
      <c r="WUV3" s="44"/>
      <c r="WUW3" s="44"/>
      <c r="WUX3" s="44"/>
      <c r="WUY3" s="44"/>
      <c r="WUZ3" s="44"/>
      <c r="WVA3" s="44"/>
      <c r="WVB3" s="44"/>
      <c r="WVC3" s="44"/>
      <c r="WVD3" s="44"/>
      <c r="WVE3" s="44"/>
      <c r="WVF3" s="44"/>
      <c r="WVG3" s="44"/>
      <c r="WVH3" s="44"/>
      <c r="WVI3" s="44"/>
      <c r="WVJ3" s="44"/>
      <c r="WVK3" s="44"/>
      <c r="WVL3" s="44"/>
      <c r="WVM3" s="44"/>
      <c r="WVN3" s="44"/>
      <c r="WVO3" s="44"/>
      <c r="WVP3" s="44"/>
      <c r="WVQ3" s="44"/>
      <c r="WVR3" s="44"/>
      <c r="WVS3" s="44"/>
      <c r="WVT3" s="44"/>
      <c r="WVU3" s="44"/>
      <c r="WVV3" s="44"/>
      <c r="WVW3" s="44"/>
      <c r="WVX3" s="44"/>
      <c r="WVY3" s="44"/>
      <c r="WVZ3" s="44"/>
      <c r="WWA3" s="44"/>
      <c r="WWB3" s="44"/>
      <c r="WWC3" s="44"/>
      <c r="WWD3" s="44"/>
      <c r="WWE3" s="44"/>
      <c r="WWF3" s="44"/>
      <c r="WWG3" s="44"/>
      <c r="WWH3" s="44"/>
      <c r="WWI3" s="44"/>
      <c r="WWJ3" s="44"/>
      <c r="WWK3" s="44"/>
      <c r="WWL3" s="44"/>
      <c r="WWM3" s="44"/>
      <c r="WWN3" s="44"/>
      <c r="WWO3" s="44"/>
      <c r="WWP3" s="44"/>
      <c r="WWQ3" s="44"/>
      <c r="WWR3" s="44"/>
      <c r="WWS3" s="44"/>
      <c r="WWT3" s="44"/>
      <c r="WWU3" s="44"/>
      <c r="WWV3" s="44"/>
      <c r="WWW3" s="44"/>
      <c r="WWX3" s="44"/>
      <c r="WWY3" s="44"/>
      <c r="WWZ3" s="44"/>
      <c r="WXA3" s="44"/>
      <c r="WXB3" s="44"/>
      <c r="WXC3" s="44"/>
      <c r="WXD3" s="44"/>
      <c r="WXE3" s="44"/>
      <c r="WXF3" s="44"/>
      <c r="WXG3" s="44"/>
      <c r="WXH3" s="44"/>
      <c r="WXI3" s="44"/>
      <c r="WXJ3" s="44"/>
      <c r="WXK3" s="44"/>
      <c r="WXL3" s="44"/>
      <c r="WXM3" s="44"/>
      <c r="WXN3" s="44"/>
      <c r="WXO3" s="44"/>
      <c r="WXP3" s="44"/>
      <c r="WXQ3" s="44"/>
      <c r="WXR3" s="44"/>
      <c r="WXS3" s="44"/>
      <c r="WXT3" s="44"/>
      <c r="WXU3" s="44"/>
      <c r="WXV3" s="44"/>
      <c r="WXW3" s="44"/>
      <c r="WXX3" s="44"/>
      <c r="WXY3" s="44"/>
      <c r="WXZ3" s="44"/>
      <c r="WYA3" s="44"/>
      <c r="WYB3" s="44"/>
      <c r="WYC3" s="44"/>
      <c r="WYD3" s="44"/>
      <c r="WYE3" s="44"/>
      <c r="WYF3" s="44"/>
      <c r="WYG3" s="44"/>
      <c r="WYH3" s="44"/>
      <c r="WYI3" s="44"/>
      <c r="WYJ3" s="44"/>
      <c r="WYK3" s="44"/>
      <c r="WYL3" s="44"/>
      <c r="WYM3" s="44"/>
      <c r="WYN3" s="44"/>
      <c r="WYO3" s="44"/>
      <c r="WYP3" s="44"/>
      <c r="WYQ3" s="44"/>
      <c r="WYR3" s="44"/>
      <c r="WYS3" s="44"/>
      <c r="WYT3" s="44"/>
      <c r="WYU3" s="44"/>
      <c r="WYV3" s="44"/>
      <c r="WYW3" s="44"/>
      <c r="WYX3" s="44"/>
      <c r="WYY3" s="44"/>
      <c r="WYZ3" s="44"/>
      <c r="WZA3" s="44"/>
      <c r="WZB3" s="44"/>
      <c r="WZC3" s="44"/>
      <c r="WZD3" s="44"/>
      <c r="WZE3" s="44"/>
      <c r="WZF3" s="44"/>
      <c r="WZG3" s="44"/>
      <c r="WZH3" s="44"/>
      <c r="WZI3" s="44"/>
      <c r="WZJ3" s="44"/>
      <c r="WZK3" s="44"/>
      <c r="WZL3" s="44"/>
      <c r="WZM3" s="44"/>
      <c r="WZN3" s="44"/>
      <c r="WZO3" s="44"/>
      <c r="WZP3" s="44"/>
      <c r="WZQ3" s="44"/>
      <c r="WZR3" s="44"/>
      <c r="WZS3" s="44"/>
      <c r="WZT3" s="44"/>
      <c r="WZU3" s="44"/>
      <c r="WZV3" s="44"/>
      <c r="WZW3" s="44"/>
      <c r="WZX3" s="44"/>
      <c r="WZY3" s="44"/>
      <c r="WZZ3" s="44"/>
      <c r="XAA3" s="44"/>
      <c r="XAB3" s="44"/>
      <c r="XAC3" s="44"/>
      <c r="XAD3" s="44"/>
      <c r="XAE3" s="44"/>
      <c r="XAF3" s="44"/>
      <c r="XAG3" s="44"/>
      <c r="XAH3" s="44"/>
      <c r="XAI3" s="44"/>
      <c r="XAJ3" s="44"/>
      <c r="XAK3" s="44"/>
      <c r="XAL3" s="44"/>
      <c r="XAM3" s="44"/>
      <c r="XAN3" s="44"/>
      <c r="XAO3" s="44"/>
      <c r="XAP3" s="44"/>
      <c r="XAQ3" s="44"/>
      <c r="XAR3" s="44"/>
      <c r="XAS3" s="44"/>
      <c r="XAT3" s="44"/>
      <c r="XAU3" s="44"/>
      <c r="XAV3" s="44"/>
      <c r="XAW3" s="44"/>
      <c r="XAX3" s="44"/>
      <c r="XAY3" s="44"/>
      <c r="XAZ3" s="44"/>
      <c r="XBA3" s="44"/>
      <c r="XBB3" s="44"/>
      <c r="XBC3" s="44"/>
      <c r="XBD3" s="44"/>
      <c r="XBE3" s="44"/>
      <c r="XBF3" s="44"/>
      <c r="XBG3" s="44"/>
      <c r="XBH3" s="44"/>
      <c r="XBI3" s="44"/>
      <c r="XBJ3" s="44"/>
      <c r="XBK3" s="44"/>
      <c r="XBL3" s="44"/>
      <c r="XBM3" s="44"/>
      <c r="XBN3" s="44"/>
      <c r="XBO3" s="44"/>
      <c r="XBP3" s="44"/>
      <c r="XBQ3" s="44"/>
      <c r="XBR3" s="44"/>
      <c r="XBS3" s="44"/>
      <c r="XBT3" s="44"/>
      <c r="XBU3" s="44"/>
      <c r="XBV3" s="44"/>
      <c r="XBW3" s="44"/>
      <c r="XBX3" s="44"/>
      <c r="XBY3" s="44"/>
      <c r="XBZ3" s="44"/>
      <c r="XCA3" s="44"/>
      <c r="XCB3" s="44"/>
      <c r="XCC3" s="44"/>
      <c r="XCD3" s="44"/>
      <c r="XCE3" s="44"/>
      <c r="XCF3" s="44"/>
      <c r="XCG3" s="44"/>
      <c r="XCH3" s="44"/>
      <c r="XCI3" s="44"/>
      <c r="XCJ3" s="44"/>
      <c r="XCK3" s="44"/>
      <c r="XCL3" s="44"/>
      <c r="XCM3" s="44"/>
      <c r="XCN3" s="44"/>
      <c r="XCO3" s="44"/>
      <c r="XCP3" s="44"/>
      <c r="XCQ3" s="44"/>
      <c r="XCR3" s="44"/>
      <c r="XCS3" s="44"/>
      <c r="XCT3" s="44"/>
      <c r="XCU3" s="44"/>
      <c r="XCV3" s="44"/>
      <c r="XCW3" s="44"/>
      <c r="XCX3" s="44"/>
      <c r="XCY3" s="44"/>
      <c r="XCZ3" s="44"/>
      <c r="XDA3" s="44"/>
      <c r="XDB3" s="44"/>
      <c r="XDC3" s="44"/>
      <c r="XDD3" s="44"/>
      <c r="XDE3" s="44"/>
      <c r="XDF3" s="44"/>
      <c r="XDG3" s="44"/>
      <c r="XDH3" s="44"/>
    </row>
    <row r="4" spans="1:16336" ht="13.15" customHeight="1" x14ac:dyDescent="0.35">
      <c r="A4" s="55" t="s">
        <v>4334</v>
      </c>
      <c r="B4" s="56" t="s">
        <v>4335</v>
      </c>
      <c r="C4" s="85"/>
    </row>
    <row r="5" spans="1:16336" ht="13.15" customHeight="1" x14ac:dyDescent="0.35">
      <c r="A5" s="55" t="s">
        <v>4336</v>
      </c>
      <c r="B5" s="56" t="s">
        <v>4337</v>
      </c>
      <c r="C5" s="86"/>
      <c r="D5" s="48" t="s">
        <v>4338</v>
      </c>
    </row>
    <row r="6" spans="1:16336" ht="13.15" customHeight="1" x14ac:dyDescent="0.35">
      <c r="A6" s="87" t="s">
        <v>4339</v>
      </c>
      <c r="B6" s="56" t="s">
        <v>4340</v>
      </c>
      <c r="C6" s="84"/>
      <c r="D6" s="48" t="s">
        <v>4341</v>
      </c>
    </row>
    <row r="7" spans="1:16336" ht="13.15" customHeight="1" x14ac:dyDescent="0.35">
      <c r="A7" s="55" t="s">
        <v>4342</v>
      </c>
      <c r="B7" s="56" t="s">
        <v>4343</v>
      </c>
      <c r="C7" s="85"/>
    </row>
    <row r="8" spans="1:16336" ht="13.15" customHeight="1" x14ac:dyDescent="0.35">
      <c r="A8" s="55" t="s">
        <v>4344</v>
      </c>
      <c r="B8" s="56" t="s">
        <v>4345</v>
      </c>
      <c r="C8" s="86"/>
    </row>
    <row r="9" spans="1:16336" ht="13.15" customHeight="1" x14ac:dyDescent="0.35">
      <c r="A9" s="55" t="s">
        <v>4346</v>
      </c>
      <c r="B9" s="56" t="s">
        <v>4347</v>
      </c>
      <c r="C9" s="85"/>
    </row>
    <row r="10" spans="1:16336" ht="14.25" customHeight="1" x14ac:dyDescent="0.35">
      <c r="A10" s="55" t="s">
        <v>4348</v>
      </c>
      <c r="B10" s="56" t="s">
        <v>4349</v>
      </c>
      <c r="C10" s="84"/>
    </row>
    <row r="11" spans="1:16336" ht="13.15" customHeight="1" x14ac:dyDescent="0.35">
      <c r="A11" s="55" t="s">
        <v>4350</v>
      </c>
      <c r="B11" s="56" t="s">
        <v>4351</v>
      </c>
      <c r="C11" s="85"/>
    </row>
    <row r="12" spans="1:16336" ht="13.15" customHeight="1" x14ac:dyDescent="0.35">
      <c r="A12" s="55" t="s">
        <v>771</v>
      </c>
      <c r="B12" s="56" t="s">
        <v>4352</v>
      </c>
      <c r="C12" s="85"/>
    </row>
    <row r="13" spans="1:16336" ht="13.15" customHeight="1" x14ac:dyDescent="0.35">
      <c r="A13" s="55" t="s">
        <v>4353</v>
      </c>
      <c r="B13" s="56" t="s">
        <v>4354</v>
      </c>
      <c r="C13" s="86"/>
    </row>
    <row r="14" spans="1:16336" ht="13.15" customHeight="1" x14ac:dyDescent="0.35">
      <c r="A14" s="55" t="s">
        <v>4355</v>
      </c>
      <c r="B14" s="56" t="s">
        <v>4356</v>
      </c>
      <c r="C14" s="85"/>
    </row>
    <row r="15" spans="1:16336" ht="13.15" customHeight="1" x14ac:dyDescent="0.35">
      <c r="A15" s="87" t="s">
        <v>4357</v>
      </c>
      <c r="B15" s="56" t="s">
        <v>4358</v>
      </c>
      <c r="C15" s="86"/>
    </row>
    <row r="16" spans="1:16336" ht="13.15" customHeight="1" x14ac:dyDescent="0.35">
      <c r="A16" s="55" t="s">
        <v>4359</v>
      </c>
      <c r="B16" s="56" t="s">
        <v>4360</v>
      </c>
      <c r="C16" s="85"/>
    </row>
    <row r="17" spans="1:3" ht="13.15" customHeight="1" x14ac:dyDescent="0.35">
      <c r="A17" s="55" t="s">
        <v>4361</v>
      </c>
      <c r="B17" s="56" t="s">
        <v>4362</v>
      </c>
      <c r="C17" s="85"/>
    </row>
    <row r="18" spans="1:3" ht="13.15" customHeight="1" x14ac:dyDescent="0.35">
      <c r="A18" s="55" t="s">
        <v>4363</v>
      </c>
      <c r="B18" s="56" t="s">
        <v>4364</v>
      </c>
      <c r="C18" s="86"/>
    </row>
    <row r="19" spans="1:3" ht="13.15" customHeight="1" x14ac:dyDescent="0.35">
      <c r="A19" s="55" t="s">
        <v>4365</v>
      </c>
      <c r="B19" s="56" t="s">
        <v>4366</v>
      </c>
      <c r="C19" s="84"/>
    </row>
    <row r="20" spans="1:3" ht="13.15" customHeight="1" x14ac:dyDescent="0.35">
      <c r="A20" s="88" t="s">
        <v>4367</v>
      </c>
      <c r="B20" s="56" t="s">
        <v>4368</v>
      </c>
      <c r="C20" s="85"/>
    </row>
    <row r="21" spans="1:3" ht="13.15" customHeight="1" x14ac:dyDescent="0.35">
      <c r="A21" s="57" t="s">
        <v>4369</v>
      </c>
      <c r="B21" s="56" t="s">
        <v>4370</v>
      </c>
      <c r="C21" s="85"/>
    </row>
    <row r="22" spans="1:3" ht="13.15" customHeight="1" x14ac:dyDescent="0.35">
      <c r="A22" s="57" t="s">
        <v>4371</v>
      </c>
      <c r="B22" s="56" t="s">
        <v>4372</v>
      </c>
      <c r="C22" s="85"/>
    </row>
    <row r="23" spans="1:3" ht="13.15" customHeight="1" x14ac:dyDescent="0.35">
      <c r="A23" s="57" t="s">
        <v>4373</v>
      </c>
      <c r="B23" s="56" t="s">
        <v>4374</v>
      </c>
      <c r="C23" s="86"/>
    </row>
    <row r="24" spans="1:3" ht="13.15" customHeight="1" x14ac:dyDescent="0.35">
      <c r="A24" s="57" t="s">
        <v>4375</v>
      </c>
      <c r="B24" s="56" t="s">
        <v>4376</v>
      </c>
      <c r="C24" s="85"/>
    </row>
    <row r="25" spans="1:3" ht="13.15" customHeight="1" x14ac:dyDescent="0.35">
      <c r="A25" s="57" t="s">
        <v>771</v>
      </c>
      <c r="B25" s="56" t="s">
        <v>4377</v>
      </c>
      <c r="C25" s="85"/>
    </row>
    <row r="26" spans="1:3" ht="13.15" customHeight="1" x14ac:dyDescent="0.35">
      <c r="A26" s="57" t="s">
        <v>4378</v>
      </c>
      <c r="B26" s="56" t="s">
        <v>4379</v>
      </c>
      <c r="C26" s="85"/>
    </row>
    <row r="27" spans="1:3" ht="13.15" customHeight="1" x14ac:dyDescent="0.35">
      <c r="A27" s="55" t="s">
        <v>4380</v>
      </c>
      <c r="B27" s="56" t="s">
        <v>4381</v>
      </c>
      <c r="C27" s="85"/>
    </row>
    <row r="28" spans="1:3" ht="13.15" customHeight="1" x14ac:dyDescent="0.35">
      <c r="A28" s="57" t="s">
        <v>4382</v>
      </c>
      <c r="B28" s="56" t="s">
        <v>4383</v>
      </c>
      <c r="C28" s="85"/>
    </row>
    <row r="29" spans="1:3" ht="13.15" customHeight="1" x14ac:dyDescent="0.35">
      <c r="A29" s="57" t="s">
        <v>4384</v>
      </c>
      <c r="B29" s="56" t="s">
        <v>4385</v>
      </c>
      <c r="C29" s="85"/>
    </row>
    <row r="30" spans="1:3" ht="13.15" customHeight="1" x14ac:dyDescent="0.35">
      <c r="A30" s="57" t="s">
        <v>4386</v>
      </c>
      <c r="B30" s="56" t="s">
        <v>4387</v>
      </c>
      <c r="C30" s="85"/>
    </row>
    <row r="31" spans="1:3" ht="13.15" customHeight="1" x14ac:dyDescent="0.35">
      <c r="A31" s="57" t="s">
        <v>4388</v>
      </c>
      <c r="B31" s="56" t="s">
        <v>4389</v>
      </c>
      <c r="C31" s="85"/>
    </row>
    <row r="32" spans="1:3" ht="13.15" customHeight="1" x14ac:dyDescent="0.35">
      <c r="A32" s="57" t="s">
        <v>4390</v>
      </c>
      <c r="B32" s="56" t="s">
        <v>4391</v>
      </c>
      <c r="C32" s="85"/>
    </row>
    <row r="33" spans="1:3" ht="13.15" customHeight="1" x14ac:dyDescent="0.35">
      <c r="A33" s="57" t="s">
        <v>4392</v>
      </c>
      <c r="B33" s="56" t="s">
        <v>4393</v>
      </c>
      <c r="C33" s="85"/>
    </row>
    <row r="34" spans="1:3" ht="13.15" customHeight="1" x14ac:dyDescent="0.35">
      <c r="A34" s="57" t="s">
        <v>4394</v>
      </c>
      <c r="B34" s="56" t="s">
        <v>4395</v>
      </c>
      <c r="C34" s="85"/>
    </row>
    <row r="35" spans="1:3" ht="13.15" customHeight="1" x14ac:dyDescent="0.35">
      <c r="A35" s="57" t="s">
        <v>4396</v>
      </c>
      <c r="B35" s="56" t="s">
        <v>4397</v>
      </c>
      <c r="C35" s="85"/>
    </row>
    <row r="36" spans="1:3" ht="13.15" customHeight="1" x14ac:dyDescent="0.35">
      <c r="A36" s="57" t="s">
        <v>4398</v>
      </c>
      <c r="B36" s="56" t="s">
        <v>4399</v>
      </c>
      <c r="C36" s="85"/>
    </row>
    <row r="37" spans="1:3" ht="13.15" customHeight="1" x14ac:dyDescent="0.35">
      <c r="A37" s="57" t="s">
        <v>4400</v>
      </c>
      <c r="B37" s="56" t="s">
        <v>4401</v>
      </c>
      <c r="C37" s="85"/>
    </row>
    <row r="38" spans="1:3" ht="13.15" customHeight="1" x14ac:dyDescent="0.35">
      <c r="A38" s="57" t="s">
        <v>4402</v>
      </c>
      <c r="B38" s="56" t="s">
        <v>4403</v>
      </c>
      <c r="C38" s="85"/>
    </row>
    <row r="39" spans="1:3" ht="13.15" customHeight="1" x14ac:dyDescent="0.35">
      <c r="A39" s="57" t="s">
        <v>4404</v>
      </c>
      <c r="B39" s="56" t="s">
        <v>4405</v>
      </c>
      <c r="C39" s="85"/>
    </row>
    <row r="40" spans="1:3" ht="13.15" customHeight="1" x14ac:dyDescent="0.35">
      <c r="A40" s="55" t="s">
        <v>4406</v>
      </c>
      <c r="B40" s="56" t="s">
        <v>4407</v>
      </c>
      <c r="C40" s="85"/>
    </row>
    <row r="41" spans="1:3" ht="13.15" customHeight="1" x14ac:dyDescent="0.35">
      <c r="A41" s="55" t="s">
        <v>4406</v>
      </c>
      <c r="B41" s="56" t="s">
        <v>4408</v>
      </c>
      <c r="C41" s="85"/>
    </row>
    <row r="42" spans="1:3" ht="13.15" customHeight="1" x14ac:dyDescent="0.35">
      <c r="A42" s="57" t="s">
        <v>4409</v>
      </c>
      <c r="B42" s="56" t="s">
        <v>4410</v>
      </c>
      <c r="C42" s="85"/>
    </row>
    <row r="43" spans="1:3" ht="13.15" customHeight="1" x14ac:dyDescent="0.35">
      <c r="A43" s="58"/>
      <c r="B43" s="59"/>
      <c r="C43" s="59"/>
    </row>
    <row r="44" spans="1:3" ht="13.15" customHeight="1" x14ac:dyDescent="0.35">
      <c r="A44" s="60"/>
      <c r="B44" s="61"/>
      <c r="C44" s="61"/>
    </row>
    <row r="45" spans="1:3" x14ac:dyDescent="0.35">
      <c r="A45" s="60"/>
      <c r="B45" s="61"/>
      <c r="C45" s="61"/>
    </row>
    <row r="46" spans="1:3" x14ac:dyDescent="0.35">
      <c r="A46" s="60"/>
      <c r="B46" s="61"/>
      <c r="C46" s="61"/>
    </row>
  </sheetData>
  <hyperlinks>
    <hyperlink ref="A4" r:id="rId1" xr:uid="{F2ECFC9A-74D4-4507-BFD5-B14229F3AA0E}"/>
    <hyperlink ref="A5" r:id="rId2" xr:uid="{F2FFA523-4755-4854-920F-A75723217553}"/>
    <hyperlink ref="A6" r:id="rId3" xr:uid="{3DF8DC52-08C8-4AD1-96ED-B3272BEE7F0B}"/>
    <hyperlink ref="A7" r:id="rId4" xr:uid="{2C374D3D-0020-4855-8232-9A68989CCCDB}"/>
    <hyperlink ref="A8" r:id="rId5" xr:uid="{E4C29B09-6B0F-4F11-BE96-8ED337422586}"/>
    <hyperlink ref="A9" r:id="rId6" xr:uid="{2CBD76EB-EC4D-4861-B3B1-1EB717F98678}"/>
    <hyperlink ref="A10" r:id="rId7" location="1557120935639-323ba7b2-bef6" display="https://racer.com.sg/ - 1557120935639-323ba7b2-bef6" xr:uid="{82A81210-B6F9-4F38-93CF-0CE5505B5CD8}"/>
    <hyperlink ref="A11" r:id="rId8" xr:uid="{0B56D923-CA6E-4AA5-B618-4D115C2EA2D4}"/>
    <hyperlink ref="A12" r:id="rId9" xr:uid="{9B4F6847-EAFB-4E1F-B76B-55A6F17C1844}"/>
    <hyperlink ref="A13" r:id="rId10" xr:uid="{E1345EDA-9C9E-431B-8448-3E3C4C1F2C5C}"/>
    <hyperlink ref="A14" r:id="rId11" xr:uid="{AD217FA8-79D6-4E7D-8F0B-691273FE6492}"/>
    <hyperlink ref="A15" r:id="rId12" xr:uid="{F2B88FF2-F16F-4F73-A6FB-3DAE9D3E4D63}"/>
    <hyperlink ref="A16" r:id="rId13" xr:uid="{AC66ACE0-DA6B-4EBC-AB16-ED67AC99B15A}"/>
    <hyperlink ref="A17" r:id="rId14" xr:uid="{C532DE4C-5630-4A23-B4EA-8B1AE64F57FF}"/>
    <hyperlink ref="A18" r:id="rId15" xr:uid="{0E9463B5-AA31-4716-A792-0E5A92225F29}"/>
    <hyperlink ref="A19" r:id="rId16" xr:uid="{BE5EAD1D-F8D9-4750-9394-2FC4B6166AC4}"/>
    <hyperlink ref="A20" r:id="rId17" xr:uid="{355D677F-3401-46E8-8A04-C95D91D334D7}"/>
    <hyperlink ref="A21" r:id="rId18" xr:uid="{6D804046-AEB2-49F2-94FC-718C75195E93}"/>
    <hyperlink ref="A22" r:id="rId19" xr:uid="{E0FE085A-AB50-43FB-807C-37F16D19FD5A}"/>
    <hyperlink ref="A23" r:id="rId20" xr:uid="{305485F4-D9A8-4429-8C94-390D23A01B15}"/>
    <hyperlink ref="A24" r:id="rId21" xr:uid="{D2808FD9-00B1-462A-BC2C-C8806F7CD70C}"/>
    <hyperlink ref="A25" r:id="rId22" xr:uid="{10B355BE-9846-43BF-997D-9B29CE034E6C}"/>
    <hyperlink ref="A26" r:id="rId23" xr:uid="{185C8FC8-29D3-4717-9374-E51C4EAAF3E9}"/>
    <hyperlink ref="A27" r:id="rId24" xr:uid="{40F85219-465B-4799-A61F-FF72E86456D6}"/>
    <hyperlink ref="A28" r:id="rId25" xr:uid="{BED6209F-7919-4536-BF46-31788A5B1DB8}"/>
    <hyperlink ref="A29" r:id="rId26" xr:uid="{0FCEFD94-26A4-4E9E-B24B-A5DDF2434B1C}"/>
    <hyperlink ref="A30" r:id="rId27" xr:uid="{0E88E2D7-E4DD-451C-BFD2-713FA09D04CF}"/>
    <hyperlink ref="A31" r:id="rId28" xr:uid="{79961B7A-8907-4B35-8460-6F98719A23F8}"/>
    <hyperlink ref="A32" r:id="rId29" xr:uid="{C2076F1E-646C-4D21-90DC-305F99DE5ADD}"/>
    <hyperlink ref="A33" r:id="rId30" xr:uid="{9A6B1465-30E3-4125-807D-F9D9C9DA1F6F}"/>
    <hyperlink ref="A34" r:id="rId31" xr:uid="{D329E3B1-4A12-4B4A-A3A5-1A3D1FF5A370}"/>
    <hyperlink ref="A35" r:id="rId32" xr:uid="{A7E20572-7380-4EBD-A82B-B9076E5073CC}"/>
    <hyperlink ref="A36" r:id="rId33" xr:uid="{0D75C7CF-E9CE-4A0C-BD5A-808AAC59CBD3}"/>
    <hyperlink ref="A37" r:id="rId34" xr:uid="{0860F0A8-9BB7-486B-84A4-3746E227F418}"/>
    <hyperlink ref="A38" r:id="rId35" xr:uid="{7513111A-05DE-4824-BA24-0E4F8DFFA2A9}"/>
    <hyperlink ref="A39" r:id="rId36" xr:uid="{483FD607-12B3-484C-9904-BFB7980D23EB}"/>
    <hyperlink ref="A40" r:id="rId37" xr:uid="{F8888CC0-F7E1-4120-B5C7-F0AE33DBD545}"/>
    <hyperlink ref="A41" r:id="rId38" xr:uid="{814FC4AE-9851-418B-8263-B20F533A0C7B}"/>
    <hyperlink ref="A42" r:id="rId39" xr:uid="{D17D907E-5731-4B92-8BB3-987947E3426C}"/>
  </hyperlinks>
  <pageMargins left="0.7" right="0.7" top="0.75" bottom="0.75" header="0.3" footer="0.3"/>
  <pageSetup paperSize="9" orientation="portrait" r:id="rId4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BDBC-16F1-48BE-98E6-2F876F3C0782}">
  <sheetPr codeName="Sheet11"/>
  <dimension ref="A1:D17"/>
  <sheetViews>
    <sheetView workbookViewId="0">
      <selection activeCell="C28" sqref="C28"/>
    </sheetView>
  </sheetViews>
  <sheetFormatPr defaultRowHeight="14.25" x14ac:dyDescent="0.45"/>
  <cols>
    <col min="1" max="4" width="43.33203125" customWidth="1"/>
  </cols>
  <sheetData>
    <row r="1" spans="1:4" x14ac:dyDescent="0.45">
      <c r="A1" s="156" t="s">
        <v>3655</v>
      </c>
      <c r="B1" s="156"/>
      <c r="C1" s="156"/>
      <c r="D1" s="156"/>
    </row>
    <row r="2" spans="1:4" x14ac:dyDescent="0.45">
      <c r="A2" s="156"/>
      <c r="B2" s="156"/>
      <c r="C2" s="156"/>
      <c r="D2" s="156"/>
    </row>
    <row r="3" spans="1:4" x14ac:dyDescent="0.45">
      <c r="A3" s="156"/>
      <c r="B3" s="156"/>
      <c r="C3" s="156"/>
      <c r="D3" s="156"/>
    </row>
    <row r="4" spans="1:4" x14ac:dyDescent="0.45">
      <c r="A4" t="s">
        <v>4411</v>
      </c>
      <c r="B4" s="50" t="s">
        <v>4412</v>
      </c>
      <c r="C4" t="s">
        <v>4413</v>
      </c>
    </row>
    <row r="5" spans="1:4" x14ac:dyDescent="0.45">
      <c r="A5" t="s">
        <v>4414</v>
      </c>
      <c r="B5" t="s">
        <v>4415</v>
      </c>
      <c r="C5" t="s">
        <v>3656</v>
      </c>
    </row>
    <row r="6" spans="1:4" x14ac:dyDescent="0.45">
      <c r="A6" t="s">
        <v>4416</v>
      </c>
      <c r="B6" t="s">
        <v>4417</v>
      </c>
      <c r="C6" t="s">
        <v>4418</v>
      </c>
    </row>
    <row r="7" spans="1:4" x14ac:dyDescent="0.45">
      <c r="A7" t="s">
        <v>4419</v>
      </c>
      <c r="B7" t="s">
        <v>4420</v>
      </c>
      <c r="C7" t="s">
        <v>31</v>
      </c>
    </row>
    <row r="8" spans="1:4" x14ac:dyDescent="0.45">
      <c r="A8" t="s">
        <v>4421</v>
      </c>
      <c r="B8" t="s">
        <v>4422</v>
      </c>
      <c r="C8" t="s">
        <v>4423</v>
      </c>
    </row>
    <row r="9" spans="1:4" x14ac:dyDescent="0.45">
      <c r="A9" t="s">
        <v>4424</v>
      </c>
      <c r="B9" t="s">
        <v>4425</v>
      </c>
      <c r="C9" t="s">
        <v>4426</v>
      </c>
    </row>
    <row r="10" spans="1:4" x14ac:dyDescent="0.45">
      <c r="A10" t="s">
        <v>4427</v>
      </c>
      <c r="B10" t="s">
        <v>4428</v>
      </c>
      <c r="C10" t="s">
        <v>4426</v>
      </c>
    </row>
    <row r="11" spans="1:4" x14ac:dyDescent="0.45">
      <c r="A11" t="s">
        <v>4429</v>
      </c>
      <c r="B11" t="s">
        <v>4430</v>
      </c>
      <c r="C11" t="s">
        <v>4426</v>
      </c>
    </row>
    <row r="12" spans="1:4" x14ac:dyDescent="0.45">
      <c r="B12" t="s">
        <v>4431</v>
      </c>
      <c r="C12" t="s">
        <v>4426</v>
      </c>
    </row>
    <row r="13" spans="1:4" x14ac:dyDescent="0.45">
      <c r="B13" t="s">
        <v>4432</v>
      </c>
      <c r="C13" t="s">
        <v>4426</v>
      </c>
    </row>
    <row r="14" spans="1:4" x14ac:dyDescent="0.45">
      <c r="A14" t="s">
        <v>4433</v>
      </c>
      <c r="B14" t="s">
        <v>4434</v>
      </c>
    </row>
    <row r="15" spans="1:4" x14ac:dyDescent="0.45">
      <c r="A15" t="s">
        <v>4435</v>
      </c>
      <c r="B15" t="s">
        <v>4436</v>
      </c>
      <c r="C15" t="s">
        <v>4437</v>
      </c>
    </row>
    <row r="16" spans="1:4" x14ac:dyDescent="0.45">
      <c r="A16" t="s">
        <v>4438</v>
      </c>
      <c r="B16" t="s">
        <v>4439</v>
      </c>
    </row>
    <row r="17" spans="1:2" x14ac:dyDescent="0.45">
      <c r="A17" t="s">
        <v>4440</v>
      </c>
      <c r="B17" t="s">
        <v>4441</v>
      </c>
    </row>
  </sheetData>
  <mergeCells count="1">
    <mergeCell ref="A1:D3"/>
  </mergeCells>
  <hyperlinks>
    <hyperlink ref="B4" r:id="rId1" xr:uid="{E8AAE5E3-2961-4BC8-BB4C-1A48F2FC4F84}"/>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46D8A-4251-4AC4-9BA1-E83D78DC73CB}">
  <sheetPr codeName="Sheet7"/>
  <dimension ref="A2:AM1360"/>
  <sheetViews>
    <sheetView topLeftCell="A193" workbookViewId="0">
      <selection activeCell="H244" sqref="H244"/>
    </sheetView>
  </sheetViews>
  <sheetFormatPr defaultColWidth="9.1328125" defaultRowHeight="7.9" x14ac:dyDescent="0.25"/>
  <cols>
    <col min="1" max="1" width="21.265625" style="33" customWidth="1"/>
    <col min="2" max="3" width="9.1328125" style="32"/>
    <col min="4" max="4" width="14.6640625" style="32" customWidth="1"/>
    <col min="5" max="5" width="12.6640625" style="32" customWidth="1"/>
    <col min="6" max="16384" width="9.1328125" style="32"/>
  </cols>
  <sheetData>
    <row r="2" spans="1:17" ht="15.75" x14ac:dyDescent="0.25">
      <c r="A2" s="28" t="s">
        <v>55</v>
      </c>
      <c r="B2" s="29" t="s">
        <v>68</v>
      </c>
      <c r="C2" s="30" t="s">
        <v>4442</v>
      </c>
      <c r="D2" s="30" t="s">
        <v>4443</v>
      </c>
      <c r="E2" s="31" t="s">
        <v>69</v>
      </c>
      <c r="F2" s="31" t="s">
        <v>69</v>
      </c>
      <c r="G2" s="31" t="s">
        <v>69</v>
      </c>
      <c r="H2" s="31" t="s">
        <v>69</v>
      </c>
      <c r="I2" s="31" t="s">
        <v>69</v>
      </c>
      <c r="J2" s="31" t="s">
        <v>69</v>
      </c>
      <c r="K2" s="31" t="s">
        <v>69</v>
      </c>
      <c r="L2" s="31" t="s">
        <v>69</v>
      </c>
      <c r="M2" s="31" t="s">
        <v>69</v>
      </c>
      <c r="N2" s="31" t="s">
        <v>69</v>
      </c>
      <c r="O2" s="31" t="s">
        <v>69</v>
      </c>
      <c r="P2" s="31" t="s">
        <v>69</v>
      </c>
      <c r="Q2" s="31" t="s">
        <v>69</v>
      </c>
    </row>
    <row r="3" spans="1:17" x14ac:dyDescent="0.25">
      <c r="A3" s="33" t="str" cm="1">
        <f t="array" ref="A3">IFERROR(INDEX(Register!$B$3:$B$1409,ROW(),0), "")</f>
        <v>AFC Industries Pty Ltd</v>
      </c>
      <c r="B3" s="32" t="e">
        <f>VLOOKUP($A3,Register!$B$3:$E$1409,6,FALSE)</f>
        <v>#REF!</v>
      </c>
      <c r="C3" s="32" t="e">
        <f>VLOOKUP($A3,Register!$B$3:$E$1409,7,FALSE)</f>
        <v>#REF!</v>
      </c>
      <c r="D3" s="32" t="e">
        <f>VLOOKUP($A3,Register!$B$3:$E$1409,8,FALSE)</f>
        <v>#REF!</v>
      </c>
      <c r="E3" s="34" t="s">
        <v>148</v>
      </c>
    </row>
    <row r="4" spans="1:17" x14ac:dyDescent="0.25">
      <c r="A4" s="33" t="str" cm="1">
        <f t="array" ref="A4">IFERROR(INDEX(Register!$B$3:$B$1409,ROW(),0), "")</f>
        <v>Biolink Specialty Tapes Australia Pty Ltd</v>
      </c>
      <c r="B4" s="32" t="e">
        <f>VLOOKUP($A4,Register!$B$3:$E$1409,6,FALSE)</f>
        <v>#REF!</v>
      </c>
      <c r="C4" s="32" t="e">
        <f>VLOOKUP($A4,Register!$B$3:$E$1409,7,FALSE)</f>
        <v>#REF!</v>
      </c>
      <c r="D4" s="32" t="e">
        <f>VLOOKUP($A4,Register!$B$3:$E$1409,8,FALSE)</f>
        <v>#REF!</v>
      </c>
      <c r="E4" s="34" t="s">
        <v>4444</v>
      </c>
      <c r="F4" s="34" t="s">
        <v>4445</v>
      </c>
      <c r="G4" s="34" t="s">
        <v>4446</v>
      </c>
      <c r="H4" s="34" t="s">
        <v>4447</v>
      </c>
      <c r="I4" s="34" t="s">
        <v>4448</v>
      </c>
      <c r="J4" s="34" t="s">
        <v>4449</v>
      </c>
      <c r="K4" s="34" t="s">
        <v>4450</v>
      </c>
    </row>
    <row r="5" spans="1:17" x14ac:dyDescent="0.25">
      <c r="A5" s="33" t="str" cm="1">
        <f t="array" ref="A5">IFERROR(INDEX(Register!$B$3:$B$1409,ROW(),0), "")</f>
        <v>Complete Rubber Pty Ltd</v>
      </c>
      <c r="B5" s="32" t="e">
        <f>VLOOKUP($A5,Register!$B$3:$E$1409,6,FALSE)</f>
        <v>#REF!</v>
      </c>
      <c r="C5" s="32" t="e">
        <f>VLOOKUP($A5,Register!$B$3:$E$1409,7,FALSE)</f>
        <v>#REF!</v>
      </c>
      <c r="D5" s="32" t="e">
        <f>VLOOKUP($A5,Register!$B$3:$E$1409,8,FALSE)</f>
        <v>#REF!</v>
      </c>
      <c r="E5" s="34" t="s">
        <v>4451</v>
      </c>
    </row>
    <row r="6" spans="1:17" x14ac:dyDescent="0.25">
      <c r="A6" s="33" t="str" cm="1">
        <f t="array" ref="A6">IFERROR(INDEX(Register!$B$3:$B$1409,ROW(),0), "")</f>
        <v>Foam Molders Inc.</v>
      </c>
      <c r="B6" s="32" t="e">
        <f>VLOOKUP($A6,Register!$B$3:$E$1409,6,FALSE)</f>
        <v>#REF!</v>
      </c>
      <c r="C6" s="32" t="e">
        <f>VLOOKUP($A6,Register!$B$3:$E$1409,7,FALSE)</f>
        <v>#REF!</v>
      </c>
      <c r="D6" s="32" t="e">
        <f>VLOOKUP($A6,Register!$B$3:$E$1409,8,FALSE)</f>
        <v>#REF!</v>
      </c>
      <c r="E6" s="34" t="s">
        <v>4452</v>
      </c>
      <c r="F6" s="34" t="s">
        <v>4453</v>
      </c>
      <c r="G6" s="34" t="s">
        <v>4454</v>
      </c>
      <c r="H6" s="34" t="s">
        <v>4455</v>
      </c>
    </row>
    <row r="7" spans="1:17" x14ac:dyDescent="0.25">
      <c r="A7" s="33" t="str" cm="1">
        <f t="array" ref="A7">IFERROR(INDEX(Register!$B$3:$B$1409,ROW(),0), "")</f>
        <v>GOLDEN VALLEY PRODUCTS, INC.</v>
      </c>
      <c r="B7" s="32" t="e">
        <f>VLOOKUP($A7,Register!$B$3:$E$1409,6,FALSE)</f>
        <v>#REF!</v>
      </c>
      <c r="C7" s="32" t="e">
        <f>VLOOKUP($A7,Register!$B$3:$E$1409,7,FALSE)</f>
        <v>#REF!</v>
      </c>
      <c r="D7" s="32" t="e">
        <f>VLOOKUP($A7,Register!$B$3:$E$1409,8,FALSE)</f>
        <v>#REF!</v>
      </c>
      <c r="E7" s="34" t="s">
        <v>4456</v>
      </c>
    </row>
    <row r="8" spans="1:17" x14ac:dyDescent="0.25">
      <c r="A8" s="33" t="str" cm="1">
        <f t="array" ref="A8">IFERROR(INDEX(Register!$B$3:$B$1409,ROW(),0), "")</f>
        <v>Boyd Technologies (Thailand) Co. Ltd</v>
      </c>
      <c r="B8" s="32" t="e">
        <f>VLOOKUP($A8,Register!$B$3:$E$1409,6,FALSE)</f>
        <v>#REF!</v>
      </c>
      <c r="C8" s="32" t="e">
        <f>VLOOKUP($A8,Register!$B$3:$E$1409,7,FALSE)</f>
        <v>#REF!</v>
      </c>
      <c r="D8" s="32" t="e">
        <f>VLOOKUP($A8,Register!$B$3:$E$1409,8,FALSE)</f>
        <v>#REF!</v>
      </c>
      <c r="E8" s="34" t="s">
        <v>4457</v>
      </c>
      <c r="F8" s="34" t="s">
        <v>4458</v>
      </c>
      <c r="G8" s="34" t="s">
        <v>4459</v>
      </c>
      <c r="H8" s="34" t="s">
        <v>4460</v>
      </c>
    </row>
    <row r="9" spans="1:17" x14ac:dyDescent="0.25">
      <c r="A9" s="33" t="str" cm="1">
        <f t="array" ref="A9">IFERROR(INDEX(Register!$B$3:$B$1409,ROW(),0), "")</f>
        <v>Carbon-Core Corporation</v>
      </c>
      <c r="B9" s="32" t="e">
        <f>VLOOKUP($A9,Register!$B$3:$E$1409,6,FALSE)</f>
        <v>#REF!</v>
      </c>
      <c r="C9" s="32" t="e">
        <f>VLOOKUP($A9,Register!$B$3:$E$1409,7,FALSE)</f>
        <v>#REF!</v>
      </c>
      <c r="D9" s="32" t="e">
        <f>VLOOKUP($A9,Register!$B$3:$E$1409,8,FALSE)</f>
        <v>#REF!</v>
      </c>
      <c r="E9" s="34" t="s">
        <v>4461</v>
      </c>
      <c r="F9" s="34" t="s">
        <v>4462</v>
      </c>
      <c r="G9" s="34" t="s">
        <v>4463</v>
      </c>
    </row>
    <row r="10" spans="1:17" x14ac:dyDescent="0.25">
      <c r="A10" s="33" t="str" cm="1">
        <f t="array" ref="A10">IFERROR(INDEX(Register!$B$3:$B$1409,ROW(),0), "")</f>
        <v>H. Loeb Corporation</v>
      </c>
      <c r="B10" s="32" t="e">
        <f>VLOOKUP($A10,Register!$B$3:$E$1409,6,FALSE)</f>
        <v>#REF!</v>
      </c>
      <c r="C10" s="32" t="e">
        <f>VLOOKUP($A10,Register!$B$3:$E$1409,7,FALSE)</f>
        <v>#REF!</v>
      </c>
      <c r="D10" s="32" t="e">
        <f>VLOOKUP($A10,Register!$B$3:$E$1409,8,FALSE)</f>
        <v>#REF!</v>
      </c>
      <c r="E10" s="34" t="s">
        <v>4464</v>
      </c>
      <c r="F10" s="34" t="s">
        <v>4465</v>
      </c>
      <c r="G10" s="34" t="s">
        <v>4466</v>
      </c>
      <c r="H10" s="34" t="s">
        <v>4467</v>
      </c>
      <c r="I10" s="34" t="s">
        <v>4468</v>
      </c>
      <c r="J10" s="34" t="s">
        <v>4469</v>
      </c>
      <c r="K10" s="34" t="s">
        <v>4470</v>
      </c>
      <c r="L10" s="32" t="s">
        <v>4471</v>
      </c>
      <c r="M10" s="32" t="s">
        <v>4472</v>
      </c>
      <c r="N10" s="32" t="s">
        <v>4473</v>
      </c>
      <c r="O10" s="32" t="s">
        <v>4474</v>
      </c>
      <c r="P10" s="32" t="s">
        <v>4475</v>
      </c>
      <c r="Q10" s="32" t="s">
        <v>4476</v>
      </c>
    </row>
    <row r="11" spans="1:17" x14ac:dyDescent="0.25">
      <c r="A11" s="33" t="str" cm="1">
        <f t="array" ref="A11">IFERROR(INDEX(Register!$B$3:$B$1409,ROW(),0), "")</f>
        <v>Mason Grogan Pty Ltd</v>
      </c>
      <c r="B11" s="32" t="e">
        <f>VLOOKUP($A11,Register!$B$3:$E$1409,6,FALSE)</f>
        <v>#REF!</v>
      </c>
      <c r="C11" s="32" t="e">
        <f>VLOOKUP($A11,Register!$B$3:$E$1409,7,FALSE)</f>
        <v>#REF!</v>
      </c>
      <c r="D11" s="32" t="e">
        <f>VLOOKUP($A11,Register!$B$3:$E$1409,8,FALSE)</f>
        <v>#REF!</v>
      </c>
      <c r="E11" s="34" t="s">
        <v>148</v>
      </c>
    </row>
    <row r="12" spans="1:17" x14ac:dyDescent="0.25">
      <c r="A12" s="33" t="str" cm="1">
        <f t="array" ref="A12">IFERROR(INDEX(Register!$B$3:$B$1409,ROW(),0), "")</f>
        <v>Parafix Tapes &amp; Conversions Ltd</v>
      </c>
      <c r="B12" s="32" t="e">
        <f>VLOOKUP($A12,Register!$B$3:$E$1409,6,FALSE)</f>
        <v>#REF!</v>
      </c>
      <c r="C12" s="32" t="e">
        <f>VLOOKUP($A12,Register!$B$3:$E$1409,7,FALSE)</f>
        <v>#REF!</v>
      </c>
      <c r="D12" s="32" t="e">
        <f>VLOOKUP($A12,Register!$B$3:$E$1409,8,FALSE)</f>
        <v>#REF!</v>
      </c>
      <c r="E12" s="34" t="s">
        <v>4477</v>
      </c>
      <c r="F12" s="34" t="s">
        <v>4478</v>
      </c>
    </row>
    <row r="13" spans="1:17" x14ac:dyDescent="0.25">
      <c r="A13" s="33" t="str" cm="1">
        <f t="array" ref="A13">IFERROR(INDEX(Register!$B$3:$B$1409,ROW(),0), "")</f>
        <v>PolarSeal Tapes and Conversions Ltd</v>
      </c>
      <c r="B13" s="32" t="e">
        <f>VLOOKUP($A13,Register!$B$3:$E$1409,6,FALSE)</f>
        <v>#REF!</v>
      </c>
      <c r="C13" s="32" t="e">
        <f>VLOOKUP($A13,Register!$B$3:$E$1409,7,FALSE)</f>
        <v>#REF!</v>
      </c>
      <c r="D13" s="32" t="e">
        <f>VLOOKUP($A13,Register!$B$3:$E$1409,8,FALSE)</f>
        <v>#REF!</v>
      </c>
      <c r="E13" s="34" t="s">
        <v>4479</v>
      </c>
    </row>
    <row r="14" spans="1:17" x14ac:dyDescent="0.25">
      <c r="A14" s="33" t="str" cm="1">
        <f t="array" ref="A14">IFERROR(INDEX(Register!$B$3:$B$1409,ROW(),0), "")</f>
        <v>Polyfoam Australia Pty Ltd</v>
      </c>
      <c r="B14" s="32" t="e">
        <f>VLOOKUP($A14,Register!$B$3:$E$1409,6,FALSE)</f>
        <v>#REF!</v>
      </c>
      <c r="C14" s="32" t="e">
        <f>VLOOKUP($A14,Register!$B$3:$E$1409,7,FALSE)</f>
        <v>#REF!</v>
      </c>
      <c r="D14" s="32" t="e">
        <f>VLOOKUP($A14,Register!$B$3:$E$1409,8,FALSE)</f>
        <v>#REF!</v>
      </c>
      <c r="E14" s="34" t="s">
        <v>4480</v>
      </c>
      <c r="F14" s="34" t="s">
        <v>4481</v>
      </c>
      <c r="G14" s="34" t="s">
        <v>4482</v>
      </c>
    </row>
    <row r="15" spans="1:17" x14ac:dyDescent="0.25">
      <c r="A15" s="33" t="str" cm="1">
        <f t="array" ref="A15">IFERROR(INDEX(Register!$B$3:$B$1409,ROW(),0), "")</f>
        <v>Stockwell Elastometers, Inc (US)</v>
      </c>
      <c r="B15" s="32" t="e">
        <f>VLOOKUP($A15,Register!$B$3:$E$1409,6,FALSE)</f>
        <v>#REF!</v>
      </c>
      <c r="C15" s="32" t="e">
        <f>VLOOKUP($A15,Register!$B$3:$E$1409,7,FALSE)</f>
        <v>#REF!</v>
      </c>
      <c r="D15" s="32" t="e">
        <f>VLOOKUP($A15,Register!$B$3:$E$1409,8,FALSE)</f>
        <v>#REF!</v>
      </c>
      <c r="E15" s="34" t="s">
        <v>148</v>
      </c>
    </row>
    <row r="16" spans="1:17" x14ac:dyDescent="0.25">
      <c r="A16" s="33" t="str" cm="1">
        <f t="array" ref="A16">IFERROR(INDEX(Register!$B$3:$B$1409,ROW(),0), "")</f>
        <v>Super Hing Group Co Ltd (T/A Dongguan Leetoya Precision Technology)</v>
      </c>
      <c r="B16" s="32" t="e">
        <f>VLOOKUP($A16,Register!$B$3:$E$1409,6,FALSE)</f>
        <v>#REF!</v>
      </c>
      <c r="C16" s="32" t="e">
        <f>VLOOKUP($A16,Register!$B$3:$E$1409,7,FALSE)</f>
        <v>#REF!</v>
      </c>
      <c r="D16" s="32" t="e">
        <f>VLOOKUP($A16,Register!$B$3:$E$1409,8,FALSE)</f>
        <v>#REF!</v>
      </c>
      <c r="E16" s="34" t="s">
        <v>148</v>
      </c>
    </row>
    <row r="17" spans="1:14" x14ac:dyDescent="0.25">
      <c r="A17" s="33" t="str" cm="1">
        <f t="array" ref="A17">IFERROR(INDEX(Register!$B$3:$B$1409,ROW(),0), "")</f>
        <v>Suzhou Delong Light Materials Co.,</v>
      </c>
      <c r="B17" s="32" t="e">
        <f>VLOOKUP($A17,Register!$B$3:$E$1409,6,FALSE)</f>
        <v>#REF!</v>
      </c>
      <c r="C17" s="32" t="e">
        <f>VLOOKUP($A17,Register!$B$3:$E$1409,7,FALSE)</f>
        <v>#REF!</v>
      </c>
      <c r="D17" s="32" t="e">
        <f>VLOOKUP($A17,Register!$B$3:$E$1409,8,FALSE)</f>
        <v>#REF!</v>
      </c>
      <c r="E17" s="34" t="s">
        <v>797</v>
      </c>
    </row>
    <row r="18" spans="1:14" x14ac:dyDescent="0.25">
      <c r="A18" s="33" t="str" cm="1">
        <f t="array" ref="A18">IFERROR(INDEX(Register!$B$3:$B$1409,ROW(),0), "")</f>
        <v>Cognexa Solutions</v>
      </c>
      <c r="B18" s="32" t="e">
        <f>VLOOKUP($A18,Register!$B$3:$E$1409,6,FALSE)</f>
        <v>#REF!</v>
      </c>
      <c r="C18" s="32" t="e">
        <f>VLOOKUP($A18,Register!$B$3:$E$1409,7,FALSE)</f>
        <v>#REF!</v>
      </c>
      <c r="D18" s="32" t="e">
        <f>VLOOKUP($A18,Register!$B$3:$E$1409,8,FALSE)</f>
        <v>#REF!</v>
      </c>
      <c r="E18" s="34" t="s">
        <v>148</v>
      </c>
    </row>
    <row r="19" spans="1:14" x14ac:dyDescent="0.25">
      <c r="A19" s="33" t="str" cm="1">
        <f t="array" ref="A19">IFERROR(INDEX(Register!$B$3:$B$1409,ROW(),0), "")</f>
        <v>ELLSWORTH ADHESIVES</v>
      </c>
      <c r="B19" s="32" t="e">
        <f>VLOOKUP($A19,Register!$B$3:$E$1409,6,FALSE)</f>
        <v>#REF!</v>
      </c>
      <c r="C19" s="32" t="e">
        <f>VLOOKUP($A19,Register!$B$3:$E$1409,7,FALSE)</f>
        <v>#REF!</v>
      </c>
      <c r="D19" s="32" t="e">
        <f>VLOOKUP($A19,Register!$B$3:$E$1409,8,FALSE)</f>
        <v>#REF!</v>
      </c>
      <c r="E19" s="34" t="s">
        <v>148</v>
      </c>
    </row>
    <row r="20" spans="1:14" x14ac:dyDescent="0.25">
      <c r="A20" s="33" t="str" cm="1">
        <f t="array" ref="A20">IFERROR(INDEX(Register!$B$3:$B$1409,ROW(),0), "")</f>
        <v>Gardner Denver Industries Pty Ltd</v>
      </c>
      <c r="B20" s="32" t="e">
        <f>VLOOKUP($A20,Register!$B$3:$E$1409,6,FALSE)</f>
        <v>#REF!</v>
      </c>
      <c r="C20" s="32" t="e">
        <f>VLOOKUP($A20,Register!$B$3:$E$1409,7,FALSE)</f>
        <v>#REF!</v>
      </c>
      <c r="D20" s="32" t="e">
        <f>VLOOKUP($A20,Register!$B$3:$E$1409,8,FALSE)</f>
        <v>#REF!</v>
      </c>
      <c r="E20" s="34" t="s">
        <v>148</v>
      </c>
    </row>
    <row r="21" spans="1:14" x14ac:dyDescent="0.25">
      <c r="A21" s="33" t="str" cm="1">
        <f t="array" ref="A21">IFERROR(INDEX(Register!$B$3:$B$1409,ROW(),0), "")</f>
        <v>Western AV &amp; Security</v>
      </c>
      <c r="B21" s="32" t="e">
        <f>VLOOKUP($A21,Register!$B$3:$E$1409,6,FALSE)</f>
        <v>#REF!</v>
      </c>
      <c r="C21" s="32" t="e">
        <f>VLOOKUP($A21,Register!$B$3:$E$1409,7,FALSE)</f>
        <v>#REF!</v>
      </c>
      <c r="D21" s="32" t="e">
        <f>VLOOKUP($A21,Register!$B$3:$E$1409,8,FALSE)</f>
        <v>#REF!</v>
      </c>
      <c r="E21" s="34" t="s">
        <v>4483</v>
      </c>
      <c r="F21" s="34" t="s">
        <v>4484</v>
      </c>
      <c r="G21" s="34" t="s">
        <v>4485</v>
      </c>
      <c r="H21" s="34" t="s">
        <v>4486</v>
      </c>
      <c r="I21" s="34" t="s">
        <v>4487</v>
      </c>
      <c r="J21" s="34" t="s">
        <v>4488</v>
      </c>
      <c r="K21" s="34" t="s">
        <v>4489</v>
      </c>
    </row>
    <row r="22" spans="1:14" x14ac:dyDescent="0.25">
      <c r="A22" s="33" t="str" cm="1">
        <f t="array" ref="A22">IFERROR(INDEX(Register!$B$3:$B$1409,ROW(),0), "")</f>
        <v>Fore Innovations LLC.</v>
      </c>
      <c r="B22" s="32" t="e">
        <f>VLOOKUP($A22,Register!$B$3:$E$1409,6,FALSE)</f>
        <v>#REF!</v>
      </c>
      <c r="C22" s="32" t="e">
        <f>VLOOKUP($A22,Register!$B$3:$E$1409,7,FALSE)</f>
        <v>#REF!</v>
      </c>
      <c r="D22" s="32" t="e">
        <f>VLOOKUP($A22,Register!$B$3:$E$1409,8,FALSE)</f>
        <v>#REF!</v>
      </c>
      <c r="E22" s="34" t="s">
        <v>4490</v>
      </c>
      <c r="F22" s="34" t="s">
        <v>4491</v>
      </c>
      <c r="G22" s="34" t="s">
        <v>4492</v>
      </c>
      <c r="H22" s="34" t="s">
        <v>4493</v>
      </c>
      <c r="I22" s="34" t="s">
        <v>4494</v>
      </c>
      <c r="J22" s="34" t="s">
        <v>4495</v>
      </c>
      <c r="K22" s="34" t="s">
        <v>4496</v>
      </c>
    </row>
    <row r="23" spans="1:14" x14ac:dyDescent="0.25">
      <c r="A23" s="33" t="str" cm="1">
        <f t="array" ref="A23">IFERROR(INDEX(Register!$B$3:$B$1409,ROW(),0), "")</f>
        <v>RANDALL RACE PARTS</v>
      </c>
      <c r="B23" s="32" t="e">
        <f>VLOOKUP($A23,Register!$B$3:$E$1409,6,FALSE)</f>
        <v>#REF!</v>
      </c>
      <c r="C23" s="32" t="e">
        <f>VLOOKUP($A23,Register!$B$3:$E$1409,7,FALSE)</f>
        <v>#REF!</v>
      </c>
      <c r="D23" s="32" t="e">
        <f>VLOOKUP($A23,Register!$B$3:$E$1409,8,FALSE)</f>
        <v>#REF!</v>
      </c>
      <c r="E23" s="34" t="s">
        <v>4490</v>
      </c>
      <c r="F23" s="34" t="s">
        <v>4491</v>
      </c>
      <c r="G23" s="34" t="s">
        <v>4492</v>
      </c>
      <c r="H23" s="34" t="s">
        <v>4493</v>
      </c>
      <c r="I23" s="34" t="s">
        <v>4494</v>
      </c>
      <c r="J23" s="34" t="s">
        <v>4495</v>
      </c>
      <c r="K23" s="34" t="s">
        <v>4496</v>
      </c>
    </row>
    <row r="24" spans="1:14" x14ac:dyDescent="0.25">
      <c r="A24" s="33" t="str" cm="1">
        <f t="array" ref="A24">IFERROR(INDEX(Register!$B$3:$B$1409,ROW(),0), "")</f>
        <v>Barcode Australia Pty Ltd</v>
      </c>
      <c r="B24" s="32" t="e">
        <f>VLOOKUP($A24,Register!$B$3:$E$1409,6,FALSE)</f>
        <v>#REF!</v>
      </c>
      <c r="C24" s="32" t="e">
        <f>VLOOKUP($A24,Register!$B$3:$E$1409,7,FALSE)</f>
        <v>#REF!</v>
      </c>
      <c r="D24" s="32" t="e">
        <f>VLOOKUP($A24,Register!$B$3:$E$1409,8,FALSE)</f>
        <v>#REF!</v>
      </c>
      <c r="E24" s="34" t="s">
        <v>148</v>
      </c>
    </row>
    <row r="25" spans="1:14" x14ac:dyDescent="0.25">
      <c r="A25" s="33" t="str" cm="1">
        <f t="array" ref="A25">IFERROR(INDEX(Register!$B$3:$B$1409,ROW(),0), "")</f>
        <v>Epoxy Technology Inc.</v>
      </c>
      <c r="B25" s="32" t="e">
        <f>VLOOKUP($A25,Register!$B$3:$E$1409,6,FALSE)</f>
        <v>#REF!</v>
      </c>
      <c r="C25" s="32" t="e">
        <f>VLOOKUP($A25,Register!$B$3:$E$1409,7,FALSE)</f>
        <v>#REF!</v>
      </c>
      <c r="D25" s="32" t="e">
        <f>VLOOKUP($A25,Register!$B$3:$E$1409,8,FALSE)</f>
        <v>#REF!</v>
      </c>
      <c r="E25" s="34" t="s">
        <v>4497</v>
      </c>
      <c r="F25" s="34" t="s">
        <v>4498</v>
      </c>
      <c r="G25" s="34" t="s">
        <v>4499</v>
      </c>
      <c r="H25" s="34" t="s">
        <v>4500</v>
      </c>
      <c r="I25" s="34" t="s">
        <v>4501</v>
      </c>
      <c r="J25" s="34" t="s">
        <v>4502</v>
      </c>
      <c r="K25" s="34" t="s">
        <v>4503</v>
      </c>
      <c r="L25" s="32" t="s">
        <v>4504</v>
      </c>
      <c r="M25" s="32" t="s">
        <v>4505</v>
      </c>
      <c r="N25" s="32" t="s">
        <v>4506</v>
      </c>
    </row>
    <row r="26" spans="1:14" x14ac:dyDescent="0.25">
      <c r="A26" s="33" t="str" cm="1">
        <f t="array" ref="A26">IFERROR(INDEX(Register!$B$3:$B$1409,ROW(),0), "")</f>
        <v>K.R. ANDERSON, INC. / KRAYDEN</v>
      </c>
      <c r="B26" s="32" t="e">
        <f>VLOOKUP($A26,Register!$B$3:$E$1409,6,FALSE)</f>
        <v>#REF!</v>
      </c>
      <c r="C26" s="32" t="e">
        <f>VLOOKUP($A26,Register!$B$3:$E$1409,7,FALSE)</f>
        <v>#REF!</v>
      </c>
      <c r="D26" s="32" t="e">
        <f>VLOOKUP($A26,Register!$B$3:$E$1409,8,FALSE)</f>
        <v>#REF!</v>
      </c>
      <c r="E26" s="34" t="s">
        <v>4497</v>
      </c>
      <c r="F26" s="34" t="s">
        <v>4507</v>
      </c>
      <c r="G26" s="34" t="s">
        <v>4508</v>
      </c>
      <c r="H26" s="34" t="s">
        <v>4509</v>
      </c>
      <c r="I26" s="34" t="s">
        <v>4510</v>
      </c>
      <c r="J26" s="34" t="s">
        <v>4511</v>
      </c>
      <c r="K26" s="34" t="s">
        <v>4512</v>
      </c>
      <c r="L26" s="32" t="s">
        <v>4513</v>
      </c>
      <c r="M26" s="32" t="s">
        <v>4514</v>
      </c>
    </row>
    <row r="27" spans="1:14" x14ac:dyDescent="0.25">
      <c r="A27" s="33" t="str" cm="1">
        <f t="array" ref="A27">IFERROR(INDEX(Register!$B$3:$B$1409,ROW(),0), "")</f>
        <v>InfinityBond.com</v>
      </c>
      <c r="B27" s="32" t="e">
        <f>VLOOKUP($A27,Register!$B$3:$E$1409,6,FALSE)</f>
        <v>#REF!</v>
      </c>
      <c r="C27" s="32" t="e">
        <f>VLOOKUP($A27,Register!$B$3:$E$1409,7,FALSE)</f>
        <v>#REF!</v>
      </c>
      <c r="D27" s="32" t="e">
        <f>VLOOKUP($A27,Register!$B$3:$E$1409,8,FALSE)</f>
        <v>#REF!</v>
      </c>
      <c r="E27" s="34" t="s">
        <v>4515</v>
      </c>
      <c r="F27" s="34" t="s">
        <v>4516</v>
      </c>
      <c r="G27" s="34" t="s">
        <v>4517</v>
      </c>
      <c r="H27" s="34" t="s">
        <v>4518</v>
      </c>
      <c r="I27" s="34" t="s">
        <v>4519</v>
      </c>
      <c r="J27" s="34" t="s">
        <v>4520</v>
      </c>
      <c r="K27" s="34" t="s">
        <v>4521</v>
      </c>
    </row>
    <row r="28" spans="1:14" x14ac:dyDescent="0.25">
      <c r="A28" s="33" t="str" cm="1">
        <f t="array" ref="A28">IFERROR(INDEX(Register!$B$3:$B$1409,ROW(),0), "")</f>
        <v>Krayden</v>
      </c>
      <c r="B28" s="32" t="e">
        <f>VLOOKUP($A28,Register!$B$3:$E$1409,6,FALSE)</f>
        <v>#REF!</v>
      </c>
      <c r="C28" s="32" t="e">
        <f>VLOOKUP($A28,Register!$B$3:$E$1409,7,FALSE)</f>
        <v>#REF!</v>
      </c>
      <c r="D28" s="32" t="e">
        <f>VLOOKUP($A28,Register!$B$3:$E$1409,8,FALSE)</f>
        <v>#REF!</v>
      </c>
      <c r="E28" s="34" t="s">
        <v>4522</v>
      </c>
      <c r="F28" s="34" t="s">
        <v>4523</v>
      </c>
    </row>
    <row r="29" spans="1:14" x14ac:dyDescent="0.25">
      <c r="A29" s="33" t="str" cm="1">
        <f t="array" ref="A29">IFERROR(INDEX(Register!$B$3:$B$1409,ROW(),0), "")</f>
        <v>KOBY INCORPORATED</v>
      </c>
      <c r="B29" s="32" t="e">
        <f>VLOOKUP($A29,Register!$B$3:$E$1409,6,FALSE)</f>
        <v>#REF!</v>
      </c>
      <c r="C29" s="32" t="e">
        <f>VLOOKUP($A29,Register!$B$3:$E$1409,7,FALSE)</f>
        <v>#REF!</v>
      </c>
      <c r="D29" s="32" t="e">
        <f>VLOOKUP($A29,Register!$B$3:$E$1409,8,FALSE)</f>
        <v>#REF!</v>
      </c>
      <c r="E29" s="34" t="s">
        <v>4524</v>
      </c>
    </row>
    <row r="30" spans="1:14" x14ac:dyDescent="0.25">
      <c r="A30" s="33" t="str" cm="1">
        <f t="array" ref="A30">IFERROR(INDEX(Register!$B$3:$B$1409,ROW(),0), "")</f>
        <v>Celltech (Zhongshan) China</v>
      </c>
      <c r="B30" s="32" t="e">
        <f>VLOOKUP($A30,Register!$B$3:$E$1409,6,FALSE)</f>
        <v>#REF!</v>
      </c>
      <c r="C30" s="32" t="e">
        <f>VLOOKUP($A30,Register!$B$3:$E$1409,7,FALSE)</f>
        <v>#REF!</v>
      </c>
      <c r="D30" s="32" t="e">
        <f>VLOOKUP($A30,Register!$B$3:$E$1409,8,FALSE)</f>
        <v>#REF!</v>
      </c>
      <c r="E30" s="34" t="s">
        <v>148</v>
      </c>
    </row>
    <row r="31" spans="1:14" x14ac:dyDescent="0.25">
      <c r="A31" s="33" t="str" cm="1">
        <f t="array" ref="A31">IFERROR(INDEX(Register!$B$3:$B$1409,ROW(),0), "")</f>
        <v>EEMB Energy Power Co Ltd (EEMB (SZ) Co. Ltd)</v>
      </c>
      <c r="B31" s="32" t="e">
        <f>VLOOKUP($A31,Register!$B$3:$E$1409,6,FALSE)</f>
        <v>#REF!</v>
      </c>
      <c r="C31" s="32" t="e">
        <f>VLOOKUP($A31,Register!$B$3:$E$1409,7,FALSE)</f>
        <v>#REF!</v>
      </c>
      <c r="D31" s="32" t="e">
        <f>VLOOKUP($A31,Register!$B$3:$E$1409,8,FALSE)</f>
        <v>#REF!</v>
      </c>
      <c r="E31" s="34" t="s">
        <v>4525</v>
      </c>
      <c r="F31" s="34" t="s">
        <v>4526</v>
      </c>
    </row>
    <row r="32" spans="1:14" x14ac:dyDescent="0.25">
      <c r="A32" s="33" t="str" cm="1">
        <f t="array" ref="A32">IFERROR(INDEX(Register!$B$3:$B$1409,ROW(),0), "")</f>
        <v>Master Instruments</v>
      </c>
      <c r="B32" s="32" t="e">
        <f>VLOOKUP($A32,Register!$B$3:$E$1409,6,FALSE)</f>
        <v>#REF!</v>
      </c>
      <c r="C32" s="32" t="e">
        <f>VLOOKUP($A32,Register!$B$3:$E$1409,7,FALSE)</f>
        <v>#REF!</v>
      </c>
      <c r="D32" s="32" t="e">
        <f>VLOOKUP($A32,Register!$B$3:$E$1409,8,FALSE)</f>
        <v>#REF!</v>
      </c>
      <c r="E32" s="34" t="s">
        <v>4527</v>
      </c>
      <c r="F32" s="34" t="s">
        <v>4528</v>
      </c>
    </row>
    <row r="33" spans="1:11" x14ac:dyDescent="0.25">
      <c r="A33" s="33" t="str" cm="1">
        <f t="array" ref="A33">IFERROR(INDEX(Register!$B$3:$B$1409,ROW(),0), "")</f>
        <v>Renata</v>
      </c>
      <c r="B33" s="32" t="e">
        <f>VLOOKUP($A33,Register!$B$3:$E$1409,6,FALSE)</f>
        <v>#REF!</v>
      </c>
      <c r="C33" s="32" t="e">
        <f>VLOOKUP($A33,Register!$B$3:$E$1409,7,FALSE)</f>
        <v>#REF!</v>
      </c>
      <c r="D33" s="32" t="e">
        <f>VLOOKUP($A33,Register!$B$3:$E$1409,8,FALSE)</f>
        <v>#REF!</v>
      </c>
      <c r="E33" s="34" t="s">
        <v>148</v>
      </c>
    </row>
    <row r="34" spans="1:11" x14ac:dyDescent="0.25">
      <c r="A34" s="33" t="str" cm="1">
        <f t="array" ref="A34">IFERROR(INDEX(Register!$B$3:$B$1409,ROW(),0), "")</f>
        <v>Shenzhen BAK Technology</v>
      </c>
      <c r="B34" s="32" t="e">
        <f>VLOOKUP($A34,Register!$B$3:$E$1409,6,FALSE)</f>
        <v>#REF!</v>
      </c>
      <c r="C34" s="32" t="e">
        <f>VLOOKUP($A34,Register!$B$3:$E$1409,7,FALSE)</f>
        <v>#REF!</v>
      </c>
      <c r="D34" s="32" t="e">
        <f>VLOOKUP($A34,Register!$B$3:$E$1409,8,FALSE)</f>
        <v>#REF!</v>
      </c>
      <c r="E34" s="34" t="s">
        <v>148</v>
      </c>
    </row>
    <row r="35" spans="1:11" x14ac:dyDescent="0.25">
      <c r="A35" s="33" t="str" cm="1">
        <f t="array" ref="A35">IFERROR(INDEX(Register!$B$3:$B$1409,ROW(),0), "")</f>
        <v>Varta Microbattery Pte Ltd</v>
      </c>
      <c r="B35" s="32" t="e">
        <f>VLOOKUP($A35,Register!$B$3:$E$1409,6,FALSE)</f>
        <v>#REF!</v>
      </c>
      <c r="C35" s="32" t="e">
        <f>VLOOKUP($A35,Register!$B$3:$E$1409,7,FALSE)</f>
        <v>#REF!</v>
      </c>
      <c r="D35" s="32" t="e">
        <f>VLOOKUP($A35,Register!$B$3:$E$1409,8,FALSE)</f>
        <v>#REF!</v>
      </c>
      <c r="E35" s="34" t="s">
        <v>4529</v>
      </c>
      <c r="F35" s="34" t="s">
        <v>4530</v>
      </c>
      <c r="G35" s="34" t="s">
        <v>4531</v>
      </c>
    </row>
    <row r="36" spans="1:11" x14ac:dyDescent="0.25">
      <c r="A36" s="33" t="str" cm="1">
        <f t="array" ref="A36">IFERROR(INDEX(Register!$B$3:$B$1409,ROW(),0), "")</f>
        <v>Alpine Bearing West Inc</v>
      </c>
      <c r="B36" s="32" t="e">
        <f>VLOOKUP($A36,Register!$B$3:$E$1409,6,FALSE)</f>
        <v>#REF!</v>
      </c>
      <c r="C36" s="32" t="e">
        <f>VLOOKUP($A36,Register!$B$3:$E$1409,7,FALSE)</f>
        <v>#REF!</v>
      </c>
      <c r="D36" s="32" t="e">
        <f>VLOOKUP($A36,Register!$B$3:$E$1409,8,FALSE)</f>
        <v>#REF!</v>
      </c>
      <c r="E36" s="34" t="s">
        <v>4532</v>
      </c>
      <c r="F36" s="34" t="s">
        <v>4533</v>
      </c>
      <c r="G36" s="34" t="s">
        <v>4534</v>
      </c>
    </row>
    <row r="37" spans="1:11" x14ac:dyDescent="0.25">
      <c r="A37" s="33" t="str" cm="1">
        <f t="array" ref="A37">IFERROR(INDEX(Register!$B$3:$B$1409,ROW(),0), "")</f>
        <v>AST Bearings LLC.</v>
      </c>
      <c r="B37" s="32" t="e">
        <f>VLOOKUP($A37,Register!$B$3:$E$1409,6,FALSE)</f>
        <v>#REF!</v>
      </c>
      <c r="C37" s="32" t="e">
        <f>VLOOKUP($A37,Register!$B$3:$E$1409,7,FALSE)</f>
        <v>#REF!</v>
      </c>
      <c r="D37" s="32" t="e">
        <f>VLOOKUP($A37,Register!$B$3:$E$1409,8,FALSE)</f>
        <v>#REF!</v>
      </c>
      <c r="E37" s="34" t="s">
        <v>148</v>
      </c>
    </row>
    <row r="38" spans="1:11" x14ac:dyDescent="0.25">
      <c r="A38" s="33" t="str" cm="1">
        <f t="array" ref="A38">IFERROR(INDEX(Register!$B$3:$B$1409,ROW(),0), "")</f>
        <v>BOCA BEARING COMPANY</v>
      </c>
      <c r="B38" s="32" t="e">
        <f>VLOOKUP($A38,Register!$B$3:$E$1409,6,FALSE)</f>
        <v>#REF!</v>
      </c>
      <c r="C38" s="32" t="e">
        <f>VLOOKUP($A38,Register!$B$3:$E$1409,7,FALSE)</f>
        <v>#REF!</v>
      </c>
      <c r="D38" s="32" t="e">
        <f>VLOOKUP($A38,Register!$B$3:$E$1409,8,FALSE)</f>
        <v>#REF!</v>
      </c>
      <c r="E38" s="34" t="s">
        <v>4535</v>
      </c>
      <c r="F38" s="34" t="s">
        <v>4536</v>
      </c>
      <c r="G38" s="34" t="s">
        <v>4537</v>
      </c>
      <c r="H38" s="34" t="s">
        <v>4538</v>
      </c>
      <c r="I38" s="34" t="s">
        <v>4539</v>
      </c>
      <c r="J38" s="34" t="s">
        <v>4540</v>
      </c>
      <c r="K38" s="34" t="s">
        <v>716</v>
      </c>
    </row>
    <row r="39" spans="1:11" x14ac:dyDescent="0.25">
      <c r="A39" s="33" t="str" cm="1">
        <f t="array" ref="A39">IFERROR(INDEX(Register!$B$3:$B$1409,ROW(),0), "")</f>
        <v>EZO PRECISION BALL BEARINGS</v>
      </c>
      <c r="B39" s="32" t="e">
        <f>VLOOKUP($A39,Register!$B$3:$E$1409,6,FALSE)</f>
        <v>#REF!</v>
      </c>
      <c r="C39" s="32" t="e">
        <f>VLOOKUP($A39,Register!$B$3:$E$1409,7,FALSE)</f>
        <v>#REF!</v>
      </c>
      <c r="D39" s="32" t="e">
        <f>VLOOKUP($A39,Register!$B$3:$E$1409,8,FALSE)</f>
        <v>#REF!</v>
      </c>
      <c r="E39" s="34" t="s">
        <v>148</v>
      </c>
    </row>
    <row r="40" spans="1:11" x14ac:dyDescent="0.25">
      <c r="A40" s="33" t="str" cm="1">
        <f t="array" ref="A40">IFERROR(INDEX(Register!$B$3:$B$1409,ROW(),0), "")</f>
        <v>Mechatronics dba National Precision Bearing</v>
      </c>
      <c r="B40" s="32" t="e">
        <f>VLOOKUP($A40,Register!$B$3:$E$1409,6,FALSE)</f>
        <v>#REF!</v>
      </c>
      <c r="C40" s="32" t="e">
        <f>VLOOKUP($A40,Register!$B$3:$E$1409,7,FALSE)</f>
        <v>#REF!</v>
      </c>
      <c r="D40" s="32" t="e">
        <f>VLOOKUP($A40,Register!$B$3:$E$1409,8,FALSE)</f>
        <v>#REF!</v>
      </c>
      <c r="E40" s="34" t="s">
        <v>148</v>
      </c>
    </row>
    <row r="41" spans="1:11" x14ac:dyDescent="0.25">
      <c r="A41" s="33" t="str" cm="1">
        <f t="array" ref="A41">IFERROR(INDEX(Register!$B$3:$B$1409,ROW(),0), "")</f>
        <v>MINIATURE INSTRUMENT COMPONENT</v>
      </c>
      <c r="B41" s="32" t="e">
        <f>VLOOKUP($A41,Register!$B$3:$E$1409,6,FALSE)</f>
        <v>#REF!</v>
      </c>
      <c r="C41" s="32" t="e">
        <f>VLOOKUP($A41,Register!$B$3:$E$1409,7,FALSE)</f>
        <v>#REF!</v>
      </c>
      <c r="D41" s="32" t="e">
        <f>VLOOKUP($A41,Register!$B$3:$E$1409,8,FALSE)</f>
        <v>#REF!</v>
      </c>
      <c r="E41" s="34" t="s">
        <v>148</v>
      </c>
    </row>
    <row r="42" spans="1:11" x14ac:dyDescent="0.25">
      <c r="A42" s="33" t="str" cm="1">
        <f t="array" ref="A42">IFERROR(INDEX(Register!$B$3:$B$1409,ROW(),0), "")</f>
        <v>CableConn</v>
      </c>
      <c r="B42" s="32" t="e">
        <f>VLOOKUP($A42,Register!$B$3:$E$1409,6,FALSE)</f>
        <v>#REF!</v>
      </c>
      <c r="C42" s="32" t="e">
        <f>VLOOKUP($A42,Register!$B$3:$E$1409,7,FALSE)</f>
        <v>#REF!</v>
      </c>
      <c r="D42" s="32" t="e">
        <f>VLOOKUP($A42,Register!$B$3:$E$1409,8,FALSE)</f>
        <v>#REF!</v>
      </c>
      <c r="E42" s="34" t="s">
        <v>4541</v>
      </c>
      <c r="F42" s="34" t="s">
        <v>4542</v>
      </c>
      <c r="G42" s="34" t="s">
        <v>4543</v>
      </c>
      <c r="H42" s="34" t="s">
        <v>4544</v>
      </c>
      <c r="I42" s="34" t="s">
        <v>4545</v>
      </c>
      <c r="J42" s="34" t="s">
        <v>4546</v>
      </c>
    </row>
    <row r="43" spans="1:11" x14ac:dyDescent="0.25">
      <c r="A43" s="33" t="str" cm="1">
        <f t="array" ref="A43">IFERROR(INDEX(Register!$B$3:$B$1409,ROW(),0), "")</f>
        <v>Cicoil, LLC</v>
      </c>
      <c r="B43" s="32" t="e">
        <f>VLOOKUP($A43,Register!$B$3:$E$1409,6,FALSE)</f>
        <v>#REF!</v>
      </c>
      <c r="C43" s="32" t="e">
        <f>VLOOKUP($A43,Register!$B$3:$E$1409,7,FALSE)</f>
        <v>#REF!</v>
      </c>
      <c r="D43" s="32" t="e">
        <f>VLOOKUP($A43,Register!$B$3:$E$1409,8,FALSE)</f>
        <v>#REF!</v>
      </c>
      <c r="E43" s="34" t="s">
        <v>148</v>
      </c>
    </row>
    <row r="44" spans="1:11" x14ac:dyDescent="0.25">
      <c r="A44" s="33" t="str" cm="1">
        <f t="array" ref="A44">IFERROR(INDEX(Register!$B$3:$B$1409,ROW(),0), "")</f>
        <v>DataPro International Inc</v>
      </c>
      <c r="B44" s="32" t="e">
        <f>VLOOKUP($A44,Register!$B$3:$E$1409,6,FALSE)</f>
        <v>#REF!</v>
      </c>
      <c r="C44" s="32" t="e">
        <f>VLOOKUP($A44,Register!$B$3:$E$1409,7,FALSE)</f>
        <v>#REF!</v>
      </c>
      <c r="D44" s="32" t="e">
        <f>VLOOKUP($A44,Register!$B$3:$E$1409,8,FALSE)</f>
        <v>#REF!</v>
      </c>
      <c r="E44" s="34" t="s">
        <v>148</v>
      </c>
    </row>
    <row r="45" spans="1:11" x14ac:dyDescent="0.25">
      <c r="A45" s="33" t="str" cm="1">
        <f t="array" ref="A45">IFERROR(INDEX(Register!$B$3:$B$1409,ROW(),0), "")</f>
        <v>DDH ENTERPRISE, INC.</v>
      </c>
      <c r="B45" s="32" t="e">
        <f>VLOOKUP($A45,Register!$B$3:$E$1409,6,FALSE)</f>
        <v>#REF!</v>
      </c>
      <c r="C45" s="32" t="e">
        <f>VLOOKUP($A45,Register!$B$3:$E$1409,7,FALSE)</f>
        <v>#REF!</v>
      </c>
      <c r="D45" s="32" t="e">
        <f>VLOOKUP($A45,Register!$B$3:$E$1409,8,FALSE)</f>
        <v>#REF!</v>
      </c>
      <c r="E45" s="34" t="s">
        <v>4547</v>
      </c>
    </row>
    <row r="46" spans="1:11" x14ac:dyDescent="0.25">
      <c r="A46" s="33" t="str" cm="1">
        <f t="array" ref="A46">IFERROR(INDEX(Register!$B$3:$B$1409,ROW(),0), "")</f>
        <v>Hirakawa Hewtech Corp.</v>
      </c>
      <c r="B46" s="32" t="e">
        <f>VLOOKUP($A46,Register!$B$3:$E$1409,6,FALSE)</f>
        <v>#REF!</v>
      </c>
      <c r="C46" s="32" t="e">
        <f>VLOOKUP($A46,Register!$B$3:$E$1409,7,FALSE)</f>
        <v>#REF!</v>
      </c>
      <c r="D46" s="32" t="e">
        <f>VLOOKUP($A46,Register!$B$3:$E$1409,8,FALSE)</f>
        <v>#REF!</v>
      </c>
      <c r="E46" s="34" t="s">
        <v>4548</v>
      </c>
      <c r="F46" s="34" t="s">
        <v>4549</v>
      </c>
      <c r="G46" s="34" t="s">
        <v>4550</v>
      </c>
      <c r="H46" s="34" t="s">
        <v>4551</v>
      </c>
    </row>
    <row r="47" spans="1:11" x14ac:dyDescent="0.25">
      <c r="A47" s="33" t="str" cm="1">
        <f t="array" ref="A47">IFERROR(INDEX(Register!$B$3:$B$1409,ROW(),0), "")</f>
        <v>Interpower Corporation</v>
      </c>
      <c r="B47" s="32" t="e">
        <f>VLOOKUP($A47,Register!$B$3:$E$1409,6,FALSE)</f>
        <v>#REF!</v>
      </c>
      <c r="C47" s="32" t="e">
        <f>VLOOKUP($A47,Register!$B$3:$E$1409,7,FALSE)</f>
        <v>#REF!</v>
      </c>
      <c r="D47" s="32" t="e">
        <f>VLOOKUP($A47,Register!$B$3:$E$1409,8,FALSE)</f>
        <v>#REF!</v>
      </c>
      <c r="E47" s="34" t="s">
        <v>148</v>
      </c>
    </row>
    <row r="48" spans="1:11" x14ac:dyDescent="0.25">
      <c r="A48" s="33" t="str" cm="1">
        <f t="array" ref="A48">IFERROR(INDEX(Register!$B$3:$B$1409,ROW(),0), "")</f>
        <v>Markerry Industries Pty. Ltd.</v>
      </c>
      <c r="B48" s="32" t="e">
        <f>VLOOKUP($A48,Register!$B$3:$E$1409,6,FALSE)</f>
        <v>#REF!</v>
      </c>
      <c r="C48" s="32" t="e">
        <f>VLOOKUP($A48,Register!$B$3:$E$1409,7,FALSE)</f>
        <v>#REF!</v>
      </c>
      <c r="D48" s="32" t="e">
        <f>VLOOKUP($A48,Register!$B$3:$E$1409,8,FALSE)</f>
        <v>#REF!</v>
      </c>
      <c r="E48" s="34" t="s">
        <v>4552</v>
      </c>
    </row>
    <row r="49" spans="1:29" x14ac:dyDescent="0.25">
      <c r="A49" s="33" t="str" cm="1">
        <f t="array" ref="A49">IFERROR(INDEX(Register!$B$3:$B$1409,ROW(),0), "")</f>
        <v>Markerry Industries-AUD</v>
      </c>
      <c r="B49" s="32" t="e">
        <f>VLOOKUP($A49,Register!$B$3:$E$1409,6,FALSE)</f>
        <v>#REF!</v>
      </c>
      <c r="C49" s="32" t="e">
        <f>VLOOKUP($A49,Register!$B$3:$E$1409,7,FALSE)</f>
        <v>#REF!</v>
      </c>
      <c r="D49" s="32" t="e">
        <f>VLOOKUP($A49,Register!$B$3:$E$1409,8,FALSE)</f>
        <v>#REF!</v>
      </c>
      <c r="E49" s="34" t="s">
        <v>4553</v>
      </c>
    </row>
    <row r="50" spans="1:29" x14ac:dyDescent="0.25">
      <c r="A50" s="33" t="str" cm="1">
        <f t="array" ref="A50">IFERROR(INDEX(Register!$B$3:$B$1409,ROW(),0), "")</f>
        <v>Markerry Industries-USD</v>
      </c>
      <c r="B50" s="32" t="e">
        <f>VLOOKUP($A50,Register!$B$3:$E$1409,6,FALSE)</f>
        <v>#REF!</v>
      </c>
      <c r="C50" s="32" t="e">
        <f>VLOOKUP($A50,Register!$B$3:$E$1409,7,FALSE)</f>
        <v>#REF!</v>
      </c>
      <c r="D50" s="32" t="e">
        <f>VLOOKUP($A50,Register!$B$3:$E$1409,8,FALSE)</f>
        <v>#REF!</v>
      </c>
      <c r="E50" s="34" t="s">
        <v>4554</v>
      </c>
      <c r="F50" s="34" t="s">
        <v>4555</v>
      </c>
      <c r="G50" s="34" t="s">
        <v>4556</v>
      </c>
      <c r="H50" s="34" t="s">
        <v>4557</v>
      </c>
      <c r="I50" s="34" t="s">
        <v>4558</v>
      </c>
      <c r="J50" s="34" t="s">
        <v>4559</v>
      </c>
      <c r="K50" s="34" t="s">
        <v>4560</v>
      </c>
      <c r="L50" s="32" t="s">
        <v>4561</v>
      </c>
      <c r="M50" s="32" t="s">
        <v>4562</v>
      </c>
      <c r="N50" s="32" t="s">
        <v>4563</v>
      </c>
      <c r="O50" s="32" t="s">
        <v>4564</v>
      </c>
      <c r="P50" s="32" t="s">
        <v>4565</v>
      </c>
      <c r="Q50" s="32" t="s">
        <v>4566</v>
      </c>
      <c r="R50" s="32" t="s">
        <v>4567</v>
      </c>
      <c r="S50" s="32" t="s">
        <v>4568</v>
      </c>
      <c r="T50" s="32" t="s">
        <v>4569</v>
      </c>
      <c r="U50" s="32" t="s">
        <v>4570</v>
      </c>
    </row>
    <row r="51" spans="1:29" x14ac:dyDescent="0.25">
      <c r="A51" s="33" t="str" cm="1">
        <f t="array" ref="A51">IFERROR(INDEX(Register!$B$3:$B$1409,ROW(),0), "")</f>
        <v>Markerry Manufacturing SDN BHD</v>
      </c>
      <c r="B51" s="32" t="e">
        <f>VLOOKUP($A51,Register!$B$3:$E$1409,6,FALSE)</f>
        <v>#REF!</v>
      </c>
      <c r="C51" s="32" t="e">
        <f>VLOOKUP($A51,Register!$B$3:$E$1409,7,FALSE)</f>
        <v>#REF!</v>
      </c>
      <c r="D51" s="32" t="e">
        <f>VLOOKUP($A51,Register!$B$3:$E$1409,8,FALSE)</f>
        <v>#REF!</v>
      </c>
      <c r="E51" s="34" t="s">
        <v>4571</v>
      </c>
      <c r="F51" s="34" t="s">
        <v>4572</v>
      </c>
      <c r="G51" s="34" t="s">
        <v>4573</v>
      </c>
      <c r="H51" s="34" t="s">
        <v>4574</v>
      </c>
      <c r="I51" s="34" t="s">
        <v>4575</v>
      </c>
      <c r="J51" s="34" t="s">
        <v>4576</v>
      </c>
      <c r="K51" s="34" t="s">
        <v>4577</v>
      </c>
      <c r="L51" s="32" t="s">
        <v>4578</v>
      </c>
      <c r="M51" s="32" t="s">
        <v>4579</v>
      </c>
      <c r="N51" s="32" t="s">
        <v>4580</v>
      </c>
      <c r="O51" s="32" t="s">
        <v>4581</v>
      </c>
      <c r="P51" s="32" t="s">
        <v>4582</v>
      </c>
      <c r="Q51" s="32" t="s">
        <v>4583</v>
      </c>
    </row>
    <row r="52" spans="1:29" x14ac:dyDescent="0.25">
      <c r="A52" s="33" t="str" cm="1">
        <f t="array" ref="A52">IFERROR(INDEX(Register!$B$3:$B$1409,ROW(),0), "")</f>
        <v>Newnex Technology Corp</v>
      </c>
      <c r="B52" s="32" t="e">
        <f>VLOOKUP($A52,Register!$B$3:$E$1409,6,FALSE)</f>
        <v>#REF!</v>
      </c>
      <c r="C52" s="32" t="e">
        <f>VLOOKUP($A52,Register!$B$3:$E$1409,7,FALSE)</f>
        <v>#REF!</v>
      </c>
      <c r="D52" s="32" t="e">
        <f>VLOOKUP($A52,Register!$B$3:$E$1409,8,FALSE)</f>
        <v>#REF!</v>
      </c>
      <c r="E52" s="34" t="s">
        <v>4584</v>
      </c>
      <c r="F52" s="34" t="s">
        <v>4585</v>
      </c>
      <c r="G52" s="34" t="s">
        <v>4586</v>
      </c>
      <c r="H52" s="34" t="s">
        <v>4587</v>
      </c>
      <c r="I52" s="34" t="s">
        <v>4588</v>
      </c>
      <c r="J52" s="34" t="s">
        <v>4589</v>
      </c>
      <c r="K52" s="34" t="s">
        <v>4590</v>
      </c>
      <c r="L52" s="32" t="s">
        <v>4591</v>
      </c>
      <c r="M52" s="32" t="s">
        <v>4592</v>
      </c>
      <c r="N52" s="32" t="s">
        <v>4593</v>
      </c>
      <c r="O52" s="32" t="s">
        <v>4594</v>
      </c>
      <c r="P52" s="32" t="s">
        <v>4595</v>
      </c>
      <c r="Q52" s="32" t="s">
        <v>4596</v>
      </c>
      <c r="R52" s="32" t="s">
        <v>4597</v>
      </c>
      <c r="S52" s="32" t="s">
        <v>4598</v>
      </c>
      <c r="T52" s="32" t="s">
        <v>4599</v>
      </c>
      <c r="U52" s="32" t="s">
        <v>4600</v>
      </c>
      <c r="V52" s="32" t="s">
        <v>4601</v>
      </c>
      <c r="W52" s="32" t="s">
        <v>4602</v>
      </c>
      <c r="X52" s="32" t="s">
        <v>4603</v>
      </c>
      <c r="Y52" s="32" t="s">
        <v>4604</v>
      </c>
      <c r="Z52" s="32" t="s">
        <v>4605</v>
      </c>
      <c r="AA52" s="32" t="s">
        <v>4606</v>
      </c>
      <c r="AB52" s="32" t="s">
        <v>4607</v>
      </c>
      <c r="AC52" s="32" t="s">
        <v>4608</v>
      </c>
    </row>
    <row r="53" spans="1:29" x14ac:dyDescent="0.25">
      <c r="A53" s="33" t="str" cm="1">
        <f t="array" ref="A53">IFERROR(INDEX(Register!$B$3:$B$1409,ROW(),0), "")</f>
        <v>Shenzhen Superlink Technology LTD.</v>
      </c>
      <c r="B53" s="32" t="e">
        <f>VLOOKUP($A53,Register!$B$3:$E$1409,6,FALSE)</f>
        <v>#REF!</v>
      </c>
      <c r="C53" s="32" t="e">
        <f>VLOOKUP($A53,Register!$B$3:$E$1409,7,FALSE)</f>
        <v>#REF!</v>
      </c>
      <c r="D53" s="32" t="e">
        <f>VLOOKUP($A53,Register!$B$3:$E$1409,8,FALSE)</f>
        <v>#REF!</v>
      </c>
      <c r="E53" s="34" t="s">
        <v>4609</v>
      </c>
      <c r="F53" s="34" t="s">
        <v>4610</v>
      </c>
      <c r="G53" s="34" t="s">
        <v>4611</v>
      </c>
      <c r="H53" s="34" t="s">
        <v>4612</v>
      </c>
      <c r="I53" s="34" t="s">
        <v>4613</v>
      </c>
      <c r="J53" s="34" t="s">
        <v>4614</v>
      </c>
      <c r="K53" s="34" t="s">
        <v>4615</v>
      </c>
    </row>
    <row r="54" spans="1:29" x14ac:dyDescent="0.25">
      <c r="A54" s="33" t="str" cm="1">
        <f t="array" ref="A54">IFERROR(INDEX(Register!$B$3:$B$1409,ROW(),0), "")</f>
        <v>SHENZHEN ZUOSHEN Electronic Co;Ltd</v>
      </c>
      <c r="B54" s="32" t="e">
        <f>VLOOKUP($A54,Register!$B$3:$E$1409,6,FALSE)</f>
        <v>#REF!</v>
      </c>
      <c r="C54" s="32" t="e">
        <f>VLOOKUP($A54,Register!$B$3:$E$1409,7,FALSE)</f>
        <v>#REF!</v>
      </c>
      <c r="D54" s="32" t="e">
        <f>VLOOKUP($A54,Register!$B$3:$E$1409,8,FALSE)</f>
        <v>#REF!</v>
      </c>
      <c r="E54" s="34" t="s">
        <v>4616</v>
      </c>
    </row>
    <row r="55" spans="1:29" x14ac:dyDescent="0.25">
      <c r="A55" s="33" t="str" cm="1">
        <f t="array" ref="A55">IFERROR(INDEX(Register!$B$3:$B$1409,ROW(),0), "")</f>
        <v>ANAHEIM WIRE, INC.</v>
      </c>
      <c r="B55" s="32" t="e">
        <f>VLOOKUP($A55,Register!$B$3:$E$1409,6,FALSE)</f>
        <v>#REF!</v>
      </c>
      <c r="C55" s="32" t="e">
        <f>VLOOKUP($A55,Register!$B$3:$E$1409,7,FALSE)</f>
        <v>#REF!</v>
      </c>
      <c r="D55" s="32" t="e">
        <f>VLOOKUP($A55,Register!$B$3:$E$1409,8,FALSE)</f>
        <v>#REF!</v>
      </c>
      <c r="E55" s="34" t="s">
        <v>324</v>
      </c>
    </row>
    <row r="56" spans="1:29" x14ac:dyDescent="0.25">
      <c r="A56" s="33" t="str" cm="1">
        <f t="array" ref="A56">IFERROR(INDEX(Register!$B$3:$B$1409,ROW(),0), "")</f>
        <v>USB FIREWIRE.COM</v>
      </c>
      <c r="B56" s="32" t="e">
        <f>VLOOKUP($A56,Register!$B$3:$E$1409,6,FALSE)</f>
        <v>#REF!</v>
      </c>
      <c r="C56" s="32" t="e">
        <f>VLOOKUP($A56,Register!$B$3:$E$1409,7,FALSE)</f>
        <v>#REF!</v>
      </c>
      <c r="D56" s="32" t="e">
        <f>VLOOKUP($A56,Register!$B$3:$E$1409,8,FALSE)</f>
        <v>#REF!</v>
      </c>
      <c r="E56" s="34" t="s">
        <v>4617</v>
      </c>
      <c r="F56" s="34" t="s">
        <v>4618</v>
      </c>
      <c r="G56" s="34" t="s">
        <v>4619</v>
      </c>
      <c r="H56" s="34" t="s">
        <v>4620</v>
      </c>
      <c r="I56" s="34" t="s">
        <v>4621</v>
      </c>
      <c r="J56" s="34" t="s">
        <v>4622</v>
      </c>
      <c r="K56" s="34" t="s">
        <v>4623</v>
      </c>
      <c r="L56" s="32" t="s">
        <v>4624</v>
      </c>
      <c r="M56" s="32" t="s">
        <v>4625</v>
      </c>
      <c r="N56" s="32" t="s">
        <v>4626</v>
      </c>
      <c r="O56" s="32" t="s">
        <v>4627</v>
      </c>
      <c r="P56" s="32" t="s">
        <v>4628</v>
      </c>
      <c r="Q56" s="32" t="s">
        <v>4629</v>
      </c>
      <c r="R56" s="32" t="s">
        <v>4630</v>
      </c>
    </row>
    <row r="57" spans="1:29" x14ac:dyDescent="0.25">
      <c r="A57" s="33" t="str" cm="1">
        <f t="array" ref="A57">IFERROR(INDEX(Register!$B$3:$B$1409,ROW(),0), "")</f>
        <v>Zhongshan Zhenfu Electronics Co. Ltd</v>
      </c>
      <c r="B57" s="32" t="e">
        <f>VLOOKUP($A57,Register!$B$3:$E$1409,6,FALSE)</f>
        <v>#REF!</v>
      </c>
      <c r="C57" s="32" t="e">
        <f>VLOOKUP($A57,Register!$B$3:$E$1409,7,FALSE)</f>
        <v>#REF!</v>
      </c>
      <c r="D57" s="32" t="e">
        <f>VLOOKUP($A57,Register!$B$3:$E$1409,8,FALSE)</f>
        <v>#REF!</v>
      </c>
      <c r="E57" s="34" t="s">
        <v>148</v>
      </c>
    </row>
    <row r="58" spans="1:29" x14ac:dyDescent="0.25">
      <c r="A58" s="33" t="str" cm="1">
        <f t="array" ref="A58">IFERROR(INDEX(Register!$B$3:$B$1409,ROW(),0), "")</f>
        <v>CMTI Pte Ltd</v>
      </c>
      <c r="B58" s="32" t="e">
        <f>VLOOKUP($A58,Register!$B$3:$E$1409,6,FALSE)</f>
        <v>#REF!</v>
      </c>
      <c r="C58" s="32" t="e">
        <f>VLOOKUP($A58,Register!$B$3:$E$1409,7,FALSE)</f>
        <v>#REF!</v>
      </c>
      <c r="D58" s="32" t="e">
        <f>VLOOKUP($A58,Register!$B$3:$E$1409,8,FALSE)</f>
        <v>#REF!</v>
      </c>
      <c r="E58" s="34" t="s">
        <v>4631</v>
      </c>
      <c r="F58" s="34" t="s">
        <v>4632</v>
      </c>
      <c r="G58" s="34" t="s">
        <v>4633</v>
      </c>
      <c r="H58" s="34" t="s">
        <v>4634</v>
      </c>
      <c r="I58" s="34" t="s">
        <v>4635</v>
      </c>
      <c r="J58" s="34" t="s">
        <v>4636</v>
      </c>
    </row>
    <row r="59" spans="1:29" x14ac:dyDescent="0.25">
      <c r="A59" s="33" t="str" cm="1">
        <f t="array" ref="A59">IFERROR(INDEX(Register!$B$3:$B$1409,ROW(),0), "")</f>
        <v>Manca Limited</v>
      </c>
      <c r="B59" s="32" t="e">
        <f>VLOOKUP($A59,Register!$B$3:$E$1409,6,FALSE)</f>
        <v>#REF!</v>
      </c>
      <c r="C59" s="32" t="e">
        <f>VLOOKUP($A59,Register!$B$3:$E$1409,7,FALSE)</f>
        <v>#REF!</v>
      </c>
      <c r="D59" s="32" t="e">
        <f>VLOOKUP($A59,Register!$B$3:$E$1409,8,FALSE)</f>
        <v>#REF!</v>
      </c>
      <c r="E59" s="34" t="s">
        <v>4637</v>
      </c>
    </row>
    <row r="60" spans="1:29" x14ac:dyDescent="0.25">
      <c r="A60" s="33" t="str" cm="1">
        <f t="array" ref="A60">IFERROR(INDEX(Register!$B$3:$B$1409,ROW(),0), "")</f>
        <v>Telemeter Electronic GMBH</v>
      </c>
      <c r="B60" s="32" t="e">
        <f>VLOOKUP($A60,Register!$B$3:$E$1409,6,FALSE)</f>
        <v>#REF!</v>
      </c>
      <c r="C60" s="32" t="e">
        <f>VLOOKUP($A60,Register!$B$3:$E$1409,7,FALSE)</f>
        <v>#REF!</v>
      </c>
      <c r="D60" s="32" t="e">
        <f>VLOOKUP($A60,Register!$B$3:$E$1409,8,FALSE)</f>
        <v>#REF!</v>
      </c>
      <c r="E60" s="34" t="s">
        <v>4638</v>
      </c>
      <c r="F60" s="34" t="s">
        <v>4639</v>
      </c>
      <c r="G60" s="34" t="s">
        <v>4640</v>
      </c>
      <c r="H60" s="34" t="s">
        <v>4641</v>
      </c>
      <c r="I60" s="34" t="s">
        <v>4642</v>
      </c>
      <c r="J60" s="34" t="s">
        <v>4643</v>
      </c>
      <c r="K60" s="34" t="s">
        <v>4644</v>
      </c>
      <c r="L60" s="32" t="s">
        <v>4645</v>
      </c>
      <c r="M60" s="32" t="s">
        <v>4646</v>
      </c>
      <c r="N60" s="32" t="s">
        <v>4647</v>
      </c>
      <c r="O60" s="32" t="s">
        <v>4648</v>
      </c>
      <c r="P60" s="32" t="s">
        <v>4649</v>
      </c>
    </row>
    <row r="61" spans="1:29" x14ac:dyDescent="0.25">
      <c r="A61" s="33" t="str" cm="1">
        <f t="array" ref="A61">IFERROR(INDEX(Register!$B$3:$B$1409,ROW(),0), "")</f>
        <v>THERMTROL</v>
      </c>
      <c r="B61" s="32" t="e">
        <f>VLOOKUP($A61,Register!$B$3:$E$1409,6,FALSE)</f>
        <v>#REF!</v>
      </c>
      <c r="C61" s="32" t="e">
        <f>VLOOKUP($A61,Register!$B$3:$E$1409,7,FALSE)</f>
        <v>#REF!</v>
      </c>
      <c r="D61" s="32" t="e">
        <f>VLOOKUP($A61,Register!$B$3:$E$1409,8,FALSE)</f>
        <v>#REF!</v>
      </c>
      <c r="E61" s="34" t="s">
        <v>4650</v>
      </c>
    </row>
    <row r="62" spans="1:29" x14ac:dyDescent="0.25">
      <c r="A62" s="33" t="str" cm="1">
        <f t="array" ref="A62">IFERROR(INDEX(Register!$B$3:$B$1409,ROW(),0), "")</f>
        <v>Pelican Products Pty Ltd</v>
      </c>
      <c r="B62" s="32" t="e">
        <f>VLOOKUP($A62,Register!$B$3:$E$1409,6,FALSE)</f>
        <v>#REF!</v>
      </c>
      <c r="C62" s="32" t="e">
        <f>VLOOKUP($A62,Register!$B$3:$E$1409,7,FALSE)</f>
        <v>#REF!</v>
      </c>
      <c r="D62" s="32" t="e">
        <f>VLOOKUP($A62,Register!$B$3:$E$1409,8,FALSE)</f>
        <v>#REF!</v>
      </c>
      <c r="E62" s="34" t="s">
        <v>4651</v>
      </c>
    </row>
    <row r="63" spans="1:29" x14ac:dyDescent="0.25">
      <c r="A63" s="33" t="str" cm="1">
        <f t="array" ref="A63">IFERROR(INDEX(Register!$B$3:$B$1409,ROW(),0), "")</f>
        <v>Ortech Inc (US)</v>
      </c>
      <c r="B63" s="32" t="e">
        <f>VLOOKUP($A63,Register!$B$3:$E$1409,6,FALSE)</f>
        <v>#REF!</v>
      </c>
      <c r="C63" s="32" t="e">
        <f>VLOOKUP($A63,Register!$B$3:$E$1409,7,FALSE)</f>
        <v>#REF!</v>
      </c>
      <c r="D63" s="32" t="e">
        <f>VLOOKUP($A63,Register!$B$3:$E$1409,8,FALSE)</f>
        <v>#REF!</v>
      </c>
      <c r="E63" s="34" t="s">
        <v>36</v>
      </c>
      <c r="F63" s="34" t="s">
        <v>4652</v>
      </c>
      <c r="G63" s="34" t="s">
        <v>4653</v>
      </c>
      <c r="H63" s="34" t="s">
        <v>4654</v>
      </c>
      <c r="I63" s="34" t="s">
        <v>4655</v>
      </c>
      <c r="J63" s="34" t="s">
        <v>4656</v>
      </c>
      <c r="K63" s="34" t="s">
        <v>4657</v>
      </c>
      <c r="L63" s="32" t="s">
        <v>4658</v>
      </c>
      <c r="M63" s="32" t="s">
        <v>4659</v>
      </c>
      <c r="N63" s="32" t="s">
        <v>4660</v>
      </c>
      <c r="O63" s="32" t="s">
        <v>4661</v>
      </c>
      <c r="P63" s="32" t="s">
        <v>4662</v>
      </c>
      <c r="Q63" s="32" t="s">
        <v>4663</v>
      </c>
      <c r="R63" s="32" t="s">
        <v>4664</v>
      </c>
      <c r="S63" s="32" t="s">
        <v>4665</v>
      </c>
      <c r="T63" s="32" t="s">
        <v>4666</v>
      </c>
      <c r="U63" s="32" t="s">
        <v>4667</v>
      </c>
      <c r="V63" s="32" t="s">
        <v>4668</v>
      </c>
      <c r="W63" s="32" t="s">
        <v>4669</v>
      </c>
      <c r="X63" s="32" t="s">
        <v>4670</v>
      </c>
      <c r="Y63" s="32" t="s">
        <v>4671</v>
      </c>
    </row>
    <row r="64" spans="1:29" x14ac:dyDescent="0.25">
      <c r="A64" s="33" t="str" cm="1">
        <f t="array" ref="A64">IFERROR(INDEX(Register!$B$3:$B$1409,ROW(),0), "")</f>
        <v>Bar's Leaks Australia LP</v>
      </c>
      <c r="B64" s="32" t="e">
        <f>VLOOKUP($A64,Register!$B$3:$E$1409,6,FALSE)</f>
        <v>#REF!</v>
      </c>
      <c r="C64" s="32" t="e">
        <f>VLOOKUP($A64,Register!$B$3:$E$1409,7,FALSE)</f>
        <v>#REF!</v>
      </c>
      <c r="D64" s="32" t="e">
        <f>VLOOKUP($A64,Register!$B$3:$E$1409,8,FALSE)</f>
        <v>#REF!</v>
      </c>
      <c r="E64" s="34" t="s">
        <v>4672</v>
      </c>
      <c r="F64" s="34" t="s">
        <v>4673</v>
      </c>
      <c r="G64" s="34" t="s">
        <v>4674</v>
      </c>
      <c r="H64" s="34" t="s">
        <v>4675</v>
      </c>
      <c r="I64" s="34" t="s">
        <v>4676</v>
      </c>
    </row>
    <row r="65" spans="1:39" x14ac:dyDescent="0.25">
      <c r="A65" s="33" t="str" cm="1">
        <f t="array" ref="A65">IFERROR(INDEX(Register!$B$3:$B$1409,ROW(),0), "")</f>
        <v>Australian Biostain Pty Ltd</v>
      </c>
      <c r="B65" s="32" t="e">
        <f>VLOOKUP($A65,Register!$B$3:$E$1409,6,FALSE)</f>
        <v>#REF!</v>
      </c>
      <c r="C65" s="32" t="e">
        <f>VLOOKUP($A65,Register!$B$3:$E$1409,7,FALSE)</f>
        <v>#REF!</v>
      </c>
      <c r="D65" s="32" t="e">
        <f>VLOOKUP($A65,Register!$B$3:$E$1409,8,FALSE)</f>
        <v>#REF!</v>
      </c>
      <c r="E65" s="34" t="s">
        <v>4677</v>
      </c>
      <c r="F65" s="34" t="s">
        <v>4678</v>
      </c>
      <c r="G65" s="34" t="s">
        <v>4679</v>
      </c>
      <c r="H65" s="34" t="s">
        <v>4680</v>
      </c>
      <c r="I65" s="34" t="s">
        <v>4681</v>
      </c>
      <c r="J65" s="34" t="s">
        <v>4682</v>
      </c>
      <c r="K65" s="34" t="s">
        <v>4683</v>
      </c>
      <c r="L65" s="32" t="s">
        <v>4676</v>
      </c>
      <c r="M65" s="32" t="s">
        <v>4684</v>
      </c>
      <c r="N65" s="32" t="s">
        <v>4685</v>
      </c>
      <c r="O65" s="32" t="s">
        <v>4686</v>
      </c>
      <c r="P65" s="32" t="s">
        <v>48</v>
      </c>
      <c r="Q65" s="32" t="s">
        <v>4687</v>
      </c>
      <c r="R65" s="32" t="s">
        <v>4688</v>
      </c>
      <c r="S65" s="32" t="s">
        <v>4689</v>
      </c>
    </row>
    <row r="66" spans="1:39" x14ac:dyDescent="0.25">
      <c r="A66" s="33" t="str" cm="1">
        <f t="array" ref="A66">IFERROR(INDEX(Register!$B$3:$B$1409,ROW(),0), "")</f>
        <v>Indiana Biosciences Research Institute Inc.</v>
      </c>
      <c r="B66" s="32" t="e">
        <f>VLOOKUP($A66,Register!$B$3:$E$1409,6,FALSE)</f>
        <v>#REF!</v>
      </c>
      <c r="C66" s="32" t="e">
        <f>VLOOKUP($A66,Register!$B$3:$E$1409,7,FALSE)</f>
        <v>#REF!</v>
      </c>
      <c r="D66" s="32" t="e">
        <f>VLOOKUP($A66,Register!$B$3:$E$1409,8,FALSE)</f>
        <v>#REF!</v>
      </c>
      <c r="E66" s="34" t="s">
        <v>148</v>
      </c>
    </row>
    <row r="67" spans="1:39" x14ac:dyDescent="0.25">
      <c r="A67" s="33" t="str" cm="1">
        <f t="array" ref="A67">IFERROR(INDEX(Register!$B$3:$B$1409,ROW(),0), "")</f>
        <v>Clean Room Devices Inc</v>
      </c>
      <c r="B67" s="32" t="e">
        <f>VLOOKUP($A67,Register!$B$3:$E$1409,6,FALSE)</f>
        <v>#REF!</v>
      </c>
      <c r="C67" s="32" t="e">
        <f>VLOOKUP($A67,Register!$B$3:$E$1409,7,FALSE)</f>
        <v>#REF!</v>
      </c>
      <c r="D67" s="32" t="e">
        <f>VLOOKUP($A67,Register!$B$3:$E$1409,8,FALSE)</f>
        <v>#REF!</v>
      </c>
      <c r="E67" s="34" t="s">
        <v>148</v>
      </c>
    </row>
    <row r="68" spans="1:39" x14ac:dyDescent="0.25">
      <c r="A68" s="33" t="str" cm="1">
        <f t="array" ref="A68">IFERROR(INDEX(Register!$B$3:$B$1409,ROW(),0), "")</f>
        <v>LAF Technologies Pty Ltd</v>
      </c>
      <c r="B68" s="32" t="e">
        <f>VLOOKUP($A68,Register!$B$3:$E$1409,6,FALSE)</f>
        <v>#REF!</v>
      </c>
      <c r="C68" s="32" t="e">
        <f>VLOOKUP($A68,Register!$B$3:$E$1409,7,FALSE)</f>
        <v>#REF!</v>
      </c>
      <c r="D68" s="32" t="e">
        <f>VLOOKUP($A68,Register!$B$3:$E$1409,8,FALSE)</f>
        <v>#REF!</v>
      </c>
      <c r="E68" s="34" t="s">
        <v>148</v>
      </c>
    </row>
    <row r="69" spans="1:39" x14ac:dyDescent="0.25">
      <c r="A69" s="33" t="str" cm="1">
        <f t="array" ref="A69">IFERROR(INDEX(Register!$B$3:$B$1409,ROW(),0), "")</f>
        <v>Soyee Australia Pty Ltd</v>
      </c>
      <c r="B69" s="32" t="e">
        <f>VLOOKUP($A69,Register!$B$3:$E$1409,6,FALSE)</f>
        <v>#REF!</v>
      </c>
      <c r="C69" s="32" t="e">
        <f>VLOOKUP($A69,Register!$B$3:$E$1409,7,FALSE)</f>
        <v>#REF!</v>
      </c>
      <c r="D69" s="32" t="e">
        <f>VLOOKUP($A69,Register!$B$3:$E$1409,8,FALSE)</f>
        <v>#REF!</v>
      </c>
      <c r="E69" s="34" t="s">
        <v>148</v>
      </c>
    </row>
    <row r="70" spans="1:39" x14ac:dyDescent="0.25">
      <c r="A70" s="33" t="str" cm="1">
        <f t="array" ref="A70">IFERROR(INDEX(Register!$B$3:$B$1409,ROW(),0), "")</f>
        <v>AIM Inc</v>
      </c>
      <c r="B70" s="32" t="e">
        <f>VLOOKUP($A70,Register!$B$3:$E$1409,6,FALSE)</f>
        <v>#REF!</v>
      </c>
      <c r="C70" s="32" t="e">
        <f>VLOOKUP($A70,Register!$B$3:$E$1409,7,FALSE)</f>
        <v>#REF!</v>
      </c>
      <c r="D70" s="32" t="e">
        <f>VLOOKUP($A70,Register!$B$3:$E$1409,8,FALSE)</f>
        <v>#REF!</v>
      </c>
      <c r="E70" s="34" t="s">
        <v>148</v>
      </c>
    </row>
    <row r="71" spans="1:39" x14ac:dyDescent="0.25">
      <c r="A71" s="33" t="str" cm="1">
        <f t="array" ref="A71">IFERROR(INDEX(Register!$B$3:$B$1409,ROW(),0), "")</f>
        <v>ANCA Engineering</v>
      </c>
      <c r="B71" s="32" t="e">
        <f>VLOOKUP($A71,Register!$B$3:$E$1409,6,FALSE)</f>
        <v>#REF!</v>
      </c>
      <c r="C71" s="32" t="e">
        <f>VLOOKUP($A71,Register!$B$3:$E$1409,7,FALSE)</f>
        <v>#REF!</v>
      </c>
      <c r="D71" s="32" t="e">
        <f>VLOOKUP($A71,Register!$B$3:$E$1409,8,FALSE)</f>
        <v>#REF!</v>
      </c>
      <c r="E71" s="34" t="s">
        <v>4690</v>
      </c>
      <c r="F71" s="34" t="s">
        <v>4691</v>
      </c>
      <c r="G71" s="34" t="s">
        <v>4692</v>
      </c>
      <c r="H71" s="34" t="s">
        <v>4693</v>
      </c>
      <c r="I71" s="34" t="s">
        <v>4694</v>
      </c>
      <c r="J71" s="34" t="s">
        <v>4695</v>
      </c>
      <c r="K71" s="34" t="s">
        <v>4696</v>
      </c>
      <c r="L71" s="32" t="s">
        <v>4697</v>
      </c>
    </row>
    <row r="72" spans="1:39" x14ac:dyDescent="0.25">
      <c r="A72" s="33" t="str" cm="1">
        <f t="array" ref="A72">IFERROR(INDEX(Register!$B$3:$B$1409,ROW(),0), "")</f>
        <v>Dimac Tooling Pty Ltd</v>
      </c>
      <c r="B72" s="32" t="e">
        <f>VLOOKUP($A72,Register!$B$3:$E$1409,6,FALSE)</f>
        <v>#REF!</v>
      </c>
      <c r="C72" s="32" t="e">
        <f>VLOOKUP($A72,Register!$B$3:$E$1409,7,FALSE)</f>
        <v>#REF!</v>
      </c>
      <c r="D72" s="32" t="e">
        <f>VLOOKUP($A72,Register!$B$3:$E$1409,8,FALSE)</f>
        <v>#REF!</v>
      </c>
      <c r="E72" s="34" t="s">
        <v>4698</v>
      </c>
      <c r="F72" s="34" t="s">
        <v>4699</v>
      </c>
      <c r="G72" s="34" t="s">
        <v>4700</v>
      </c>
      <c r="H72" s="34" t="s">
        <v>4701</v>
      </c>
    </row>
    <row r="73" spans="1:39" x14ac:dyDescent="0.25">
      <c r="A73" s="33" t="str" cm="1">
        <f t="array" ref="A73">IFERROR(INDEX(Register!$B$3:$B$1409,ROW(),0), "")</f>
        <v>MESSER CUTTING SYSTEMS CHINA</v>
      </c>
      <c r="B73" s="32" t="e">
        <f>VLOOKUP($A73,Register!$B$3:$E$1409,6,FALSE)</f>
        <v>#REF!</v>
      </c>
      <c r="C73" s="32" t="e">
        <f>VLOOKUP($A73,Register!$B$3:$E$1409,7,FALSE)</f>
        <v>#REF!</v>
      </c>
      <c r="D73" s="32" t="e">
        <f>VLOOKUP($A73,Register!$B$3:$E$1409,8,FALSE)</f>
        <v>#REF!</v>
      </c>
      <c r="E73" s="34" t="s">
        <v>4702</v>
      </c>
      <c r="F73" s="34" t="s">
        <v>4703</v>
      </c>
      <c r="G73" s="34" t="s">
        <v>4704</v>
      </c>
      <c r="H73" s="34" t="s">
        <v>4705</v>
      </c>
      <c r="I73" s="34" t="s">
        <v>4706</v>
      </c>
      <c r="J73" s="34" t="s">
        <v>4707</v>
      </c>
      <c r="K73" s="34" t="s">
        <v>4708</v>
      </c>
      <c r="L73" s="32" t="s">
        <v>4709</v>
      </c>
      <c r="M73" s="32" t="s">
        <v>4710</v>
      </c>
      <c r="N73" s="32" t="s">
        <v>4711</v>
      </c>
      <c r="O73" s="32" t="s">
        <v>4712</v>
      </c>
      <c r="P73" s="32" t="s">
        <v>4713</v>
      </c>
      <c r="Q73" s="32" t="s">
        <v>4714</v>
      </c>
      <c r="R73" s="32" t="s">
        <v>4715</v>
      </c>
      <c r="S73" s="32" t="s">
        <v>4716</v>
      </c>
      <c r="T73" s="32" t="s">
        <v>4717</v>
      </c>
      <c r="U73" s="32" t="s">
        <v>4718</v>
      </c>
      <c r="V73" s="32" t="s">
        <v>4719</v>
      </c>
      <c r="W73" s="32" t="s">
        <v>4720</v>
      </c>
      <c r="X73" s="32" t="s">
        <v>4721</v>
      </c>
      <c r="Y73" s="32" t="s">
        <v>4722</v>
      </c>
      <c r="Z73" s="32" t="s">
        <v>4723</v>
      </c>
      <c r="AA73" s="32" t="s">
        <v>4724</v>
      </c>
      <c r="AB73" s="32" t="s">
        <v>4725</v>
      </c>
      <c r="AC73" s="32" t="s">
        <v>4726</v>
      </c>
      <c r="AD73" s="32" t="s">
        <v>4727</v>
      </c>
      <c r="AE73" s="32" t="s">
        <v>4728</v>
      </c>
      <c r="AF73" s="32" t="s">
        <v>4729</v>
      </c>
      <c r="AG73" s="32" t="s">
        <v>4473</v>
      </c>
      <c r="AH73" s="32" t="s">
        <v>4730</v>
      </c>
      <c r="AI73" s="32" t="s">
        <v>4731</v>
      </c>
      <c r="AJ73" s="32" t="s">
        <v>4732</v>
      </c>
      <c r="AK73" s="32" t="s">
        <v>4733</v>
      </c>
      <c r="AL73" s="32" t="s">
        <v>4734</v>
      </c>
      <c r="AM73" s="32" t="s">
        <v>4735</v>
      </c>
    </row>
    <row r="74" spans="1:39" x14ac:dyDescent="0.25">
      <c r="A74" s="33" t="str" cm="1">
        <f t="array" ref="A74">IFERROR(INDEX(Register!$B$3:$B$1409,ROW(),0), "")</f>
        <v>Dan's Machine Tool Inc.</v>
      </c>
      <c r="B74" s="32" t="e">
        <f>VLOOKUP($A74,Register!$B$3:$E$1409,6,FALSE)</f>
        <v>#REF!</v>
      </c>
      <c r="C74" s="32" t="e">
        <f>VLOOKUP($A74,Register!$B$3:$E$1409,7,FALSE)</f>
        <v>#REF!</v>
      </c>
      <c r="D74" s="32" t="e">
        <f>VLOOKUP($A74,Register!$B$3:$E$1409,8,FALSE)</f>
        <v>#REF!</v>
      </c>
      <c r="E74" s="34" t="s">
        <v>4736</v>
      </c>
      <c r="F74" s="34" t="s">
        <v>4737</v>
      </c>
      <c r="G74" s="34" t="s">
        <v>4738</v>
      </c>
      <c r="H74" s="34" t="s">
        <v>4739</v>
      </c>
      <c r="I74" s="34" t="s">
        <v>4740</v>
      </c>
      <c r="J74" s="34" t="s">
        <v>4741</v>
      </c>
      <c r="K74" s="34" t="s">
        <v>4742</v>
      </c>
      <c r="L74" s="32" t="s">
        <v>4743</v>
      </c>
      <c r="M74" s="32" t="s">
        <v>4744</v>
      </c>
      <c r="N74" s="32" t="s">
        <v>4745</v>
      </c>
      <c r="O74" s="32" t="s">
        <v>4746</v>
      </c>
      <c r="P74" s="32" t="s">
        <v>4747</v>
      </c>
      <c r="Q74" s="32" t="s">
        <v>4748</v>
      </c>
      <c r="R74" s="32" t="s">
        <v>4749</v>
      </c>
      <c r="S74" s="32" t="s">
        <v>4750</v>
      </c>
    </row>
    <row r="75" spans="1:39" x14ac:dyDescent="0.25">
      <c r="A75" s="33" t="str" cm="1">
        <f t="array" ref="A75">IFERROR(INDEX(Register!$B$3:$B$1409,ROW(),0), "")</f>
        <v>Department of Health Therapeutic Goods Admin</v>
      </c>
      <c r="B75" s="32" t="e">
        <f>VLOOKUP($A75,Register!$B$3:$E$1409,6,FALSE)</f>
        <v>#REF!</v>
      </c>
      <c r="C75" s="32" t="e">
        <f>VLOOKUP($A75,Register!$B$3:$E$1409,7,FALSE)</f>
        <v>#REF!</v>
      </c>
      <c r="D75" s="32" t="e">
        <f>VLOOKUP($A75,Register!$B$3:$E$1409,8,FALSE)</f>
        <v>#REF!</v>
      </c>
      <c r="E75" s="34" t="s">
        <v>148</v>
      </c>
    </row>
    <row r="76" spans="1:39" x14ac:dyDescent="0.25">
      <c r="A76" s="33" t="str" cm="1">
        <f t="array" ref="A76">IFERROR(INDEX(Register!$B$3:$B$1409,ROW(),0), "")</f>
        <v>MMRC Pty Ltd</v>
      </c>
      <c r="B76" s="32" t="e">
        <f>VLOOKUP($A76,Register!$B$3:$E$1409,6,FALSE)</f>
        <v>#REF!</v>
      </c>
      <c r="C76" s="32" t="e">
        <f>VLOOKUP($A76,Register!$B$3:$E$1409,7,FALSE)</f>
        <v>#REF!</v>
      </c>
      <c r="D76" s="32" t="e">
        <f>VLOOKUP($A76,Register!$B$3:$E$1409,8,FALSE)</f>
        <v>#REF!</v>
      </c>
      <c r="E76" s="34" t="s">
        <v>148</v>
      </c>
    </row>
    <row r="77" spans="1:39" x14ac:dyDescent="0.25">
      <c r="A77" s="33" t="str" cm="1">
        <f t="array" ref="A77">IFERROR(INDEX(Register!$B$3:$B$1409,ROW(),0), "")</f>
        <v>Emergo Europe BV</v>
      </c>
      <c r="B77" s="32" t="e">
        <f>VLOOKUP($A77,Register!$B$3:$E$1409,6,FALSE)</f>
        <v>#REF!</v>
      </c>
      <c r="C77" s="32" t="e">
        <f>VLOOKUP($A77,Register!$B$3:$E$1409,7,FALSE)</f>
        <v>#REF!</v>
      </c>
      <c r="D77" s="32" t="e">
        <f>VLOOKUP($A77,Register!$B$3:$E$1409,8,FALSE)</f>
        <v>#REF!</v>
      </c>
      <c r="E77" s="34" t="s">
        <v>148</v>
      </c>
    </row>
    <row r="78" spans="1:39" x14ac:dyDescent="0.25">
      <c r="A78" s="33" t="str" cm="1">
        <f t="array" ref="A78">IFERROR(INDEX(Register!$B$3:$B$1409,ROW(),0), "")</f>
        <v>Emergo Global Consulting</v>
      </c>
      <c r="B78" s="32" t="e">
        <f>VLOOKUP($A78,Register!$B$3:$E$1409,6,FALSE)</f>
        <v>#REF!</v>
      </c>
      <c r="C78" s="32" t="e">
        <f>VLOOKUP($A78,Register!$B$3:$E$1409,7,FALSE)</f>
        <v>#REF!</v>
      </c>
      <c r="D78" s="32" t="e">
        <f>VLOOKUP($A78,Register!$B$3:$E$1409,8,FALSE)</f>
        <v>#REF!</v>
      </c>
      <c r="E78" s="34" t="s">
        <v>4751</v>
      </c>
      <c r="F78" s="34" t="s">
        <v>4752</v>
      </c>
      <c r="G78" s="34" t="s">
        <v>4753</v>
      </c>
      <c r="H78" s="34" t="s">
        <v>4754</v>
      </c>
      <c r="I78" s="34" t="s">
        <v>4755</v>
      </c>
      <c r="J78" s="34" t="s">
        <v>4756</v>
      </c>
      <c r="K78" s="34" t="s">
        <v>4757</v>
      </c>
      <c r="L78" s="32" t="s">
        <v>4758</v>
      </c>
      <c r="M78" s="32" t="s">
        <v>4759</v>
      </c>
      <c r="N78" s="32" t="s">
        <v>4760</v>
      </c>
      <c r="O78" s="32" t="s">
        <v>4761</v>
      </c>
      <c r="P78" s="32" t="s">
        <v>4762</v>
      </c>
      <c r="Q78" s="32" t="s">
        <v>4763</v>
      </c>
      <c r="R78" s="32" t="s">
        <v>4764</v>
      </c>
      <c r="S78" s="32" t="s">
        <v>4765</v>
      </c>
      <c r="T78" s="32" t="s">
        <v>4766</v>
      </c>
      <c r="U78" s="32" t="s">
        <v>4767</v>
      </c>
      <c r="V78" s="32" t="s">
        <v>4768</v>
      </c>
      <c r="W78" s="32" t="s">
        <v>4769</v>
      </c>
      <c r="X78" s="32" t="s">
        <v>4770</v>
      </c>
      <c r="Y78" s="32" t="s">
        <v>4771</v>
      </c>
      <c r="Z78" s="32" t="s">
        <v>4772</v>
      </c>
      <c r="AA78" s="32" t="s">
        <v>4773</v>
      </c>
    </row>
    <row r="79" spans="1:39" x14ac:dyDescent="0.25">
      <c r="A79" s="33" t="str" cm="1">
        <f t="array" ref="A79">IFERROR(INDEX(Register!$B$3:$B$1409,ROW(),0), "")</f>
        <v>MedEnvoy</v>
      </c>
      <c r="B79" s="32" t="e">
        <f>VLOOKUP($A79,Register!$B$3:$E$1409,6,FALSE)</f>
        <v>#REF!</v>
      </c>
      <c r="C79" s="32" t="e">
        <f>VLOOKUP($A79,Register!$B$3:$E$1409,7,FALSE)</f>
        <v>#REF!</v>
      </c>
      <c r="D79" s="32" t="e">
        <f>VLOOKUP($A79,Register!$B$3:$E$1409,8,FALSE)</f>
        <v>#REF!</v>
      </c>
      <c r="E79" s="34" t="s">
        <v>148</v>
      </c>
    </row>
    <row r="80" spans="1:39" x14ac:dyDescent="0.25">
      <c r="A80" s="33" t="str" cm="1">
        <f t="array" ref="A80">IFERROR(INDEX(Register!$B$3:$B$1409,ROW(),0), "")</f>
        <v>PACIFIC RIM MECHANICAL</v>
      </c>
      <c r="B80" s="32" t="e">
        <f>VLOOKUP($A80,Register!$B$3:$E$1409,6,FALSE)</f>
        <v>#REF!</v>
      </c>
      <c r="C80" s="32" t="e">
        <f>VLOOKUP($A80,Register!$B$3:$E$1409,7,FALSE)</f>
        <v>#REF!</v>
      </c>
      <c r="D80" s="32" t="e">
        <f>VLOOKUP($A80,Register!$B$3:$E$1409,8,FALSE)</f>
        <v>#REF!</v>
      </c>
      <c r="E80" s="34" t="s">
        <v>148</v>
      </c>
    </row>
    <row r="81" spans="1:21" x14ac:dyDescent="0.25">
      <c r="A81" s="33" t="str" cm="1">
        <f t="array" ref="A81">IFERROR(INDEX(Register!$B$3:$B$1409,ROW(),0), "")</f>
        <v>Renault and Moran Construction LLC. ( RAM)</v>
      </c>
      <c r="B81" s="32" t="e">
        <f>VLOOKUP($A81,Register!$B$3:$E$1409,6,FALSE)</f>
        <v>#REF!</v>
      </c>
      <c r="C81" s="32" t="e">
        <f>VLOOKUP($A81,Register!$B$3:$E$1409,7,FALSE)</f>
        <v>#REF!</v>
      </c>
      <c r="D81" s="32" t="e">
        <f>VLOOKUP($A81,Register!$B$3:$E$1409,8,FALSE)</f>
        <v>#REF!</v>
      </c>
      <c r="E81" s="34" t="s">
        <v>148</v>
      </c>
    </row>
    <row r="82" spans="1:21" x14ac:dyDescent="0.25">
      <c r="A82" s="33" t="str" cm="1">
        <f t="array" ref="A82">IFERROR(INDEX(Register!$B$3:$B$1409,ROW(),0), "")</f>
        <v>TE Equipment , LLC</v>
      </c>
      <c r="B82" s="32" t="e">
        <f>VLOOKUP($A82,Register!$B$3:$E$1409,6,FALSE)</f>
        <v>#REF!</v>
      </c>
      <c r="C82" s="32" t="e">
        <f>VLOOKUP($A82,Register!$B$3:$E$1409,7,FALSE)</f>
        <v>#REF!</v>
      </c>
      <c r="D82" s="32" t="e">
        <f>VLOOKUP($A82,Register!$B$3:$E$1409,8,FALSE)</f>
        <v>#REF!</v>
      </c>
      <c r="E82" s="34" t="s">
        <v>148</v>
      </c>
    </row>
    <row r="83" spans="1:21" x14ac:dyDescent="0.25">
      <c r="A83" s="33" t="str" cm="1">
        <f t="array" ref="A83">IFERROR(INDEX(Register!$B$3:$B$1409,ROW(),0), "")</f>
        <v>JB Hi-Fi Group Pty Ltd</v>
      </c>
      <c r="B83" s="32" t="e">
        <f>VLOOKUP($A83,Register!$B$3:$E$1409,6,FALSE)</f>
        <v>#REF!</v>
      </c>
      <c r="C83" s="32" t="e">
        <f>VLOOKUP($A83,Register!$B$3:$E$1409,7,FALSE)</f>
        <v>#REF!</v>
      </c>
      <c r="D83" s="32" t="e">
        <f>VLOOKUP($A83,Register!$B$3:$E$1409,8,FALSE)</f>
        <v>#REF!</v>
      </c>
      <c r="E83" s="34" t="s">
        <v>148</v>
      </c>
    </row>
    <row r="84" spans="1:21" x14ac:dyDescent="0.25">
      <c r="A84" s="33" t="str" cm="1">
        <f t="array" ref="A84">IFERROR(INDEX(Register!$B$3:$B$1409,ROW(),0), "")</f>
        <v>Sunvalley (HK) Limited</v>
      </c>
      <c r="B84" s="32" t="e">
        <f>VLOOKUP($A84,Register!$B$3:$E$1409,6,FALSE)</f>
        <v>#REF!</v>
      </c>
      <c r="C84" s="32" t="e">
        <f>VLOOKUP($A84,Register!$B$3:$E$1409,7,FALSE)</f>
        <v>#REF!</v>
      </c>
      <c r="D84" s="32" t="e">
        <f>VLOOKUP($A84,Register!$B$3:$E$1409,8,FALSE)</f>
        <v>#REF!</v>
      </c>
      <c r="E84" s="34" t="s">
        <v>4774</v>
      </c>
      <c r="F84" s="34" t="s">
        <v>4775</v>
      </c>
      <c r="G84" s="34" t="s">
        <v>4776</v>
      </c>
      <c r="H84" s="34" t="s">
        <v>4777</v>
      </c>
      <c r="I84" s="34" t="s">
        <v>4778</v>
      </c>
      <c r="J84" s="34" t="s">
        <v>4779</v>
      </c>
      <c r="K84" s="34" t="s">
        <v>4780</v>
      </c>
      <c r="L84" s="32" t="s">
        <v>4781</v>
      </c>
      <c r="M84" s="32" t="s">
        <v>4782</v>
      </c>
      <c r="N84" s="32" t="s">
        <v>4783</v>
      </c>
      <c r="O84" s="32" t="s">
        <v>4784</v>
      </c>
      <c r="P84" s="32" t="s">
        <v>4785</v>
      </c>
      <c r="Q84" s="32" t="s">
        <v>4786</v>
      </c>
      <c r="R84" s="32" t="s">
        <v>4787</v>
      </c>
      <c r="S84" s="32" t="s">
        <v>4788</v>
      </c>
      <c r="T84" s="32" t="s">
        <v>4789</v>
      </c>
      <c r="U84" s="32" t="s">
        <v>4790</v>
      </c>
    </row>
    <row r="85" spans="1:21" x14ac:dyDescent="0.25">
      <c r="A85" s="33" t="str" cm="1">
        <f t="array" ref="A85">IFERROR(INDEX(Register!$B$3:$B$1409,ROW(),0), "")</f>
        <v>Telstra Store Brunswick</v>
      </c>
      <c r="B85" s="32" t="e">
        <f>VLOOKUP($A85,Register!$B$3:$E$1409,6,FALSE)</f>
        <v>#REF!</v>
      </c>
      <c r="C85" s="32" t="e">
        <f>VLOOKUP($A85,Register!$B$3:$E$1409,7,FALSE)</f>
        <v>#REF!</v>
      </c>
      <c r="D85" s="32" t="e">
        <f>VLOOKUP($A85,Register!$B$3:$E$1409,8,FALSE)</f>
        <v>#REF!</v>
      </c>
      <c r="E85" s="34" t="s">
        <v>148</v>
      </c>
    </row>
    <row r="86" spans="1:21" x14ac:dyDescent="0.25">
      <c r="A86" s="33" t="str" cm="1">
        <f t="array" ref="A86">IFERROR(INDEX(Register!$B$3:$B$1409,ROW(),0), "")</f>
        <v>United Rentals Australia Pty Ltd (T/A Royal Wolf Containers)</v>
      </c>
      <c r="B86" s="32" t="e">
        <f>VLOOKUP($A86,Register!$B$3:$E$1409,6,FALSE)</f>
        <v>#REF!</v>
      </c>
      <c r="C86" s="32" t="e">
        <f>VLOOKUP($A86,Register!$B$3:$E$1409,7,FALSE)</f>
        <v>#REF!</v>
      </c>
      <c r="D86" s="32" t="e">
        <f>VLOOKUP($A86,Register!$B$3:$E$1409,8,FALSE)</f>
        <v>#REF!</v>
      </c>
      <c r="E86" s="34" t="s">
        <v>4791</v>
      </c>
      <c r="F86" s="34" t="s">
        <v>4792</v>
      </c>
      <c r="G86" s="34" t="s">
        <v>4793</v>
      </c>
    </row>
    <row r="87" spans="1:21" x14ac:dyDescent="0.25">
      <c r="A87" s="33" t="str" cm="1">
        <f t="array" ref="A87">IFERROR(INDEX(Register!$B$3:$B$1409,ROW(),0), "")</f>
        <v>Corporate Document Destruction</v>
      </c>
      <c r="B87" s="32" t="e">
        <f>VLOOKUP($A87,Register!$B$3:$E$1409,6,FALSE)</f>
        <v>#REF!</v>
      </c>
      <c r="C87" s="32" t="e">
        <f>VLOOKUP($A87,Register!$B$3:$E$1409,7,FALSE)</f>
        <v>#REF!</v>
      </c>
      <c r="D87" s="32" t="e">
        <f>VLOOKUP($A87,Register!$B$3:$E$1409,8,FALSE)</f>
        <v>#REF!</v>
      </c>
      <c r="E87" s="34" t="s">
        <v>148</v>
      </c>
    </row>
    <row r="88" spans="1:21" x14ac:dyDescent="0.25">
      <c r="A88" s="33" t="str" cm="1">
        <f t="array" ref="A88">IFERROR(INDEX(Register!$B$3:$B$1409,ROW(),0), "")</f>
        <v>Glocom Marketing Pte Ltd</v>
      </c>
      <c r="B88" s="32" t="e">
        <f>VLOOKUP($A88,Register!$B$3:$E$1409,6,FALSE)</f>
        <v>#REF!</v>
      </c>
      <c r="C88" s="32" t="e">
        <f>VLOOKUP($A88,Register!$B$3:$E$1409,7,FALSE)</f>
        <v>#REF!</v>
      </c>
      <c r="D88" s="32" t="e">
        <f>VLOOKUP($A88,Register!$B$3:$E$1409,8,FALSE)</f>
        <v>#REF!</v>
      </c>
      <c r="E88" s="34" t="s">
        <v>4794</v>
      </c>
      <c r="F88" s="34" t="s">
        <v>4795</v>
      </c>
      <c r="G88" s="34" t="s">
        <v>4796</v>
      </c>
      <c r="H88" s="34" t="s">
        <v>4797</v>
      </c>
    </row>
    <row r="89" spans="1:21" x14ac:dyDescent="0.25">
      <c r="A89" s="33" t="str" cm="1">
        <f t="array" ref="A89">IFERROR(INDEX(Register!$B$3:$B$1409,ROW(),0), "")</f>
        <v>Kingdom Precision Product (Suzhou) Ltd</v>
      </c>
      <c r="B89" s="32" t="e">
        <f>VLOOKUP($A89,Register!$B$3:$E$1409,6,FALSE)</f>
        <v>#REF!</v>
      </c>
      <c r="C89" s="32" t="e">
        <f>VLOOKUP($A89,Register!$B$3:$E$1409,7,FALSE)</f>
        <v>#REF!</v>
      </c>
      <c r="D89" s="32" t="e">
        <f>VLOOKUP($A89,Register!$B$3:$E$1409,8,FALSE)</f>
        <v>#REF!</v>
      </c>
      <c r="E89" s="34" t="s">
        <v>4798</v>
      </c>
      <c r="F89" s="34" t="s">
        <v>4799</v>
      </c>
    </row>
    <row r="90" spans="1:21" x14ac:dyDescent="0.25">
      <c r="A90" s="33" t="str" cm="1">
        <f t="array" ref="A90">IFERROR(INDEX(Register!$B$3:$B$1409,ROW(),0), "")</f>
        <v>ACCLAIM ELECTRONICS</v>
      </c>
      <c r="B90" s="32" t="e">
        <f>VLOOKUP($A90,Register!$B$3:$E$1409,6,FALSE)</f>
        <v>#REF!</v>
      </c>
      <c r="C90" s="32" t="e">
        <f>VLOOKUP($A90,Register!$B$3:$E$1409,7,FALSE)</f>
        <v>#REF!</v>
      </c>
      <c r="D90" s="32" t="e">
        <f>VLOOKUP($A90,Register!$B$3:$E$1409,8,FALSE)</f>
        <v>#REF!</v>
      </c>
      <c r="E90" s="34" t="s">
        <v>148</v>
      </c>
    </row>
    <row r="91" spans="1:21" x14ac:dyDescent="0.25">
      <c r="A91" s="33" t="str" cm="1">
        <f t="array" ref="A91">IFERROR(INDEX(Register!$B$3:$B$1409,ROW(),0), "")</f>
        <v>Advance Products Corporation Pte Ltd</v>
      </c>
      <c r="B91" s="32" t="e">
        <f>VLOOKUP($A91,Register!$B$3:$E$1409,6,FALSE)</f>
        <v>#REF!</v>
      </c>
      <c r="C91" s="32" t="e">
        <f>VLOOKUP($A91,Register!$B$3:$E$1409,7,FALSE)</f>
        <v>#REF!</v>
      </c>
      <c r="D91" s="32" t="e">
        <f>VLOOKUP($A91,Register!$B$3:$E$1409,8,FALSE)</f>
        <v>#REF!</v>
      </c>
      <c r="E91" s="34" t="s">
        <v>4800</v>
      </c>
      <c r="F91" s="34" t="s">
        <v>4801</v>
      </c>
      <c r="G91" s="34" t="s">
        <v>4802</v>
      </c>
      <c r="H91" s="34" t="s">
        <v>4803</v>
      </c>
      <c r="I91" s="34" t="s">
        <v>4804</v>
      </c>
      <c r="J91" s="34" t="s">
        <v>4805</v>
      </c>
      <c r="K91" s="34" t="s">
        <v>4806</v>
      </c>
      <c r="L91" s="32" t="s">
        <v>4807</v>
      </c>
    </row>
    <row r="92" spans="1:21" x14ac:dyDescent="0.25">
      <c r="A92" s="33" t="str" cm="1">
        <f t="array" ref="A92">IFERROR(INDEX(Register!$B$3:$B$1409,ROW(),0), "")</f>
        <v>AMERICAN DESIGN, INC.</v>
      </c>
      <c r="B92" s="32" t="e">
        <f>VLOOKUP($A92,Register!$B$3:$E$1409,6,FALSE)</f>
        <v>#REF!</v>
      </c>
      <c r="C92" s="32" t="e">
        <f>VLOOKUP($A92,Register!$B$3:$E$1409,7,FALSE)</f>
        <v>#REF!</v>
      </c>
      <c r="D92" s="32" t="e">
        <f>VLOOKUP($A92,Register!$B$3:$E$1409,8,FALSE)</f>
        <v>#REF!</v>
      </c>
      <c r="E92" s="34" t="s">
        <v>4808</v>
      </c>
      <c r="F92" s="34" t="s">
        <v>4809</v>
      </c>
      <c r="G92" s="34" t="s">
        <v>4810</v>
      </c>
      <c r="H92" s="34" t="s">
        <v>4811</v>
      </c>
      <c r="I92" s="34" t="s">
        <v>4812</v>
      </c>
      <c r="J92" s="34" t="s">
        <v>4813</v>
      </c>
      <c r="K92" s="34" t="s">
        <v>4814</v>
      </c>
    </row>
    <row r="93" spans="1:21" x14ac:dyDescent="0.25">
      <c r="A93" s="33" t="str" cm="1">
        <f t="array" ref="A93">IFERROR(INDEX(Register!$B$3:$B$1409,ROW(),0), "")</f>
        <v>Ameritec Business Systems</v>
      </c>
      <c r="B93" s="32" t="e">
        <f>VLOOKUP($A93,Register!$B$3:$E$1409,6,FALSE)</f>
        <v>#REF!</v>
      </c>
      <c r="C93" s="32" t="e">
        <f>VLOOKUP($A93,Register!$B$3:$E$1409,7,FALSE)</f>
        <v>#REF!</v>
      </c>
      <c r="D93" s="32" t="e">
        <f>VLOOKUP($A93,Register!$B$3:$E$1409,8,FALSE)</f>
        <v>#REF!</v>
      </c>
      <c r="E93" s="34" t="s">
        <v>148</v>
      </c>
    </row>
    <row r="94" spans="1:21" x14ac:dyDescent="0.25">
      <c r="A94" s="33" t="str" cm="1">
        <f t="array" ref="A94">IFERROR(INDEX(Register!$B$3:$B$1409,ROW(),0), "")</f>
        <v>Bosch Rexroth Pty Ltd</v>
      </c>
      <c r="B94" s="32" t="e">
        <f>VLOOKUP($A94,Register!$B$3:$E$1409,6,FALSE)</f>
        <v>#REF!</v>
      </c>
      <c r="C94" s="32" t="e">
        <f>VLOOKUP($A94,Register!$B$3:$E$1409,7,FALSE)</f>
        <v>#REF!</v>
      </c>
      <c r="D94" s="32" t="e">
        <f>VLOOKUP($A94,Register!$B$3:$E$1409,8,FALSE)</f>
        <v>#REF!</v>
      </c>
      <c r="E94" s="34" t="s">
        <v>148</v>
      </c>
    </row>
    <row r="95" spans="1:21" x14ac:dyDescent="0.25">
      <c r="A95" s="33" t="str" cm="1">
        <f t="array" ref="A95">IFERROR(INDEX(Register!$B$3:$B$1409,ROW(),0), "")</f>
        <v>Braemac</v>
      </c>
      <c r="B95" s="32" t="e">
        <f>VLOOKUP($A95,Register!$B$3:$E$1409,6,FALSE)</f>
        <v>#REF!</v>
      </c>
      <c r="C95" s="32" t="e">
        <f>VLOOKUP($A95,Register!$B$3:$E$1409,7,FALSE)</f>
        <v>#REF!</v>
      </c>
      <c r="D95" s="32" t="e">
        <f>VLOOKUP($A95,Register!$B$3:$E$1409,8,FALSE)</f>
        <v>#REF!</v>
      </c>
      <c r="E95" s="34" t="s">
        <v>4815</v>
      </c>
    </row>
    <row r="96" spans="1:21" x14ac:dyDescent="0.25">
      <c r="A96" s="33" t="str" cm="1">
        <f t="array" ref="A96">IFERROR(INDEX(Register!$B$3:$B$1409,ROW(),0), "")</f>
        <v>Braemac</v>
      </c>
      <c r="B96" s="32" t="e">
        <f>VLOOKUP($A96,Register!$B$3:$E$1409,6,FALSE)</f>
        <v>#REF!</v>
      </c>
      <c r="C96" s="32" t="e">
        <f>VLOOKUP($A96,Register!$B$3:$E$1409,7,FALSE)</f>
        <v>#REF!</v>
      </c>
      <c r="D96" s="32" t="e">
        <f>VLOOKUP($A96,Register!$B$3:$E$1409,8,FALSE)</f>
        <v>#REF!</v>
      </c>
      <c r="E96" s="34" t="s">
        <v>4815</v>
      </c>
    </row>
    <row r="97" spans="1:26" x14ac:dyDescent="0.25">
      <c r="A97" s="33" t="str" cm="1">
        <f t="array" ref="A97">IFERROR(INDEX(Register!$B$3:$B$1409,ROW(),0), "")</f>
        <v>Eriks B.V.</v>
      </c>
      <c r="B97" s="32" t="e">
        <f>VLOOKUP($A97,Register!$B$3:$E$1409,6,FALSE)</f>
        <v>#REF!</v>
      </c>
      <c r="C97" s="32" t="e">
        <f>VLOOKUP($A97,Register!$B$3:$E$1409,7,FALSE)</f>
        <v>#REF!</v>
      </c>
      <c r="D97" s="32" t="e">
        <f>VLOOKUP($A97,Register!$B$3:$E$1409,8,FALSE)</f>
        <v>#REF!</v>
      </c>
      <c r="E97" s="34" t="s">
        <v>4816</v>
      </c>
      <c r="F97" s="34" t="s">
        <v>4817</v>
      </c>
      <c r="G97" s="34" t="s">
        <v>4818</v>
      </c>
      <c r="H97" s="34" t="s">
        <v>4819</v>
      </c>
    </row>
    <row r="98" spans="1:26" x14ac:dyDescent="0.25">
      <c r="A98" s="33" t="str" cm="1">
        <f t="array" ref="A98">IFERROR(INDEX(Register!$B$3:$B$1409,ROW(),0), "")</f>
        <v>HAWK RIDGE SYSTEMS, LLC</v>
      </c>
      <c r="B98" s="32" t="e">
        <f>VLOOKUP($A98,Register!$B$3:$E$1409,6,FALSE)</f>
        <v>#REF!</v>
      </c>
      <c r="C98" s="32" t="e">
        <f>VLOOKUP($A98,Register!$B$3:$E$1409,7,FALSE)</f>
        <v>#REF!</v>
      </c>
      <c r="D98" s="32" t="e">
        <f>VLOOKUP($A98,Register!$B$3:$E$1409,8,FALSE)</f>
        <v>#REF!</v>
      </c>
      <c r="E98" s="34" t="s">
        <v>4820</v>
      </c>
      <c r="F98" s="34" t="s">
        <v>4821</v>
      </c>
      <c r="G98" s="34" t="s">
        <v>4822</v>
      </c>
      <c r="H98" s="34" t="s">
        <v>4823</v>
      </c>
      <c r="I98" s="34" t="s">
        <v>4824</v>
      </c>
      <c r="J98" s="34" t="s">
        <v>4825</v>
      </c>
      <c r="K98" s="34" t="s">
        <v>4826</v>
      </c>
      <c r="L98" s="32" t="s">
        <v>4827</v>
      </c>
      <c r="M98" s="32" t="s">
        <v>4828</v>
      </c>
      <c r="N98" s="32" t="s">
        <v>4829</v>
      </c>
      <c r="O98" s="32" t="s">
        <v>4830</v>
      </c>
      <c r="P98" s="32" t="s">
        <v>4831</v>
      </c>
      <c r="Q98" s="32" t="s">
        <v>4832</v>
      </c>
      <c r="R98" s="32" t="s">
        <v>4833</v>
      </c>
      <c r="S98" s="32" t="s">
        <v>4834</v>
      </c>
      <c r="T98" s="32" t="s">
        <v>4835</v>
      </c>
      <c r="U98" s="32" t="s">
        <v>4836</v>
      </c>
      <c r="V98" s="32" t="s">
        <v>4837</v>
      </c>
      <c r="W98" s="32" t="s">
        <v>4838</v>
      </c>
      <c r="X98" s="32" t="s">
        <v>4839</v>
      </c>
      <c r="Y98" s="32" t="s">
        <v>4840</v>
      </c>
      <c r="Z98" s="32" t="s">
        <v>4841</v>
      </c>
    </row>
    <row r="99" spans="1:26" x14ac:dyDescent="0.25">
      <c r="A99" s="33" t="str" cm="1">
        <f t="array" ref="A99">IFERROR(INDEX(Register!$B$3:$B$1409,ROW(),0), "")</f>
        <v>Katek Memmingen GmbH/Steca</v>
      </c>
      <c r="B99" s="32" t="e">
        <f>VLOOKUP($A99,Register!$B$3:$E$1409,6,FALSE)</f>
        <v>#REF!</v>
      </c>
      <c r="C99" s="32" t="e">
        <f>VLOOKUP($A99,Register!$B$3:$E$1409,7,FALSE)</f>
        <v>#REF!</v>
      </c>
      <c r="D99" s="32" t="e">
        <f>VLOOKUP($A99,Register!$B$3:$E$1409,8,FALSE)</f>
        <v>#REF!</v>
      </c>
      <c r="E99" s="34" t="s">
        <v>4842</v>
      </c>
      <c r="F99" s="34" t="s">
        <v>4843</v>
      </c>
      <c r="G99" s="34" t="s">
        <v>4844</v>
      </c>
      <c r="H99" s="34" t="s">
        <v>4845</v>
      </c>
    </row>
    <row r="100" spans="1:26" x14ac:dyDescent="0.25">
      <c r="A100" s="33" t="str" cm="1">
        <f t="array" ref="A100">IFERROR(INDEX(Register!$B$3:$B$1409,ROW(),0), "")</f>
        <v>NELSON-MILLER, INC.</v>
      </c>
      <c r="B100" s="32" t="e">
        <f>VLOOKUP($A100,Register!$B$3:$E$1409,6,FALSE)</f>
        <v>#REF!</v>
      </c>
      <c r="C100" s="32" t="e">
        <f>VLOOKUP($A100,Register!$B$3:$E$1409,7,FALSE)</f>
        <v>#REF!</v>
      </c>
      <c r="D100" s="32" t="e">
        <f>VLOOKUP($A100,Register!$B$3:$E$1409,8,FALSE)</f>
        <v>#REF!</v>
      </c>
      <c r="E100" s="34" t="s">
        <v>162</v>
      </c>
      <c r="F100" s="34" t="s">
        <v>4846</v>
      </c>
      <c r="G100" s="34" t="s">
        <v>4847</v>
      </c>
      <c r="H100" s="34" t="s">
        <v>4848</v>
      </c>
    </row>
    <row r="101" spans="1:26" x14ac:dyDescent="0.25">
      <c r="A101" s="33" t="str" cm="1">
        <f t="array" ref="A101">IFERROR(INDEX(Register!$B$3:$B$1409,ROW(),0), "")</f>
        <v>TCI MANUFACTURING, INC. (US)</v>
      </c>
      <c r="B101" s="32" t="e">
        <f>VLOOKUP($A101,Register!$B$3:$E$1409,6,FALSE)</f>
        <v>#REF!</v>
      </c>
      <c r="C101" s="32" t="e">
        <f>VLOOKUP($A101,Register!$B$3:$E$1409,7,FALSE)</f>
        <v>#REF!</v>
      </c>
      <c r="D101" s="32" t="e">
        <f>VLOOKUP($A101,Register!$B$3:$E$1409,8,FALSE)</f>
        <v>#REF!</v>
      </c>
      <c r="E101" s="34" t="s">
        <v>4849</v>
      </c>
      <c r="F101" s="34" t="s">
        <v>4850</v>
      </c>
      <c r="G101" s="34" t="s">
        <v>4851</v>
      </c>
      <c r="H101" s="34" t="s">
        <v>4852</v>
      </c>
      <c r="I101" s="34" t="s">
        <v>4853</v>
      </c>
      <c r="J101" s="34" t="s">
        <v>4854</v>
      </c>
      <c r="K101" s="34" t="s">
        <v>4855</v>
      </c>
      <c r="L101" s="32" t="s">
        <v>4856</v>
      </c>
    </row>
    <row r="102" spans="1:26" x14ac:dyDescent="0.25">
      <c r="A102" s="33" t="str" cm="1">
        <f t="array" ref="A102">IFERROR(INDEX(Register!$B$3:$B$1409,ROW(),0), "")</f>
        <v>BeanStock Ventures</v>
      </c>
      <c r="B102" s="32" t="e">
        <f>VLOOKUP($A102,Register!$B$3:$E$1409,6,FALSE)</f>
        <v>#REF!</v>
      </c>
      <c r="C102" s="32" t="e">
        <f>VLOOKUP($A102,Register!$B$3:$E$1409,7,FALSE)</f>
        <v>#REF!</v>
      </c>
      <c r="D102" s="32" t="e">
        <f>VLOOKUP($A102,Register!$B$3:$E$1409,8,FALSE)</f>
        <v>#REF!</v>
      </c>
      <c r="E102" s="34" t="s">
        <v>148</v>
      </c>
    </row>
    <row r="103" spans="1:26" x14ac:dyDescent="0.25">
      <c r="A103" s="33" t="str" cm="1">
        <f t="array" ref="A103">IFERROR(INDEX(Register!$B$3:$B$1409,ROW(),0), "")</f>
        <v>BIT Analytical Instruments GmbH</v>
      </c>
      <c r="B103" s="32" t="e">
        <f>VLOOKUP($A103,Register!$B$3:$E$1409,6,FALSE)</f>
        <v>#REF!</v>
      </c>
      <c r="C103" s="32" t="e">
        <f>VLOOKUP($A103,Register!$B$3:$E$1409,7,FALSE)</f>
        <v>#REF!</v>
      </c>
      <c r="D103" s="32" t="e">
        <f>VLOOKUP($A103,Register!$B$3:$E$1409,8,FALSE)</f>
        <v>#REF!</v>
      </c>
      <c r="E103" s="34" t="s">
        <v>4857</v>
      </c>
      <c r="F103" s="34" t="s">
        <v>4858</v>
      </c>
      <c r="G103" s="34" t="s">
        <v>4859</v>
      </c>
    </row>
    <row r="104" spans="1:26" x14ac:dyDescent="0.25">
      <c r="A104" s="33" t="str" cm="1">
        <f t="array" ref="A104">IFERROR(INDEX(Register!$B$3:$B$1409,ROW(),0), "")</f>
        <v>Boost Design Pty Ltd</v>
      </c>
      <c r="B104" s="32" t="e">
        <f>VLOOKUP($A104,Register!$B$3:$E$1409,6,FALSE)</f>
        <v>#REF!</v>
      </c>
      <c r="C104" s="32" t="e">
        <f>VLOOKUP($A104,Register!$B$3:$E$1409,7,FALSE)</f>
        <v>#REF!</v>
      </c>
      <c r="D104" s="32" t="e">
        <f>VLOOKUP($A104,Register!$B$3:$E$1409,8,FALSE)</f>
        <v>#REF!</v>
      </c>
      <c r="E104" s="34" t="s">
        <v>148</v>
      </c>
    </row>
    <row r="105" spans="1:26" x14ac:dyDescent="0.25">
      <c r="A105" s="33" t="str" cm="1">
        <f t="array" ref="A105">IFERROR(INDEX(Register!$B$3:$B$1409,ROW(),0), "")</f>
        <v>Co-Dzyn</v>
      </c>
      <c r="B105" s="32" t="e">
        <f>VLOOKUP($A105,Register!$B$3:$E$1409,6,FALSE)</f>
        <v>#REF!</v>
      </c>
      <c r="C105" s="32" t="e">
        <f>VLOOKUP($A105,Register!$B$3:$E$1409,7,FALSE)</f>
        <v>#REF!</v>
      </c>
      <c r="D105" s="32" t="e">
        <f>VLOOKUP($A105,Register!$B$3:$E$1409,8,FALSE)</f>
        <v>#REF!</v>
      </c>
      <c r="E105" s="34" t="s">
        <v>4860</v>
      </c>
      <c r="F105" s="34" t="s">
        <v>4861</v>
      </c>
      <c r="G105" s="34" t="s">
        <v>4862</v>
      </c>
      <c r="H105" s="34" t="s">
        <v>4863</v>
      </c>
      <c r="I105" s="34" t="s">
        <v>4864</v>
      </c>
      <c r="J105" s="34" t="s">
        <v>4865</v>
      </c>
      <c r="K105" s="34" t="s">
        <v>4866</v>
      </c>
      <c r="M105" s="32" t="s">
        <v>4867</v>
      </c>
      <c r="N105" s="32" t="s">
        <v>4868</v>
      </c>
      <c r="O105" s="32" t="s">
        <v>4868</v>
      </c>
      <c r="P105" s="32" t="s">
        <v>4869</v>
      </c>
      <c r="Q105" s="32" t="s">
        <v>4870</v>
      </c>
      <c r="R105" s="32" t="s">
        <v>4871</v>
      </c>
      <c r="S105" s="32" t="s">
        <v>4872</v>
      </c>
      <c r="T105" s="32" t="s">
        <v>4873</v>
      </c>
      <c r="U105" s="32" t="s">
        <v>4874</v>
      </c>
      <c r="V105" s="32" t="s">
        <v>4875</v>
      </c>
    </row>
    <row r="106" spans="1:26" x14ac:dyDescent="0.25">
      <c r="A106" s="33" t="str" cm="1">
        <f t="array" ref="A106">IFERROR(INDEX(Register!$B$3:$B$1409,ROW(),0), "")</f>
        <v>Design Chain Associates</v>
      </c>
      <c r="B106" s="32" t="e">
        <f>VLOOKUP($A106,Register!$B$3:$E$1409,6,FALSE)</f>
        <v>#REF!</v>
      </c>
      <c r="C106" s="32" t="e">
        <f>VLOOKUP($A106,Register!$B$3:$E$1409,7,FALSE)</f>
        <v>#REF!</v>
      </c>
      <c r="D106" s="32" t="e">
        <f>VLOOKUP($A106,Register!$B$3:$E$1409,8,FALSE)</f>
        <v>#REF!</v>
      </c>
      <c r="E106" s="34" t="s">
        <v>148</v>
      </c>
    </row>
    <row r="107" spans="1:26" x14ac:dyDescent="0.25">
      <c r="A107" s="33" t="str" cm="1">
        <f t="array" ref="A107">IFERROR(INDEX(Register!$B$3:$B$1409,ROW(),0), "")</f>
        <v>EP Mediate</v>
      </c>
      <c r="B107" s="32" t="e">
        <f>VLOOKUP($A107,Register!$B$3:$E$1409,6,FALSE)</f>
        <v>#REF!</v>
      </c>
      <c r="C107" s="32" t="e">
        <f>VLOOKUP($A107,Register!$B$3:$E$1409,7,FALSE)</f>
        <v>#REF!</v>
      </c>
      <c r="D107" s="32" t="e">
        <f>VLOOKUP($A107,Register!$B$3:$E$1409,8,FALSE)</f>
        <v>#REF!</v>
      </c>
      <c r="E107" s="34" t="s">
        <v>4876</v>
      </c>
    </row>
    <row r="108" spans="1:26" x14ac:dyDescent="0.25">
      <c r="A108" s="33" t="str" cm="1">
        <f t="array" ref="A108">IFERROR(INDEX(Register!$B$3:$B$1409,ROW(),0), "")</f>
        <v>Imtech Design Ltd</v>
      </c>
      <c r="B108" s="32" t="e">
        <f>VLOOKUP($A108,Register!$B$3:$E$1409,6,FALSE)</f>
        <v>#REF!</v>
      </c>
      <c r="C108" s="32" t="e">
        <f>VLOOKUP($A108,Register!$B$3:$E$1409,7,FALSE)</f>
        <v>#REF!</v>
      </c>
      <c r="D108" s="32" t="e">
        <f>VLOOKUP($A108,Register!$B$3:$E$1409,8,FALSE)</f>
        <v>#REF!</v>
      </c>
      <c r="E108" s="34" t="s">
        <v>4877</v>
      </c>
    </row>
    <row r="109" spans="1:26" x14ac:dyDescent="0.25">
      <c r="A109" s="33" t="str" cm="1">
        <f t="array" ref="A109">IFERROR(INDEX(Register!$B$3:$B$1409,ROW(),0), "")</f>
        <v>LPA Inc.</v>
      </c>
      <c r="B109" s="32" t="e">
        <f>VLOOKUP($A109,Register!$B$3:$E$1409,6,FALSE)</f>
        <v>#REF!</v>
      </c>
      <c r="C109" s="32" t="e">
        <f>VLOOKUP($A109,Register!$B$3:$E$1409,7,FALSE)</f>
        <v>#REF!</v>
      </c>
      <c r="D109" s="32" t="e">
        <f>VLOOKUP($A109,Register!$B$3:$E$1409,8,FALSE)</f>
        <v>#REF!</v>
      </c>
      <c r="E109" s="34" t="s">
        <v>4878</v>
      </c>
      <c r="F109" s="34" t="s">
        <v>4879</v>
      </c>
      <c r="G109" s="34" t="s">
        <v>4880</v>
      </c>
      <c r="H109" s="34" t="s">
        <v>4881</v>
      </c>
      <c r="I109" s="34" t="s">
        <v>4882</v>
      </c>
    </row>
    <row r="110" spans="1:26" x14ac:dyDescent="0.25">
      <c r="A110" s="33" t="str" cm="1">
        <f t="array" ref="A110">IFERROR(INDEX(Register!$B$3:$B$1409,ROW(),0), "")</f>
        <v>Orainic Pty Ltd</v>
      </c>
      <c r="B110" s="32" t="e">
        <f>VLOOKUP($A110,Register!$B$3:$E$1409,6,FALSE)</f>
        <v>#REF!</v>
      </c>
      <c r="C110" s="32" t="e">
        <f>VLOOKUP($A110,Register!$B$3:$E$1409,7,FALSE)</f>
        <v>#REF!</v>
      </c>
      <c r="D110" s="32" t="e">
        <f>VLOOKUP($A110,Register!$B$3:$E$1409,8,FALSE)</f>
        <v>#REF!</v>
      </c>
      <c r="E110" s="34" t="s">
        <v>4883</v>
      </c>
      <c r="F110" s="34" t="s">
        <v>4884</v>
      </c>
      <c r="G110" s="34" t="s">
        <v>4885</v>
      </c>
      <c r="H110" s="34" t="s">
        <v>4886</v>
      </c>
      <c r="I110" s="34" t="s">
        <v>4887</v>
      </c>
      <c r="J110" s="34" t="s">
        <v>4888</v>
      </c>
      <c r="K110" s="34" t="s">
        <v>4889</v>
      </c>
      <c r="L110" s="32" t="s">
        <v>4890</v>
      </c>
      <c r="M110" s="32" t="s">
        <v>4891</v>
      </c>
    </row>
    <row r="111" spans="1:26" x14ac:dyDescent="0.25">
      <c r="A111" s="33" t="str" cm="1">
        <f t="array" ref="A111">IFERROR(INDEX(Register!$B$3:$B$1409,ROW(),0), "")</f>
        <v>Palm Technology</v>
      </c>
      <c r="B111" s="32" t="e">
        <f>VLOOKUP($A111,Register!$B$3:$E$1409,6,FALSE)</f>
        <v>#REF!</v>
      </c>
      <c r="C111" s="32" t="e">
        <f>VLOOKUP($A111,Register!$B$3:$E$1409,7,FALSE)</f>
        <v>#REF!</v>
      </c>
      <c r="D111" s="32" t="e">
        <f>VLOOKUP($A111,Register!$B$3:$E$1409,8,FALSE)</f>
        <v>#REF!</v>
      </c>
      <c r="E111" s="34" t="s">
        <v>148</v>
      </c>
    </row>
    <row r="112" spans="1:26" x14ac:dyDescent="0.25">
      <c r="A112" s="33" t="str" cm="1">
        <f t="array" ref="A112">IFERROR(INDEX(Register!$B$3:$B$1409,ROW(),0), "")</f>
        <v>Promepla</v>
      </c>
      <c r="B112" s="32" t="e">
        <f>VLOOKUP($A112,Register!$B$3:$E$1409,6,FALSE)</f>
        <v>#REF!</v>
      </c>
      <c r="C112" s="32" t="e">
        <f>VLOOKUP($A112,Register!$B$3:$E$1409,7,FALSE)</f>
        <v>#REF!</v>
      </c>
      <c r="D112" s="32" t="e">
        <f>VLOOKUP($A112,Register!$B$3:$E$1409,8,FALSE)</f>
        <v>#REF!</v>
      </c>
      <c r="E112" s="34" t="s">
        <v>4892</v>
      </c>
      <c r="F112" s="34" t="s">
        <v>4893</v>
      </c>
      <c r="G112" s="34" t="s">
        <v>4894</v>
      </c>
      <c r="H112" s="34" t="s">
        <v>4895</v>
      </c>
      <c r="I112" s="34" t="s">
        <v>4896</v>
      </c>
      <c r="J112" s="34" t="s">
        <v>4897</v>
      </c>
      <c r="K112" s="34" t="s">
        <v>4898</v>
      </c>
    </row>
    <row r="113" spans="1:19" x14ac:dyDescent="0.25">
      <c r="A113" s="33" t="str" cm="1">
        <f t="array" ref="A113">IFERROR(INDEX(Register!$B$3:$B$1409,ROW(),0), "")</f>
        <v>Rapid Electronic Solutions</v>
      </c>
      <c r="B113" s="32" t="e">
        <f>VLOOKUP($A113,Register!$B$3:$E$1409,6,FALSE)</f>
        <v>#REF!</v>
      </c>
      <c r="C113" s="32" t="e">
        <f>VLOOKUP($A113,Register!$B$3:$E$1409,7,FALSE)</f>
        <v>#REF!</v>
      </c>
      <c r="D113" s="32" t="e">
        <f>VLOOKUP($A113,Register!$B$3:$E$1409,8,FALSE)</f>
        <v>#REF!</v>
      </c>
      <c r="E113" s="34" t="s">
        <v>148</v>
      </c>
    </row>
    <row r="114" spans="1:19" x14ac:dyDescent="0.25">
      <c r="A114" s="33" t="str" cm="1">
        <f t="array" ref="A114">IFERROR(INDEX(Register!$B$3:$B$1409,ROW(),0), "")</f>
        <v>Symbient Product Development</v>
      </c>
      <c r="B114" s="32" t="e">
        <f>VLOOKUP($A114,Register!$B$3:$E$1409,6,FALSE)</f>
        <v>#REF!</v>
      </c>
      <c r="C114" s="32" t="e">
        <f>VLOOKUP($A114,Register!$B$3:$E$1409,7,FALSE)</f>
        <v>#REF!</v>
      </c>
      <c r="D114" s="32" t="e">
        <f>VLOOKUP($A114,Register!$B$3:$E$1409,8,FALSE)</f>
        <v>#REF!</v>
      </c>
      <c r="E114" s="34" t="s">
        <v>4899</v>
      </c>
      <c r="F114" s="34" t="s">
        <v>4900</v>
      </c>
      <c r="G114" s="34" t="s">
        <v>4901</v>
      </c>
      <c r="H114" s="34" t="s">
        <v>4902</v>
      </c>
      <c r="I114" s="34" t="s">
        <v>4903</v>
      </c>
      <c r="J114" s="34" t="s">
        <v>4904</v>
      </c>
      <c r="K114" s="34" t="s">
        <v>4905</v>
      </c>
      <c r="L114" s="32" t="s">
        <v>4906</v>
      </c>
      <c r="M114" s="32" t="s">
        <v>4907</v>
      </c>
    </row>
    <row r="115" spans="1:19" x14ac:dyDescent="0.25">
      <c r="A115" s="33" t="str" cm="1">
        <f t="array" ref="A115">IFERROR(INDEX(Register!$B$3:$B$1409,ROW(),0), "")</f>
        <v>Syneos Health, LLC</v>
      </c>
      <c r="B115" s="32" t="e">
        <f>VLOOKUP($A115,Register!$B$3:$E$1409,6,FALSE)</f>
        <v>#REF!</v>
      </c>
      <c r="C115" s="32" t="e">
        <f>VLOOKUP($A115,Register!$B$3:$E$1409,7,FALSE)</f>
        <v>#REF!</v>
      </c>
      <c r="D115" s="32" t="e">
        <f>VLOOKUP($A115,Register!$B$3:$E$1409,8,FALSE)</f>
        <v>#REF!</v>
      </c>
      <c r="E115" s="34" t="s">
        <v>2657</v>
      </c>
      <c r="F115" s="34" t="s">
        <v>4908</v>
      </c>
      <c r="G115" s="34" t="s">
        <v>4909</v>
      </c>
      <c r="H115" s="34" t="s">
        <v>4910</v>
      </c>
    </row>
    <row r="116" spans="1:19" x14ac:dyDescent="0.25">
      <c r="A116" s="33" t="str" cm="1">
        <f t="array" ref="A116">IFERROR(INDEX(Register!$B$3:$B$1409,ROW(),0), "")</f>
        <v>TK1SC</v>
      </c>
      <c r="B116" s="32" t="e">
        <f>VLOOKUP($A116,Register!$B$3:$E$1409,6,FALSE)</f>
        <v>#REF!</v>
      </c>
      <c r="C116" s="32" t="e">
        <f>VLOOKUP($A116,Register!$B$3:$E$1409,7,FALSE)</f>
        <v>#REF!</v>
      </c>
      <c r="D116" s="32" t="e">
        <f>VLOOKUP($A116,Register!$B$3:$E$1409,8,FALSE)</f>
        <v>#REF!</v>
      </c>
      <c r="E116" s="34" t="s">
        <v>148</v>
      </c>
    </row>
    <row r="117" spans="1:19" x14ac:dyDescent="0.25">
      <c r="A117" s="33" t="str" cm="1">
        <f t="array" ref="A117">IFERROR(INDEX(Register!$B$3:$B$1409,ROW(),0), "")</f>
        <v>Ultrasonic Advisors LLC</v>
      </c>
      <c r="B117" s="32" t="e">
        <f>VLOOKUP($A117,Register!$B$3:$E$1409,6,FALSE)</f>
        <v>#REF!</v>
      </c>
      <c r="C117" s="32" t="e">
        <f>VLOOKUP($A117,Register!$B$3:$E$1409,7,FALSE)</f>
        <v>#REF!</v>
      </c>
      <c r="D117" s="32" t="e">
        <f>VLOOKUP($A117,Register!$B$3:$E$1409,8,FALSE)</f>
        <v>#REF!</v>
      </c>
      <c r="E117" s="34" t="s">
        <v>3568</v>
      </c>
    </row>
    <row r="118" spans="1:19" x14ac:dyDescent="0.25">
      <c r="A118" s="33" t="str" cm="1">
        <f t="array" ref="A118">IFERROR(INDEX(Register!$B$3:$B$1409,ROW(),0), "")</f>
        <v>X-Product</v>
      </c>
      <c r="B118" s="32" t="e">
        <f>VLOOKUP($A118,Register!$B$3:$E$1409,6,FALSE)</f>
        <v>#REF!</v>
      </c>
      <c r="C118" s="32" t="e">
        <f>VLOOKUP($A118,Register!$B$3:$E$1409,7,FALSE)</f>
        <v>#REF!</v>
      </c>
      <c r="D118" s="32" t="e">
        <f>VLOOKUP($A118,Register!$B$3:$E$1409,8,FALSE)</f>
        <v>#REF!</v>
      </c>
      <c r="E118" s="34" t="s">
        <v>4911</v>
      </c>
      <c r="F118" s="34" t="s">
        <v>4912</v>
      </c>
      <c r="G118" s="34" t="s">
        <v>4913</v>
      </c>
      <c r="H118" s="34" t="s">
        <v>4914</v>
      </c>
      <c r="I118" s="34" t="s">
        <v>4915</v>
      </c>
      <c r="J118" s="34" t="s">
        <v>4916</v>
      </c>
      <c r="K118" s="34" t="s">
        <v>4917</v>
      </c>
      <c r="L118" s="32" t="s">
        <v>4918</v>
      </c>
    </row>
    <row r="119" spans="1:19" x14ac:dyDescent="0.25">
      <c r="A119" s="33" t="str" cm="1">
        <f t="array" ref="A119">IFERROR(INDEX(Register!$B$3:$B$1409,ROW(),0), "")</f>
        <v>SAN DIEGO DIE CUTTING, INC.</v>
      </c>
      <c r="B119" s="32" t="e">
        <f>VLOOKUP($A119,Register!$B$3:$E$1409,6,FALSE)</f>
        <v>#REF!</v>
      </c>
      <c r="C119" s="32" t="e">
        <f>VLOOKUP($A119,Register!$B$3:$E$1409,7,FALSE)</f>
        <v>#REF!</v>
      </c>
      <c r="D119" s="32" t="e">
        <f>VLOOKUP($A119,Register!$B$3:$E$1409,8,FALSE)</f>
        <v>#REF!</v>
      </c>
      <c r="E119" s="34" t="s">
        <v>4919</v>
      </c>
      <c r="F119" s="34" t="s">
        <v>4920</v>
      </c>
      <c r="G119" s="34" t="s">
        <v>4921</v>
      </c>
      <c r="H119" s="34" t="s">
        <v>4922</v>
      </c>
      <c r="I119" s="34" t="s">
        <v>716</v>
      </c>
    </row>
    <row r="120" spans="1:19" x14ac:dyDescent="0.25">
      <c r="A120" s="33" t="str" cm="1">
        <f t="array" ref="A120">IFERROR(INDEX(Register!$B$3:$B$1409,ROW(),0), "")</f>
        <v>Able Industrial Products, Inc.</v>
      </c>
      <c r="B120" s="32" t="e">
        <f>VLOOKUP($A120,Register!$B$3:$E$1409,6,FALSE)</f>
        <v>#REF!</v>
      </c>
      <c r="C120" s="32" t="e">
        <f>VLOOKUP($A120,Register!$B$3:$E$1409,7,FALSE)</f>
        <v>#REF!</v>
      </c>
      <c r="D120" s="32" t="e">
        <f>VLOOKUP($A120,Register!$B$3:$E$1409,8,FALSE)</f>
        <v>#REF!</v>
      </c>
      <c r="E120" s="34" t="s">
        <v>4923</v>
      </c>
      <c r="F120" s="34" t="s">
        <v>4924</v>
      </c>
      <c r="G120" s="34" t="s">
        <v>4925</v>
      </c>
      <c r="H120" s="34" t="s">
        <v>4926</v>
      </c>
      <c r="I120" s="34" t="s">
        <v>4927</v>
      </c>
      <c r="J120" s="34" t="s">
        <v>4928</v>
      </c>
      <c r="K120" s="34" t="s">
        <v>4929</v>
      </c>
      <c r="L120" s="32" t="s">
        <v>4930</v>
      </c>
      <c r="M120" s="32" t="s">
        <v>4931</v>
      </c>
      <c r="N120" s="32" t="s">
        <v>4932</v>
      </c>
      <c r="O120" s="32" t="s">
        <v>4933</v>
      </c>
      <c r="P120" s="32" t="s">
        <v>4934</v>
      </c>
      <c r="Q120" s="32" t="s">
        <v>4935</v>
      </c>
      <c r="R120" s="32" t="s">
        <v>4936</v>
      </c>
      <c r="S120" s="32" t="s">
        <v>4937</v>
      </c>
    </row>
    <row r="121" spans="1:19" x14ac:dyDescent="0.25">
      <c r="A121" s="33" t="str" cm="1">
        <f t="array" ref="A121">IFERROR(INDEX(Register!$B$3:$B$1409,ROW(),0), "")</f>
        <v>Huizhou Weihua Technology Co Ltd</v>
      </c>
      <c r="B121" s="32" t="e">
        <f>VLOOKUP($A121,Register!$B$3:$E$1409,6,FALSE)</f>
        <v>#REF!</v>
      </c>
      <c r="C121" s="32" t="e">
        <f>VLOOKUP($A121,Register!$B$3:$E$1409,7,FALSE)</f>
        <v>#REF!</v>
      </c>
      <c r="D121" s="32" t="e">
        <f>VLOOKUP($A121,Register!$B$3:$E$1409,8,FALSE)</f>
        <v>#REF!</v>
      </c>
      <c r="E121" s="34" t="s">
        <v>4938</v>
      </c>
      <c r="F121" s="34" t="s">
        <v>4939</v>
      </c>
      <c r="G121" s="34" t="s">
        <v>4940</v>
      </c>
    </row>
    <row r="122" spans="1:19" x14ac:dyDescent="0.25">
      <c r="A122" s="33" t="str" cm="1">
        <f t="array" ref="A122">IFERROR(INDEX(Register!$B$3:$B$1409,ROW(),0), "")</f>
        <v>MODUS ADVANCED</v>
      </c>
      <c r="B122" s="32" t="e">
        <f>VLOOKUP($A122,Register!$B$3:$E$1409,6,FALSE)</f>
        <v>#REF!</v>
      </c>
      <c r="C122" s="32" t="e">
        <f>VLOOKUP($A122,Register!$B$3:$E$1409,7,FALSE)</f>
        <v>#REF!</v>
      </c>
      <c r="D122" s="32" t="e">
        <f>VLOOKUP($A122,Register!$B$3:$E$1409,8,FALSE)</f>
        <v>#REF!</v>
      </c>
      <c r="E122" s="34" t="s">
        <v>148</v>
      </c>
    </row>
    <row r="123" spans="1:19" x14ac:dyDescent="0.25">
      <c r="A123" s="33" t="str" cm="1">
        <f t="array" ref="A123">IFERROR(INDEX(Register!$B$3:$B$1409,ROW(),0), "")</f>
        <v>UNITY DIGITAL INC.</v>
      </c>
      <c r="B123" s="32" t="e">
        <f>VLOOKUP($A123,Register!$B$3:$E$1409,6,FALSE)</f>
        <v>#REF!</v>
      </c>
      <c r="C123" s="32" t="e">
        <f>VLOOKUP($A123,Register!$B$3:$E$1409,7,FALSE)</f>
        <v>#REF!</v>
      </c>
      <c r="D123" s="32" t="e">
        <f>VLOOKUP($A123,Register!$B$3:$E$1409,8,FALSE)</f>
        <v>#REF!</v>
      </c>
      <c r="E123" s="34" t="s">
        <v>4941</v>
      </c>
      <c r="F123" s="34" t="s">
        <v>4942</v>
      </c>
      <c r="G123" s="34" t="s">
        <v>4943</v>
      </c>
      <c r="H123" s="34" t="s">
        <v>4944</v>
      </c>
      <c r="I123" s="34" t="s">
        <v>4671</v>
      </c>
      <c r="J123" s="34" t="s">
        <v>4945</v>
      </c>
      <c r="K123" s="34" t="s">
        <v>4946</v>
      </c>
      <c r="L123" s="32" t="s">
        <v>4947</v>
      </c>
      <c r="M123" s="32" t="s">
        <v>4948</v>
      </c>
      <c r="N123" s="32" t="s">
        <v>4949</v>
      </c>
      <c r="O123" s="32" t="s">
        <v>4950</v>
      </c>
      <c r="P123" s="32" t="s">
        <v>4951</v>
      </c>
    </row>
    <row r="124" spans="1:19" x14ac:dyDescent="0.25">
      <c r="A124" s="33" t="str" cm="1">
        <f t="array" ref="A124">IFERROR(INDEX(Register!$B$3:$B$1409,ROW(),0), "")</f>
        <v>UCI Division of Continuing Ed.</v>
      </c>
      <c r="B124" s="32" t="e">
        <f>VLOOKUP($A124,Register!$B$3:$E$1409,6,FALSE)</f>
        <v>#REF!</v>
      </c>
      <c r="C124" s="32" t="e">
        <f>VLOOKUP($A124,Register!$B$3:$E$1409,7,FALSE)</f>
        <v>#REF!</v>
      </c>
      <c r="D124" s="32" t="e">
        <f>VLOOKUP($A124,Register!$B$3:$E$1409,8,FALSE)</f>
        <v>#REF!</v>
      </c>
      <c r="E124" s="34" t="s">
        <v>4952</v>
      </c>
    </row>
    <row r="125" spans="1:19" x14ac:dyDescent="0.25">
      <c r="A125" s="33" t="str" cm="1">
        <f t="array" ref="A125">IFERROR(INDEX(Register!$B$3:$B$1409,ROW(),0), "")</f>
        <v>Aldora Electric Company</v>
      </c>
      <c r="B125" s="32" t="e">
        <f>VLOOKUP($A125,Register!$B$3:$E$1409,6,FALSE)</f>
        <v>#REF!</v>
      </c>
      <c r="C125" s="32" t="e">
        <f>VLOOKUP($A125,Register!$B$3:$E$1409,7,FALSE)</f>
        <v>#REF!</v>
      </c>
      <c r="D125" s="32" t="e">
        <f>VLOOKUP($A125,Register!$B$3:$E$1409,8,FALSE)</f>
        <v>#REF!</v>
      </c>
      <c r="E125" s="34" t="s">
        <v>148</v>
      </c>
    </row>
    <row r="126" spans="1:19" x14ac:dyDescent="0.25">
      <c r="A126" s="33" t="str" cm="1">
        <f t="array" ref="A126">IFERROR(INDEX(Register!$B$3:$B$1409,ROW(),0), "")</f>
        <v>Freudenberg Sealing Technologies</v>
      </c>
      <c r="B126" s="32" t="e">
        <f>VLOOKUP($A126,Register!$B$3:$E$1409,6,FALSE)</f>
        <v>#REF!</v>
      </c>
      <c r="C126" s="32" t="e">
        <f>VLOOKUP($A126,Register!$B$3:$E$1409,7,FALSE)</f>
        <v>#REF!</v>
      </c>
      <c r="D126" s="32" t="e">
        <f>VLOOKUP($A126,Register!$B$3:$E$1409,8,FALSE)</f>
        <v>#REF!</v>
      </c>
      <c r="E126" s="34" t="s">
        <v>4953</v>
      </c>
    </row>
    <row r="127" spans="1:19" x14ac:dyDescent="0.25">
      <c r="A127" s="33" t="str" cm="1">
        <f t="array" ref="A127">IFERROR(INDEX(Register!$B$3:$B$1409,ROW(),0), "")</f>
        <v>Ocean Controls</v>
      </c>
      <c r="B127" s="32" t="e">
        <f>VLOOKUP($A127,Register!$B$3:$E$1409,6,FALSE)</f>
        <v>#REF!</v>
      </c>
      <c r="C127" s="32" t="e">
        <f>VLOOKUP($A127,Register!$B$3:$E$1409,7,FALSE)</f>
        <v>#REF!</v>
      </c>
      <c r="D127" s="32" t="e">
        <f>VLOOKUP($A127,Register!$B$3:$E$1409,8,FALSE)</f>
        <v>#REF!</v>
      </c>
      <c r="E127" s="34" t="s">
        <v>817</v>
      </c>
    </row>
    <row r="128" spans="1:19" x14ac:dyDescent="0.25">
      <c r="A128" s="33" t="str" cm="1">
        <f t="array" ref="A128">IFERROR(INDEX(Register!$B$3:$B$1409,ROW(),0), "")</f>
        <v>Wago Pty Ltd</v>
      </c>
      <c r="B128" s="32" t="e">
        <f>VLOOKUP($A128,Register!$B$3:$E$1409,6,FALSE)</f>
        <v>#REF!</v>
      </c>
      <c r="C128" s="32" t="e">
        <f>VLOOKUP($A128,Register!$B$3:$E$1409,7,FALSE)</f>
        <v>#REF!</v>
      </c>
      <c r="D128" s="32" t="e">
        <f>VLOOKUP($A128,Register!$B$3:$E$1409,8,FALSE)</f>
        <v>#REF!</v>
      </c>
      <c r="E128" s="34" t="s">
        <v>4954</v>
      </c>
    </row>
    <row r="129" spans="1:26" x14ac:dyDescent="0.25">
      <c r="A129" s="33" t="str" cm="1">
        <f t="array" ref="A129">IFERROR(INDEX(Register!$B$3:$B$1409,ROW(),0), "")</f>
        <v>Baldy Electric Inc.</v>
      </c>
      <c r="B129" s="32" t="e">
        <f>VLOOKUP($A129,Register!$B$3:$E$1409,6,FALSE)</f>
        <v>#REF!</v>
      </c>
      <c r="C129" s="32" t="e">
        <f>VLOOKUP($A129,Register!$B$3:$E$1409,7,FALSE)</f>
        <v>#REF!</v>
      </c>
      <c r="D129" s="32" t="e">
        <f>VLOOKUP($A129,Register!$B$3:$E$1409,8,FALSE)</f>
        <v>#REF!</v>
      </c>
      <c r="E129" s="34" t="s">
        <v>4825</v>
      </c>
      <c r="F129" s="34" t="s">
        <v>4955</v>
      </c>
      <c r="G129" s="34" t="s">
        <v>4956</v>
      </c>
    </row>
    <row r="130" spans="1:26" x14ac:dyDescent="0.25">
      <c r="A130" s="33" t="str" cm="1">
        <f t="array" ref="A130">IFERROR(INDEX(Register!$B$3:$B$1409,ROW(),0), "")</f>
        <v>National Electric Works</v>
      </c>
      <c r="B130" s="32" t="e">
        <f>VLOOKUP($A130,Register!$B$3:$E$1409,6,FALSE)</f>
        <v>#REF!</v>
      </c>
      <c r="C130" s="32" t="e">
        <f>VLOOKUP($A130,Register!$B$3:$E$1409,7,FALSE)</f>
        <v>#REF!</v>
      </c>
      <c r="D130" s="32" t="e">
        <f>VLOOKUP($A130,Register!$B$3:$E$1409,8,FALSE)</f>
        <v>#REF!</v>
      </c>
      <c r="E130" s="34" t="s">
        <v>148</v>
      </c>
    </row>
    <row r="131" spans="1:26" x14ac:dyDescent="0.25">
      <c r="A131" s="33" t="str" cm="1">
        <f t="array" ref="A131">IFERROR(INDEX(Register!$B$3:$B$1409,ROW(),0), "")</f>
        <v>VTE Australia Pty Ltd</v>
      </c>
      <c r="B131" s="32" t="e">
        <f>VLOOKUP($A131,Register!$B$3:$E$1409,6,FALSE)</f>
        <v>#REF!</v>
      </c>
      <c r="C131" s="32" t="e">
        <f>VLOOKUP($A131,Register!$B$3:$E$1409,7,FALSE)</f>
        <v>#REF!</v>
      </c>
      <c r="D131" s="32" t="e">
        <f>VLOOKUP($A131,Register!$B$3:$E$1409,8,FALSE)</f>
        <v>#REF!</v>
      </c>
      <c r="E131" s="34" t="s">
        <v>4798</v>
      </c>
      <c r="F131" s="34" t="s">
        <v>4957</v>
      </c>
      <c r="G131" s="34" t="s">
        <v>4958</v>
      </c>
    </row>
    <row r="132" spans="1:26" x14ac:dyDescent="0.25">
      <c r="A132" s="33" t="str" cm="1">
        <f t="array" ref="A132">IFERROR(INDEX(Register!$B$3:$B$1409,ROW(),0), "")</f>
        <v>LabJack Corporation</v>
      </c>
      <c r="B132" s="32" t="e">
        <f>VLOOKUP($A132,Register!$B$3:$E$1409,6,FALSE)</f>
        <v>#REF!</v>
      </c>
      <c r="C132" s="32" t="e">
        <f>VLOOKUP($A132,Register!$B$3:$E$1409,7,FALSE)</f>
        <v>#REF!</v>
      </c>
      <c r="D132" s="32" t="e">
        <f>VLOOKUP($A132,Register!$B$3:$E$1409,8,FALSE)</f>
        <v>#REF!</v>
      </c>
      <c r="E132" s="34" t="s">
        <v>658</v>
      </c>
    </row>
    <row r="133" spans="1:26" x14ac:dyDescent="0.25">
      <c r="A133" s="33" t="str" cm="1">
        <f t="array" ref="A133">IFERROR(INDEX(Register!$B$3:$B$1409,ROW(),0), "")</f>
        <v>ValueTronics International Inc</v>
      </c>
      <c r="B133" s="32" t="e">
        <f>VLOOKUP($A133,Register!$B$3:$E$1409,6,FALSE)</f>
        <v>#REF!</v>
      </c>
      <c r="C133" s="32" t="e">
        <f>VLOOKUP($A133,Register!$B$3:$E$1409,7,FALSE)</f>
        <v>#REF!</v>
      </c>
      <c r="D133" s="32" t="e">
        <f>VLOOKUP($A133,Register!$B$3:$E$1409,8,FALSE)</f>
        <v>#REF!</v>
      </c>
      <c r="E133" s="34" t="s">
        <v>658</v>
      </c>
    </row>
    <row r="134" spans="1:26" x14ac:dyDescent="0.25">
      <c r="A134" s="33" t="str" cm="1">
        <f t="array" ref="A134">IFERROR(INDEX(Register!$B$3:$B$1409,ROW(),0), "")</f>
        <v>E Xing Precision Design Pte Ltd</v>
      </c>
      <c r="B134" s="32" t="e">
        <f>VLOOKUP($A134,Register!$B$3:$E$1409,6,FALSE)</f>
        <v>#REF!</v>
      </c>
      <c r="C134" s="32" t="e">
        <f>VLOOKUP($A134,Register!$B$3:$E$1409,7,FALSE)</f>
        <v>#REF!</v>
      </c>
      <c r="D134" s="32" t="e">
        <f>VLOOKUP($A134,Register!$B$3:$E$1409,8,FALSE)</f>
        <v>#REF!</v>
      </c>
      <c r="E134" s="34" t="s">
        <v>4959</v>
      </c>
      <c r="F134" s="34" t="s">
        <v>4960</v>
      </c>
      <c r="G134" s="34" t="s">
        <v>4445</v>
      </c>
    </row>
    <row r="135" spans="1:26" x14ac:dyDescent="0.25">
      <c r="A135" s="33" t="str" cm="1">
        <f t="array" ref="A135">IFERROR(INDEX(Register!$B$3:$B$1409,ROW(),0), "")</f>
        <v>4 Star Electronics, Inc.</v>
      </c>
      <c r="B135" s="32" t="e">
        <f>VLOOKUP($A135,Register!$B$3:$E$1409,6,FALSE)</f>
        <v>#REF!</v>
      </c>
      <c r="C135" s="32" t="e">
        <f>VLOOKUP($A135,Register!$B$3:$E$1409,7,FALSE)</f>
        <v>#REF!</v>
      </c>
      <c r="D135" s="32" t="e">
        <f>VLOOKUP($A135,Register!$B$3:$E$1409,8,FALSE)</f>
        <v>#REF!</v>
      </c>
      <c r="E135" s="34" t="s">
        <v>4961</v>
      </c>
      <c r="F135" s="34" t="s">
        <v>4962</v>
      </c>
      <c r="G135" s="34" t="s">
        <v>4963</v>
      </c>
      <c r="H135" s="34" t="s">
        <v>4964</v>
      </c>
      <c r="I135" s="34" t="s">
        <v>4965</v>
      </c>
      <c r="J135" s="34" t="s">
        <v>4966</v>
      </c>
      <c r="K135" s="34" t="s">
        <v>4967</v>
      </c>
      <c r="L135" s="32" t="s">
        <v>4968</v>
      </c>
      <c r="M135" s="32" t="s">
        <v>4969</v>
      </c>
      <c r="N135" s="32" t="s">
        <v>4970</v>
      </c>
      <c r="O135" s="32" t="s">
        <v>4971</v>
      </c>
      <c r="P135" s="32" t="s">
        <v>4972</v>
      </c>
      <c r="Q135" s="32" t="s">
        <v>4973</v>
      </c>
      <c r="R135" s="32" t="s">
        <v>4974</v>
      </c>
      <c r="S135" s="32" t="s">
        <v>4975</v>
      </c>
      <c r="T135" s="32" t="s">
        <v>4976</v>
      </c>
      <c r="U135" s="32" t="s">
        <v>4977</v>
      </c>
      <c r="V135" s="32" t="s">
        <v>4978</v>
      </c>
      <c r="W135" s="32" t="s">
        <v>4979</v>
      </c>
      <c r="X135" s="32" t="s">
        <v>4980</v>
      </c>
      <c r="Y135" s="32" t="s">
        <v>4981</v>
      </c>
      <c r="Z135" s="32" t="s">
        <v>4982</v>
      </c>
    </row>
    <row r="136" spans="1:26" x14ac:dyDescent="0.25">
      <c r="A136" s="33" t="str" cm="1">
        <f t="array" ref="A136">IFERROR(INDEX(Register!$B$3:$B$1409,ROW(),0), "")</f>
        <v>Altronic Distributors Pty Ltd</v>
      </c>
      <c r="B136" s="32" t="e">
        <f>VLOOKUP($A136,Register!$B$3:$E$1409,6,FALSE)</f>
        <v>#REF!</v>
      </c>
      <c r="C136" s="32" t="e">
        <f>VLOOKUP($A136,Register!$B$3:$E$1409,7,FALSE)</f>
        <v>#REF!</v>
      </c>
      <c r="D136" s="32" t="e">
        <f>VLOOKUP($A136,Register!$B$3:$E$1409,8,FALSE)</f>
        <v>#REF!</v>
      </c>
      <c r="E136" s="34" t="s">
        <v>148</v>
      </c>
    </row>
    <row r="137" spans="1:26" x14ac:dyDescent="0.25">
      <c r="A137" s="33" t="str" cm="1">
        <f t="array" ref="A137">IFERROR(INDEX(Register!$B$3:$B$1409,ROW(),0), "")</f>
        <v>Analog Technologies, Inc.</v>
      </c>
      <c r="B137" s="32" t="e">
        <f>VLOOKUP($A137,Register!$B$3:$E$1409,6,FALSE)</f>
        <v>#REF!</v>
      </c>
      <c r="C137" s="32" t="e">
        <f>VLOOKUP($A137,Register!$B$3:$E$1409,7,FALSE)</f>
        <v>#REF!</v>
      </c>
      <c r="D137" s="32" t="e">
        <f>VLOOKUP($A137,Register!$B$3:$E$1409,8,FALSE)</f>
        <v>#REF!</v>
      </c>
      <c r="E137" s="34" t="s">
        <v>148</v>
      </c>
    </row>
    <row r="138" spans="1:26" x14ac:dyDescent="0.25">
      <c r="A138" s="33" t="str" cm="1">
        <f t="array" ref="A138">IFERROR(INDEX(Register!$B$3:$B$1409,ROW(),0), "")</f>
        <v>Arrow Electronics Australia Pty Ltd</v>
      </c>
      <c r="B138" s="32" t="e">
        <f>VLOOKUP($A138,Register!$B$3:$E$1409,6,FALSE)</f>
        <v>#REF!</v>
      </c>
      <c r="C138" s="32" t="e">
        <f>VLOOKUP($A138,Register!$B$3:$E$1409,7,FALSE)</f>
        <v>#REF!</v>
      </c>
      <c r="D138" s="32" t="e">
        <f>VLOOKUP($A138,Register!$B$3:$E$1409,8,FALSE)</f>
        <v>#REF!</v>
      </c>
      <c r="E138" s="34" t="s">
        <v>148</v>
      </c>
    </row>
    <row r="139" spans="1:26" x14ac:dyDescent="0.25">
      <c r="A139" s="33" t="str" cm="1">
        <f t="array" ref="A139">IFERROR(INDEX(Register!$B$3:$B$1409,ROW(),0), "")</f>
        <v>Arrow Electronics Australia Pty Ltd</v>
      </c>
      <c r="B139" s="32" t="e">
        <f>VLOOKUP($A139,Register!$B$3:$E$1409,6,FALSE)</f>
        <v>#REF!</v>
      </c>
      <c r="C139" s="32" t="e">
        <f>VLOOKUP($A139,Register!$B$3:$E$1409,7,FALSE)</f>
        <v>#REF!</v>
      </c>
      <c r="D139" s="32" t="e">
        <f>VLOOKUP($A139,Register!$B$3:$E$1409,8,FALSE)</f>
        <v>#REF!</v>
      </c>
      <c r="E139" s="34" t="s">
        <v>4983</v>
      </c>
      <c r="F139" s="34" t="s">
        <v>4984</v>
      </c>
      <c r="G139" s="34" t="s">
        <v>4985</v>
      </c>
      <c r="H139" s="34" t="s">
        <v>4986</v>
      </c>
      <c r="I139" s="34" t="s">
        <v>4986</v>
      </c>
      <c r="J139" s="34" t="s">
        <v>4987</v>
      </c>
      <c r="K139" s="34" t="s">
        <v>4988</v>
      </c>
      <c r="L139" s="32" t="s">
        <v>4989</v>
      </c>
      <c r="M139" s="32" t="s">
        <v>4990</v>
      </c>
      <c r="N139" s="32" t="s">
        <v>4991</v>
      </c>
      <c r="O139" s="32" t="s">
        <v>4992</v>
      </c>
      <c r="P139" s="32" t="s">
        <v>4993</v>
      </c>
      <c r="Q139" s="32" t="s">
        <v>4994</v>
      </c>
      <c r="R139" s="32" t="s">
        <v>4995</v>
      </c>
    </row>
    <row r="140" spans="1:26" x14ac:dyDescent="0.25">
      <c r="A140" s="33" t="str" cm="1">
        <f t="array" ref="A140">IFERROR(INDEX(Register!$B$3:$B$1409,ROW(),0), "")</f>
        <v>CUI Devices</v>
      </c>
      <c r="B140" s="32" t="e">
        <f>VLOOKUP($A140,Register!$B$3:$E$1409,6,FALSE)</f>
        <v>#REF!</v>
      </c>
      <c r="C140" s="32" t="e">
        <f>VLOOKUP($A140,Register!$B$3:$E$1409,7,FALSE)</f>
        <v>#REF!</v>
      </c>
      <c r="D140" s="32" t="e">
        <f>VLOOKUP($A140,Register!$B$3:$E$1409,8,FALSE)</f>
        <v>#REF!</v>
      </c>
      <c r="E140" s="34" t="s">
        <v>148</v>
      </c>
    </row>
    <row r="141" spans="1:26" x14ac:dyDescent="0.25">
      <c r="A141" s="33" t="str" cm="1">
        <f t="array" ref="A141">IFERROR(INDEX(Register!$B$3:$B$1409,ROW(),0), "")</f>
        <v>Aeri</v>
      </c>
      <c r="B141" s="32" t="e">
        <f>VLOOKUP($A141,Register!$B$3:$E$1409,6,FALSE)</f>
        <v>#REF!</v>
      </c>
      <c r="C141" s="32" t="e">
        <f>VLOOKUP($A141,Register!$B$3:$E$1409,7,FALSE)</f>
        <v>#REF!</v>
      </c>
      <c r="D141" s="32" t="e">
        <f>VLOOKUP($A141,Register!$B$3:$E$1409,8,FALSE)</f>
        <v>#REF!</v>
      </c>
      <c r="E141" s="34" t="s">
        <v>148</v>
      </c>
    </row>
    <row r="142" spans="1:26" x14ac:dyDescent="0.25">
      <c r="A142" s="33" t="str" cm="1">
        <f t="array" ref="A142">IFERROR(INDEX(Register!$B$3:$B$1409,ROW(),0), "")</f>
        <v>ALLIED Elec</v>
      </c>
      <c r="B142" s="32" t="e">
        <f>VLOOKUP($A142,Register!$B$3:$E$1409,6,FALSE)</f>
        <v>#REF!</v>
      </c>
      <c r="C142" s="32" t="e">
        <f>VLOOKUP($A142,Register!$B$3:$E$1409,7,FALSE)</f>
        <v>#REF!</v>
      </c>
      <c r="D142" s="32" t="e">
        <f>VLOOKUP($A142,Register!$B$3:$E$1409,8,FALSE)</f>
        <v>#REF!</v>
      </c>
      <c r="E142" s="34" t="s">
        <v>4996</v>
      </c>
      <c r="F142" s="34" t="s">
        <v>4997</v>
      </c>
      <c r="G142" s="34" t="s">
        <v>4998</v>
      </c>
    </row>
    <row r="143" spans="1:26" x14ac:dyDescent="0.25">
      <c r="A143" s="33" t="str" cm="1">
        <f t="array" ref="A143">IFERROR(INDEX(Register!$B$3:$B$1409,ROW(),0), "")</f>
        <v>Allied Electronics Inc</v>
      </c>
      <c r="B143" s="32" t="e">
        <f>VLOOKUP($A143,Register!$B$3:$E$1409,6,FALSE)</f>
        <v>#REF!</v>
      </c>
      <c r="C143" s="32" t="e">
        <f>VLOOKUP($A143,Register!$B$3:$E$1409,7,FALSE)</f>
        <v>#REF!</v>
      </c>
      <c r="D143" s="32" t="e">
        <f>VLOOKUP($A143,Register!$B$3:$E$1409,8,FALSE)</f>
        <v>#REF!</v>
      </c>
      <c r="E143" s="34" t="s">
        <v>4883</v>
      </c>
      <c r="F143" s="34" t="s">
        <v>4884</v>
      </c>
      <c r="G143" s="34" t="s">
        <v>4885</v>
      </c>
      <c r="H143" s="34" t="s">
        <v>4886</v>
      </c>
      <c r="I143" s="34" t="s">
        <v>4887</v>
      </c>
      <c r="J143" s="34" t="s">
        <v>4888</v>
      </c>
      <c r="K143" s="34" t="s">
        <v>4889</v>
      </c>
      <c r="L143" s="32" t="s">
        <v>4890</v>
      </c>
      <c r="M143" s="32" t="s">
        <v>4891</v>
      </c>
    </row>
    <row r="144" spans="1:26" x14ac:dyDescent="0.25">
      <c r="A144" s="33" t="str" cm="1">
        <f t="array" ref="A144">IFERROR(INDEX(Register!$B$3:$B$1409,ROW(),0), "")</f>
        <v>ARROW ELECTRONICS</v>
      </c>
      <c r="B144" s="32" t="e">
        <f>VLOOKUP($A144,Register!$B$3:$E$1409,6,FALSE)</f>
        <v>#REF!</v>
      </c>
      <c r="C144" s="32" t="e">
        <f>VLOOKUP($A144,Register!$B$3:$E$1409,7,FALSE)</f>
        <v>#REF!</v>
      </c>
      <c r="D144" s="32" t="e">
        <f>VLOOKUP($A144,Register!$B$3:$E$1409,8,FALSE)</f>
        <v>#REF!</v>
      </c>
      <c r="E144" s="34" t="s">
        <v>4999</v>
      </c>
      <c r="F144" s="34" t="s">
        <v>5000</v>
      </c>
      <c r="G144" s="34" t="s">
        <v>5001</v>
      </c>
      <c r="H144" s="34" t="s">
        <v>5002</v>
      </c>
      <c r="I144" s="34" t="s">
        <v>5003</v>
      </c>
    </row>
    <row r="145" spans="1:12" x14ac:dyDescent="0.25">
      <c r="A145" s="33" t="str" cm="1">
        <f t="array" ref="A145">IFERROR(INDEX(Register!$B$3:$B$1409,ROW(),0), "")</f>
        <v>Avnet Electronics</v>
      </c>
      <c r="B145" s="32" t="e">
        <f>VLOOKUP($A145,Register!$B$3:$E$1409,6,FALSE)</f>
        <v>#REF!</v>
      </c>
      <c r="C145" s="32" t="e">
        <f>VLOOKUP($A145,Register!$B$3:$E$1409,7,FALSE)</f>
        <v>#REF!</v>
      </c>
      <c r="D145" s="32" t="e">
        <f>VLOOKUP($A145,Register!$B$3:$E$1409,8,FALSE)</f>
        <v>#REF!</v>
      </c>
      <c r="E145" s="34" t="s">
        <v>148</v>
      </c>
    </row>
    <row r="146" spans="1:12" x14ac:dyDescent="0.25">
      <c r="A146" s="33" t="str" cm="1">
        <f t="array" ref="A146">IFERROR(INDEX(Register!$B$3:$B$1409,ROW(),0), "")</f>
        <v>Avnet Electronics</v>
      </c>
      <c r="B146" s="32" t="e">
        <f>VLOOKUP($A146,Register!$B$3:$E$1409,6,FALSE)</f>
        <v>#REF!</v>
      </c>
      <c r="C146" s="32" t="e">
        <f>VLOOKUP($A146,Register!$B$3:$E$1409,7,FALSE)</f>
        <v>#REF!</v>
      </c>
      <c r="D146" s="32" t="e">
        <f>VLOOKUP($A146,Register!$B$3:$E$1409,8,FALSE)</f>
        <v>#REF!</v>
      </c>
      <c r="E146" s="34" t="s">
        <v>5004</v>
      </c>
    </row>
    <row r="147" spans="1:12" x14ac:dyDescent="0.25">
      <c r="A147" s="33" t="str" cm="1">
        <f t="array" ref="A147">IFERROR(INDEX(Register!$B$3:$B$1409,ROW(),0), "")</f>
        <v>Clarke &amp; Severn Electronics</v>
      </c>
      <c r="B147" s="32" t="e">
        <f>VLOOKUP($A147,Register!$B$3:$E$1409,6,FALSE)</f>
        <v>#REF!</v>
      </c>
      <c r="C147" s="32" t="e">
        <f>VLOOKUP($A147,Register!$B$3:$E$1409,7,FALSE)</f>
        <v>#REF!</v>
      </c>
      <c r="D147" s="32" t="e">
        <f>VLOOKUP($A147,Register!$B$3:$E$1409,8,FALSE)</f>
        <v>#REF!</v>
      </c>
      <c r="E147" s="34" t="s">
        <v>2432</v>
      </c>
    </row>
    <row r="148" spans="1:12" x14ac:dyDescent="0.25">
      <c r="A148" s="33" t="str" cm="1">
        <f t="array" ref="A148">IFERROR(INDEX(Register!$B$3:$B$1409,ROW(),0), "")</f>
        <v>Core Electronics Pty Ltd</v>
      </c>
      <c r="B148" s="32" t="e">
        <f>VLOOKUP($A148,Register!$B$3:$E$1409,6,FALSE)</f>
        <v>#REF!</v>
      </c>
      <c r="C148" s="32" t="e">
        <f>VLOOKUP($A148,Register!$B$3:$E$1409,7,FALSE)</f>
        <v>#REF!</v>
      </c>
      <c r="D148" s="32" t="e">
        <f>VLOOKUP($A148,Register!$B$3:$E$1409,8,FALSE)</f>
        <v>#REF!</v>
      </c>
      <c r="E148" s="34" t="s">
        <v>148</v>
      </c>
    </row>
    <row r="149" spans="1:12" x14ac:dyDescent="0.25">
      <c r="A149" s="33" t="str" cm="1">
        <f t="array" ref="A149">IFERROR(INDEX(Register!$B$3:$B$1409,ROW(),0), "")</f>
        <v>D.B. ROBERTS COMPANY</v>
      </c>
      <c r="B149" s="32" t="e">
        <f>VLOOKUP($A149,Register!$B$3:$E$1409,6,FALSE)</f>
        <v>#REF!</v>
      </c>
      <c r="C149" s="32" t="e">
        <f>VLOOKUP($A149,Register!$B$3:$E$1409,7,FALSE)</f>
        <v>#REF!</v>
      </c>
      <c r="D149" s="32" t="e">
        <f>VLOOKUP($A149,Register!$B$3:$E$1409,8,FALSE)</f>
        <v>#REF!</v>
      </c>
      <c r="E149" s="34" t="s">
        <v>3538</v>
      </c>
    </row>
    <row r="150" spans="1:12" x14ac:dyDescent="0.25">
      <c r="A150" s="33" t="str" cm="1">
        <f t="array" ref="A150">IFERROR(INDEX(Register!$B$3:$B$1409,ROW(),0), "")</f>
        <v>DIGI-KEY CORPORATION</v>
      </c>
      <c r="B150" s="32" t="e">
        <f>VLOOKUP($A150,Register!$B$3:$E$1409,6,FALSE)</f>
        <v>#REF!</v>
      </c>
      <c r="C150" s="32" t="e">
        <f>VLOOKUP($A150,Register!$B$3:$E$1409,7,FALSE)</f>
        <v>#REF!</v>
      </c>
      <c r="D150" s="32" t="e">
        <f>VLOOKUP($A150,Register!$B$3:$E$1409,8,FALSE)</f>
        <v>#REF!</v>
      </c>
      <c r="E150" s="34" t="s">
        <v>148</v>
      </c>
    </row>
    <row r="151" spans="1:12" x14ac:dyDescent="0.25">
      <c r="A151" s="33" t="str" cm="1">
        <f t="array" ref="A151">IFERROR(INDEX(Register!$B$3:$B$1409,ROW(),0), "")</f>
        <v>Future Electronics</v>
      </c>
      <c r="B151" s="32" t="e">
        <f>VLOOKUP($A151,Register!$B$3:$E$1409,6,FALSE)</f>
        <v>#REF!</v>
      </c>
      <c r="C151" s="32" t="e">
        <f>VLOOKUP($A151,Register!$B$3:$E$1409,7,FALSE)</f>
        <v>#REF!</v>
      </c>
      <c r="D151" s="32" t="e">
        <f>VLOOKUP($A151,Register!$B$3:$E$1409,8,FALSE)</f>
        <v>#REF!</v>
      </c>
      <c r="E151" s="34" t="s">
        <v>148</v>
      </c>
    </row>
    <row r="152" spans="1:12" x14ac:dyDescent="0.25">
      <c r="A152" s="33" t="str" cm="1">
        <f t="array" ref="A152">IFERROR(INDEX(Register!$B$3:$B$1409,ROW(),0), "")</f>
        <v>Digi-Key Corporation (AU)</v>
      </c>
      <c r="B152" s="32" t="e">
        <f>VLOOKUP($A152,Register!$B$3:$E$1409,6,FALSE)</f>
        <v>#REF!</v>
      </c>
      <c r="C152" s="32" t="e">
        <f>VLOOKUP($A152,Register!$B$3:$E$1409,7,FALSE)</f>
        <v>#REF!</v>
      </c>
      <c r="D152" s="32" t="e">
        <f>VLOOKUP($A152,Register!$B$3:$E$1409,8,FALSE)</f>
        <v>#REF!</v>
      </c>
      <c r="E152" s="34" t="s">
        <v>148</v>
      </c>
    </row>
    <row r="153" spans="1:12" x14ac:dyDescent="0.25">
      <c r="A153" s="33" t="str" cm="1">
        <f t="array" ref="A153">IFERROR(INDEX(Register!$B$3:$B$1409,ROW(),0), "")</f>
        <v>HK Barum Electronics</v>
      </c>
      <c r="B153" s="32" t="e">
        <f>VLOOKUP($A153,Register!$B$3:$E$1409,6,FALSE)</f>
        <v>#REF!</v>
      </c>
      <c r="C153" s="32" t="e">
        <f>VLOOKUP($A153,Register!$B$3:$E$1409,7,FALSE)</f>
        <v>#REF!</v>
      </c>
      <c r="D153" s="32" t="e">
        <f>VLOOKUP($A153,Register!$B$3:$E$1409,8,FALSE)</f>
        <v>#REF!</v>
      </c>
      <c r="E153" s="34" t="s">
        <v>5005</v>
      </c>
      <c r="F153" s="34" t="s">
        <v>5006</v>
      </c>
      <c r="G153" s="34" t="s">
        <v>5007</v>
      </c>
      <c r="H153" s="34" t="s">
        <v>5008</v>
      </c>
      <c r="I153" s="34" t="s">
        <v>5009</v>
      </c>
      <c r="J153" s="34" t="s">
        <v>5010</v>
      </c>
      <c r="K153" s="34" t="s">
        <v>716</v>
      </c>
    </row>
    <row r="154" spans="1:12" x14ac:dyDescent="0.25">
      <c r="A154" s="33" t="str" cm="1">
        <f t="array" ref="A154">IFERROR(INDEX(Register!$B$3:$B$1409,ROW(),0), "")</f>
        <v>Kycon Inc</v>
      </c>
      <c r="B154" s="32" t="e">
        <f>VLOOKUP($A154,Register!$B$3:$E$1409,6,FALSE)</f>
        <v>#REF!</v>
      </c>
      <c r="C154" s="32" t="e">
        <f>VLOOKUP($A154,Register!$B$3:$E$1409,7,FALSE)</f>
        <v>#REF!</v>
      </c>
      <c r="D154" s="32" t="e">
        <f>VLOOKUP($A154,Register!$B$3:$E$1409,8,FALSE)</f>
        <v>#REF!</v>
      </c>
      <c r="E154" s="34" t="s">
        <v>5011</v>
      </c>
    </row>
    <row r="155" spans="1:12" x14ac:dyDescent="0.25">
      <c r="A155" s="33" t="str" cm="1">
        <f t="array" ref="A155">IFERROR(INDEX(Register!$B$3:$B$1409,ROW(),0), "")</f>
        <v>Digi-Key Corporation (AU)</v>
      </c>
      <c r="B155" s="32" t="e">
        <f>VLOOKUP($A155,Register!$B$3:$E$1409,6,FALSE)</f>
        <v>#REF!</v>
      </c>
      <c r="C155" s="32" t="e">
        <f>VLOOKUP($A155,Register!$B$3:$E$1409,7,FALSE)</f>
        <v>#REF!</v>
      </c>
      <c r="D155" s="32" t="e">
        <f>VLOOKUP($A155,Register!$B$3:$E$1409,8,FALSE)</f>
        <v>#REF!</v>
      </c>
      <c r="E155" s="34" t="s">
        <v>148</v>
      </c>
    </row>
    <row r="156" spans="1:12" x14ac:dyDescent="0.25">
      <c r="A156" s="33" t="str" cm="1">
        <f t="array" ref="A156">IFERROR(INDEX(Register!$B$3:$B$1409,ROW(),0), "")</f>
        <v>Kyocera AVX-Advanced Electronic Components</v>
      </c>
      <c r="B156" s="32" t="e">
        <f>VLOOKUP($A156,Register!$B$3:$E$1409,6,FALSE)</f>
        <v>#REF!</v>
      </c>
      <c r="C156" s="32" t="e">
        <f>VLOOKUP($A156,Register!$B$3:$E$1409,7,FALSE)</f>
        <v>#REF!</v>
      </c>
      <c r="D156" s="32" t="e">
        <f>VLOOKUP($A156,Register!$B$3:$E$1409,8,FALSE)</f>
        <v>#REF!</v>
      </c>
      <c r="E156" s="34" t="s">
        <v>5012</v>
      </c>
      <c r="F156" s="34" t="s">
        <v>5013</v>
      </c>
      <c r="G156" s="34" t="s">
        <v>5014</v>
      </c>
      <c r="H156" s="34" t="s">
        <v>5015</v>
      </c>
    </row>
    <row r="157" spans="1:12" x14ac:dyDescent="0.25">
      <c r="A157" s="33" t="str" cm="1">
        <f t="array" ref="A157">IFERROR(INDEX(Register!$B$3:$B$1409,ROW(),0), "")</f>
        <v>Littlefuse</v>
      </c>
      <c r="B157" s="32" t="e">
        <f>VLOOKUP($A157,Register!$B$3:$E$1409,6,FALSE)</f>
        <v>#REF!</v>
      </c>
      <c r="C157" s="32" t="e">
        <f>VLOOKUP($A157,Register!$B$3:$E$1409,7,FALSE)</f>
        <v>#REF!</v>
      </c>
      <c r="D157" s="32" t="e">
        <f>VLOOKUP($A157,Register!$B$3:$E$1409,8,FALSE)</f>
        <v>#REF!</v>
      </c>
      <c r="E157" s="34" t="s">
        <v>148</v>
      </c>
    </row>
    <row r="158" spans="1:12" x14ac:dyDescent="0.25">
      <c r="A158" s="33" t="str" cm="1">
        <f t="array" ref="A158">IFERROR(INDEX(Register!$B$3:$B$1409,ROW(),0), "")</f>
        <v>Electus Distribution Pty Ltd</v>
      </c>
      <c r="B158" s="32" t="e">
        <f>VLOOKUP($A158,Register!$B$3:$E$1409,6,FALSE)</f>
        <v>#REF!</v>
      </c>
      <c r="C158" s="32" t="e">
        <f>VLOOKUP($A158,Register!$B$3:$E$1409,7,FALSE)</f>
        <v>#REF!</v>
      </c>
      <c r="D158" s="32" t="e">
        <f>VLOOKUP($A158,Register!$B$3:$E$1409,8,FALSE)</f>
        <v>#REF!</v>
      </c>
      <c r="E158" s="34" t="s">
        <v>148</v>
      </c>
    </row>
    <row r="159" spans="1:12" x14ac:dyDescent="0.25">
      <c r="A159" s="33" t="str" cm="1">
        <f t="array" ref="A159">IFERROR(INDEX(Register!$B$3:$B$1409,ROW(),0), "")</f>
        <v>Element 14 Pty Ltd</v>
      </c>
      <c r="B159" s="32" t="e">
        <f>VLOOKUP($A159,Register!$B$3:$E$1409,6,FALSE)</f>
        <v>#REF!</v>
      </c>
      <c r="C159" s="32" t="e">
        <f>VLOOKUP($A159,Register!$B$3:$E$1409,7,FALSE)</f>
        <v>#REF!</v>
      </c>
      <c r="D159" s="32" t="e">
        <f>VLOOKUP($A159,Register!$B$3:$E$1409,8,FALSE)</f>
        <v>#REF!</v>
      </c>
      <c r="E159" s="34" t="s">
        <v>5016</v>
      </c>
      <c r="F159" s="34" t="s">
        <v>5017</v>
      </c>
      <c r="G159" s="34" t="s">
        <v>5018</v>
      </c>
      <c r="H159" s="34" t="s">
        <v>5019</v>
      </c>
    </row>
    <row r="160" spans="1:12" x14ac:dyDescent="0.25">
      <c r="A160" s="33" t="str" cm="1">
        <f t="array" ref="A160">IFERROR(INDEX(Register!$B$3:$B$1409,ROW(),0), "")</f>
        <v>Heilind Electronics</v>
      </c>
      <c r="B160" s="32" t="e">
        <f>VLOOKUP($A160,Register!$B$3:$E$1409,6,FALSE)</f>
        <v>#REF!</v>
      </c>
      <c r="C160" s="32" t="e">
        <f>VLOOKUP($A160,Register!$B$3:$E$1409,7,FALSE)</f>
        <v>#REF!</v>
      </c>
      <c r="D160" s="32" t="e">
        <f>VLOOKUP($A160,Register!$B$3:$E$1409,8,FALSE)</f>
        <v>#REF!</v>
      </c>
      <c r="E160" s="34" t="s">
        <v>5020</v>
      </c>
      <c r="F160" s="34" t="s">
        <v>5021</v>
      </c>
      <c r="G160" s="34" t="s">
        <v>5022</v>
      </c>
      <c r="H160" s="34" t="s">
        <v>5023</v>
      </c>
      <c r="I160" s="34" t="s">
        <v>5024</v>
      </c>
      <c r="J160" s="34" t="s">
        <v>5025</v>
      </c>
      <c r="K160" s="34" t="s">
        <v>5026</v>
      </c>
      <c r="L160" s="32" t="s">
        <v>5027</v>
      </c>
    </row>
    <row r="161" spans="1:10" x14ac:dyDescent="0.25">
      <c r="A161" s="33" t="str" cm="1">
        <f t="array" ref="A161">IFERROR(INDEX(Register!$B$3:$B$1409,ROW(),0), "")</f>
        <v>LTL Group</v>
      </c>
      <c r="B161" s="32" t="e">
        <f>VLOOKUP($A161,Register!$B$3:$E$1409,6,FALSE)</f>
        <v>#REF!</v>
      </c>
      <c r="C161" s="32" t="e">
        <f>VLOOKUP($A161,Register!$B$3:$E$1409,7,FALSE)</f>
        <v>#REF!</v>
      </c>
      <c r="D161" s="32" t="e">
        <f>VLOOKUP($A161,Register!$B$3:$E$1409,8,FALSE)</f>
        <v>#REF!</v>
      </c>
      <c r="E161" s="34" t="s">
        <v>5028</v>
      </c>
      <c r="F161" s="34" t="s">
        <v>5029</v>
      </c>
      <c r="G161" s="34" t="s">
        <v>5030</v>
      </c>
      <c r="H161" s="34" t="s">
        <v>5031</v>
      </c>
      <c r="I161" s="34" t="s">
        <v>5032</v>
      </c>
    </row>
    <row r="162" spans="1:10" x14ac:dyDescent="0.25">
      <c r="A162" s="33" t="str" cm="1">
        <f t="array" ref="A162">IFERROR(INDEX(Register!$B$3:$B$1409,ROW(),0), "")</f>
        <v>MASTER DISTRIB/ELECTRONICS</v>
      </c>
      <c r="B162" s="32" t="e">
        <f>VLOOKUP($A162,Register!$B$3:$E$1409,6,FALSE)</f>
        <v>#REF!</v>
      </c>
      <c r="C162" s="32" t="e">
        <f>VLOOKUP($A162,Register!$B$3:$E$1409,7,FALSE)</f>
        <v>#REF!</v>
      </c>
      <c r="D162" s="32" t="e">
        <f>VLOOKUP($A162,Register!$B$3:$E$1409,8,FALSE)</f>
        <v>#REF!</v>
      </c>
      <c r="E162" s="34" t="s">
        <v>5033</v>
      </c>
      <c r="F162" s="34" t="s">
        <v>5034</v>
      </c>
      <c r="G162" s="34" t="s">
        <v>5035</v>
      </c>
      <c r="H162" s="34" t="s">
        <v>5036</v>
      </c>
      <c r="I162" s="34" t="s">
        <v>716</v>
      </c>
    </row>
    <row r="163" spans="1:10" x14ac:dyDescent="0.25">
      <c r="A163" s="33" t="str" cm="1">
        <f t="array" ref="A163">IFERROR(INDEX(Register!$B$3:$B$1409,ROW(),0), "")</f>
        <v>Meerstetter Engineering GmBH</v>
      </c>
      <c r="B163" s="32" t="e">
        <f>VLOOKUP($A163,Register!$B$3:$E$1409,6,FALSE)</f>
        <v>#REF!</v>
      </c>
      <c r="C163" s="32" t="e">
        <f>VLOOKUP($A163,Register!$B$3:$E$1409,7,FALSE)</f>
        <v>#REF!</v>
      </c>
      <c r="D163" s="32" t="e">
        <f>VLOOKUP($A163,Register!$B$3:$E$1409,8,FALSE)</f>
        <v>#REF!</v>
      </c>
      <c r="E163" s="34" t="s">
        <v>5037</v>
      </c>
    </row>
    <row r="164" spans="1:10" x14ac:dyDescent="0.25">
      <c r="A164" s="33" t="str" cm="1">
        <f t="array" ref="A164">IFERROR(INDEX(Register!$B$3:$B$1409,ROW(),0), "")</f>
        <v>Megagoal Pte Ltd</v>
      </c>
      <c r="B164" s="32" t="e">
        <f>VLOOKUP($A164,Register!$B$3:$E$1409,6,FALSE)</f>
        <v>#REF!</v>
      </c>
      <c r="C164" s="32" t="e">
        <f>VLOOKUP($A164,Register!$B$3:$E$1409,7,FALSE)</f>
        <v>#REF!</v>
      </c>
      <c r="D164" s="32" t="e">
        <f>VLOOKUP($A164,Register!$B$3:$E$1409,8,FALSE)</f>
        <v>#REF!</v>
      </c>
      <c r="E164" s="34" t="s">
        <v>148</v>
      </c>
    </row>
    <row r="165" spans="1:10" x14ac:dyDescent="0.25">
      <c r="A165" s="33" t="str" cm="1">
        <f t="array" ref="A165">IFERROR(INDEX(Register!$B$3:$B$1409,ROW(),0), "")</f>
        <v>MOUSER ELECTRONICS</v>
      </c>
      <c r="B165" s="32" t="e">
        <f>VLOOKUP($A165,Register!$B$3:$E$1409,6,FALSE)</f>
        <v>#REF!</v>
      </c>
      <c r="C165" s="32" t="e">
        <f>VLOOKUP($A165,Register!$B$3:$E$1409,7,FALSE)</f>
        <v>#REF!</v>
      </c>
      <c r="D165" s="32" t="e">
        <f>VLOOKUP($A165,Register!$B$3:$E$1409,8,FALSE)</f>
        <v>#REF!</v>
      </c>
      <c r="E165" s="34" t="s">
        <v>5038</v>
      </c>
      <c r="F165" s="34" t="s">
        <v>5039</v>
      </c>
      <c r="G165" s="34" t="s">
        <v>5040</v>
      </c>
    </row>
    <row r="166" spans="1:10" x14ac:dyDescent="0.25">
      <c r="A166" s="33" t="str" cm="1">
        <f t="array" ref="A166">IFERROR(INDEX(Register!$B$3:$B$1409,ROW(),0), "")</f>
        <v>Mouser Electronics (AU)</v>
      </c>
      <c r="B166" s="32" t="e">
        <f>VLOOKUP($A166,Register!$B$3:$E$1409,6,FALSE)</f>
        <v>#REF!</v>
      </c>
      <c r="C166" s="32" t="e">
        <f>VLOOKUP($A166,Register!$B$3:$E$1409,7,FALSE)</f>
        <v>#REF!</v>
      </c>
      <c r="D166" s="32" t="e">
        <f>VLOOKUP($A166,Register!$B$3:$E$1409,8,FALSE)</f>
        <v>#REF!</v>
      </c>
      <c r="E166" s="34" t="s">
        <v>148</v>
      </c>
    </row>
    <row r="167" spans="1:10" x14ac:dyDescent="0.25">
      <c r="A167" s="33" t="str" cm="1">
        <f t="array" ref="A167">IFERROR(INDEX(Register!$B$3:$B$1409,ROW(),0), "")</f>
        <v>Mouser Electronics (AU)</v>
      </c>
      <c r="B167" s="32" t="e">
        <f>VLOOKUP($A167,Register!$B$3:$E$1409,6,FALSE)</f>
        <v>#REF!</v>
      </c>
      <c r="C167" s="32" t="e">
        <f>VLOOKUP($A167,Register!$B$3:$E$1409,7,FALSE)</f>
        <v>#REF!</v>
      </c>
      <c r="D167" s="32" t="e">
        <f>VLOOKUP($A167,Register!$B$3:$E$1409,8,FALSE)</f>
        <v>#REF!</v>
      </c>
      <c r="E167" s="34" t="s">
        <v>5041</v>
      </c>
      <c r="F167" s="34" t="s">
        <v>5042</v>
      </c>
      <c r="G167" s="34" t="s">
        <v>5043</v>
      </c>
      <c r="H167" s="34" t="s">
        <v>5044</v>
      </c>
      <c r="I167" s="34" t="s">
        <v>5045</v>
      </c>
      <c r="J167" s="34" t="s">
        <v>5046</v>
      </c>
    </row>
    <row r="168" spans="1:10" x14ac:dyDescent="0.25">
      <c r="A168" s="33" t="str" cm="1">
        <f t="array" ref="A168">IFERROR(INDEX(Register!$B$3:$B$1409,ROW(),0), "")</f>
        <v>NEWARK ELECTRONICS</v>
      </c>
      <c r="B168" s="32" t="e">
        <f>VLOOKUP($A168,Register!$B$3:$E$1409,6,FALSE)</f>
        <v>#REF!</v>
      </c>
      <c r="C168" s="32" t="e">
        <f>VLOOKUP($A168,Register!$B$3:$E$1409,7,FALSE)</f>
        <v>#REF!</v>
      </c>
      <c r="D168" s="32" t="e">
        <f>VLOOKUP($A168,Register!$B$3:$E$1409,8,FALSE)</f>
        <v>#REF!</v>
      </c>
      <c r="E168" s="34" t="s">
        <v>148</v>
      </c>
    </row>
    <row r="169" spans="1:10" x14ac:dyDescent="0.25">
      <c r="A169" s="33" t="str" cm="1">
        <f t="array" ref="A169">IFERROR(INDEX(Register!$B$3:$B$1409,ROW(),0), "")</f>
        <v>Murata</v>
      </c>
      <c r="B169" s="32" t="e">
        <f>VLOOKUP($A169,Register!$B$3:$E$1409,6,FALSE)</f>
        <v>#REF!</v>
      </c>
      <c r="C169" s="32" t="e">
        <f>VLOOKUP($A169,Register!$B$3:$E$1409,7,FALSE)</f>
        <v>#REF!</v>
      </c>
      <c r="D169" s="32" t="e">
        <f>VLOOKUP($A169,Register!$B$3:$E$1409,8,FALSE)</f>
        <v>#REF!</v>
      </c>
      <c r="E169" s="34" t="s">
        <v>148</v>
      </c>
    </row>
    <row r="170" spans="1:10" x14ac:dyDescent="0.25">
      <c r="A170" s="33" t="str" cm="1">
        <f t="array" ref="A170">IFERROR(INDEX(Register!$B$3:$B$1409,ROW(),0), "")</f>
        <v>QUALITY THERMISTOR, INC.</v>
      </c>
      <c r="B170" s="32" t="e">
        <f>VLOOKUP($A170,Register!$B$3:$E$1409,6,FALSE)</f>
        <v>#REF!</v>
      </c>
      <c r="C170" s="32" t="e">
        <f>VLOOKUP($A170,Register!$B$3:$E$1409,7,FALSE)</f>
        <v>#REF!</v>
      </c>
      <c r="D170" s="32" t="e">
        <f>VLOOKUP($A170,Register!$B$3:$E$1409,8,FALSE)</f>
        <v>#REF!</v>
      </c>
      <c r="E170" s="34" t="s">
        <v>148</v>
      </c>
    </row>
    <row r="171" spans="1:10" x14ac:dyDescent="0.25">
      <c r="A171" s="33" t="str" cm="1">
        <f t="array" ref="A171">IFERROR(INDEX(Register!$B$3:$B$1409,ROW(),0), "")</f>
        <v>SemiSource Inc.</v>
      </c>
      <c r="B171" s="32" t="e">
        <f>VLOOKUP($A171,Register!$B$3:$E$1409,6,FALSE)</f>
        <v>#REF!</v>
      </c>
      <c r="C171" s="32" t="e">
        <f>VLOOKUP($A171,Register!$B$3:$E$1409,7,FALSE)</f>
        <v>#REF!</v>
      </c>
      <c r="D171" s="32" t="e">
        <f>VLOOKUP($A171,Register!$B$3:$E$1409,8,FALSE)</f>
        <v>#REF!</v>
      </c>
      <c r="E171" s="34" t="s">
        <v>935</v>
      </c>
      <c r="F171" s="34" t="s">
        <v>5047</v>
      </c>
      <c r="G171" s="34" t="s">
        <v>5048</v>
      </c>
    </row>
    <row r="172" spans="1:10" x14ac:dyDescent="0.25">
      <c r="A172" s="33" t="str" cm="1">
        <f t="array" ref="A172">IFERROR(INDEX(Register!$B$3:$B$1409,ROW(),0), "")</f>
        <v>Suzhou Littelfuse Ovs Co Ltd</v>
      </c>
      <c r="B172" s="32" t="e">
        <f>VLOOKUP($A172,Register!$B$3:$E$1409,6,FALSE)</f>
        <v>#REF!</v>
      </c>
      <c r="C172" s="32" t="e">
        <f>VLOOKUP($A172,Register!$B$3:$E$1409,7,FALSE)</f>
        <v>#REF!</v>
      </c>
      <c r="D172" s="32" t="e">
        <f>VLOOKUP($A172,Register!$B$3:$E$1409,8,FALSE)</f>
        <v>#REF!</v>
      </c>
      <c r="E172" s="34" t="s">
        <v>5049</v>
      </c>
      <c r="F172" s="34" t="s">
        <v>5050</v>
      </c>
      <c r="G172" s="34" t="s">
        <v>5051</v>
      </c>
    </row>
    <row r="173" spans="1:10" x14ac:dyDescent="0.25">
      <c r="A173" s="33" t="str" cm="1">
        <f t="array" ref="A173">IFERROR(INDEX(Register!$B$3:$B$1409,ROW(),0), "")</f>
        <v>SWE-Check Pty Ltd</v>
      </c>
      <c r="B173" s="32" t="e">
        <f>VLOOKUP($A173,Register!$B$3:$E$1409,6,FALSE)</f>
        <v>#REF!</v>
      </c>
      <c r="C173" s="32" t="e">
        <f>VLOOKUP($A173,Register!$B$3:$E$1409,7,FALSE)</f>
        <v>#REF!</v>
      </c>
      <c r="D173" s="32" t="e">
        <f>VLOOKUP($A173,Register!$B$3:$E$1409,8,FALSE)</f>
        <v>#REF!</v>
      </c>
      <c r="E173" s="34" t="s">
        <v>148</v>
      </c>
    </row>
    <row r="174" spans="1:10" x14ac:dyDescent="0.25">
      <c r="A174" s="33" t="str" cm="1">
        <f t="array" ref="A174">IFERROR(INDEX(Register!$B$3:$B$1409,ROW(),0), "")</f>
        <v>Taw Electronics Inc.</v>
      </c>
      <c r="B174" s="32" t="e">
        <f>VLOOKUP($A174,Register!$B$3:$E$1409,6,FALSE)</f>
        <v>#REF!</v>
      </c>
      <c r="C174" s="32" t="e">
        <f>VLOOKUP($A174,Register!$B$3:$E$1409,7,FALSE)</f>
        <v>#REF!</v>
      </c>
      <c r="D174" s="32" t="e">
        <f>VLOOKUP($A174,Register!$B$3:$E$1409,8,FALSE)</f>
        <v>#REF!</v>
      </c>
      <c r="E174" s="34" t="s">
        <v>148</v>
      </c>
    </row>
    <row r="175" spans="1:10" x14ac:dyDescent="0.25">
      <c r="A175" s="33" t="str" cm="1">
        <f t="array" ref="A175">IFERROR(INDEX(Register!$B$3:$B$1409,ROW(),0), "")</f>
        <v>Texas Instruments</v>
      </c>
      <c r="B175" s="32" t="e">
        <f>VLOOKUP($A175,Register!$B$3:$E$1409,6,FALSE)</f>
        <v>#REF!</v>
      </c>
      <c r="C175" s="32" t="e">
        <f>VLOOKUP($A175,Register!$B$3:$E$1409,7,FALSE)</f>
        <v>#REF!</v>
      </c>
      <c r="D175" s="32" t="e">
        <f>VLOOKUP($A175,Register!$B$3:$E$1409,8,FALSE)</f>
        <v>#REF!</v>
      </c>
      <c r="E175" s="34" t="s">
        <v>3196</v>
      </c>
    </row>
    <row r="176" spans="1:10" x14ac:dyDescent="0.25">
      <c r="A176" s="33" t="str" cm="1">
        <f t="array" ref="A176">IFERROR(INDEX(Register!$B$3:$B$1409,ROW(),0), "")</f>
        <v>Utmel Electronics Limited</v>
      </c>
      <c r="B176" s="32" t="e">
        <f>VLOOKUP($A176,Register!$B$3:$E$1409,6,FALSE)</f>
        <v>#REF!</v>
      </c>
      <c r="C176" s="32" t="e">
        <f>VLOOKUP($A176,Register!$B$3:$E$1409,7,FALSE)</f>
        <v>#REF!</v>
      </c>
      <c r="D176" s="32" t="e">
        <f>VLOOKUP($A176,Register!$B$3:$E$1409,8,FALSE)</f>
        <v>#REF!</v>
      </c>
      <c r="E176" s="34" t="s">
        <v>148</v>
      </c>
    </row>
    <row r="177" spans="1:8" x14ac:dyDescent="0.25">
      <c r="A177" s="33" t="str" cm="1">
        <f t="array" ref="A177">IFERROR(INDEX(Register!$B$3:$B$1409,ROW(),0), "")</f>
        <v>Raytac Corporation</v>
      </c>
      <c r="B177" s="32" t="e">
        <f>VLOOKUP($A177,Register!$B$3:$E$1409,6,FALSE)</f>
        <v>#REF!</v>
      </c>
      <c r="C177" s="32" t="e">
        <f>VLOOKUP($A177,Register!$B$3:$E$1409,7,FALSE)</f>
        <v>#REF!</v>
      </c>
      <c r="D177" s="32" t="e">
        <f>VLOOKUP($A177,Register!$B$3:$E$1409,8,FALSE)</f>
        <v>#REF!</v>
      </c>
      <c r="E177" s="34" t="s">
        <v>5052</v>
      </c>
    </row>
    <row r="178" spans="1:8" x14ac:dyDescent="0.25">
      <c r="A178" s="33" t="str" cm="1">
        <f t="array" ref="A178">IFERROR(INDEX(Register!$B$3:$B$1409,ROW(),0), "")</f>
        <v>VIRTUAL ELECTRONICS MFG LTD.</v>
      </c>
      <c r="B178" s="32" t="e">
        <f>VLOOKUP($A178,Register!$B$3:$E$1409,6,FALSE)</f>
        <v>#REF!</v>
      </c>
      <c r="C178" s="32" t="e">
        <f>VLOOKUP($A178,Register!$B$3:$E$1409,7,FALSE)</f>
        <v>#REF!</v>
      </c>
      <c r="D178" s="32" t="e">
        <f>VLOOKUP($A178,Register!$B$3:$E$1409,8,FALSE)</f>
        <v>#REF!</v>
      </c>
      <c r="E178" s="34" t="s">
        <v>148</v>
      </c>
    </row>
    <row r="179" spans="1:8" x14ac:dyDescent="0.25">
      <c r="A179" s="33" t="str" cm="1">
        <f t="array" ref="A179">IFERROR(INDEX(Register!$B$3:$B$1409,ROW(),0), "")</f>
        <v>Vyrian Inc.</v>
      </c>
      <c r="B179" s="32" t="e">
        <f>VLOOKUP($A179,Register!$B$3:$E$1409,6,FALSE)</f>
        <v>#REF!</v>
      </c>
      <c r="C179" s="32" t="e">
        <f>VLOOKUP($A179,Register!$B$3:$E$1409,7,FALSE)</f>
        <v>#REF!</v>
      </c>
      <c r="D179" s="32" t="e">
        <f>VLOOKUP($A179,Register!$B$3:$E$1409,8,FALSE)</f>
        <v>#REF!</v>
      </c>
      <c r="E179" s="34" t="s">
        <v>148</v>
      </c>
    </row>
    <row r="180" spans="1:8" x14ac:dyDescent="0.25">
      <c r="A180" s="33" t="str" cm="1">
        <f t="array" ref="A180">IFERROR(INDEX(Register!$B$3:$B$1409,ROW(),0), "")</f>
        <v>Quail Electronics INC</v>
      </c>
      <c r="B180" s="32" t="e">
        <f>VLOOKUP($A180,Register!$B$3:$E$1409,6,FALSE)</f>
        <v>#REF!</v>
      </c>
      <c r="C180" s="32" t="e">
        <f>VLOOKUP($A180,Register!$B$3:$E$1409,7,FALSE)</f>
        <v>#REF!</v>
      </c>
      <c r="D180" s="32" t="e">
        <f>VLOOKUP($A180,Register!$B$3:$E$1409,8,FALSE)</f>
        <v>#REF!</v>
      </c>
      <c r="E180" s="34" t="s">
        <v>5053</v>
      </c>
      <c r="F180" s="34" t="s">
        <v>5054</v>
      </c>
      <c r="G180" s="34" t="s">
        <v>5055</v>
      </c>
      <c r="H180" s="34" t="s">
        <v>5056</v>
      </c>
    </row>
    <row r="181" spans="1:8" x14ac:dyDescent="0.25">
      <c r="A181" s="33" t="str" cm="1">
        <f t="array" ref="A181">IFERROR(INDEX(Register!$B$3:$B$1409,ROW(),0), "")</f>
        <v>SiliconExpert Technologies, Inc.</v>
      </c>
      <c r="B181" s="32" t="e">
        <f>VLOOKUP($A181,Register!$B$3:$E$1409,6,FALSE)</f>
        <v>#REF!</v>
      </c>
      <c r="C181" s="32" t="e">
        <f>VLOOKUP($A181,Register!$B$3:$E$1409,7,FALSE)</f>
        <v>#REF!</v>
      </c>
      <c r="D181" s="32" t="e">
        <f>VLOOKUP($A181,Register!$B$3:$E$1409,8,FALSE)</f>
        <v>#REF!</v>
      </c>
      <c r="E181" s="34" t="s">
        <v>5057</v>
      </c>
      <c r="F181" s="34" t="s">
        <v>5058</v>
      </c>
      <c r="G181" s="34" t="s">
        <v>5059</v>
      </c>
    </row>
    <row r="182" spans="1:8" x14ac:dyDescent="0.25">
      <c r="A182" s="33" t="str" cm="1">
        <f t="array" ref="A182">IFERROR(INDEX(Register!$B$3:$B$1409,ROW(),0), "")</f>
        <v>Soanar</v>
      </c>
      <c r="B182" s="32" t="e">
        <f>VLOOKUP($A182,Register!$B$3:$E$1409,6,FALSE)</f>
        <v>#REF!</v>
      </c>
      <c r="C182" s="32" t="e">
        <f>VLOOKUP($A182,Register!$B$3:$E$1409,7,FALSE)</f>
        <v>#REF!</v>
      </c>
      <c r="D182" s="32" t="e">
        <f>VLOOKUP($A182,Register!$B$3:$E$1409,8,FALSE)</f>
        <v>#REF!</v>
      </c>
      <c r="E182" s="34" t="s">
        <v>148</v>
      </c>
    </row>
    <row r="183" spans="1:8" x14ac:dyDescent="0.25">
      <c r="A183" s="33" t="str" cm="1">
        <f t="array" ref="A183">IFERROR(INDEX(Register!$B$3:$B$1409,ROW(),0), "")</f>
        <v>South Electronics</v>
      </c>
      <c r="B183" s="32" t="e">
        <f>VLOOKUP($A183,Register!$B$3:$E$1409,6,FALSE)</f>
        <v>#REF!</v>
      </c>
      <c r="C183" s="32" t="e">
        <f>VLOOKUP($A183,Register!$B$3:$E$1409,7,FALSE)</f>
        <v>#REF!</v>
      </c>
      <c r="D183" s="32" t="e">
        <f>VLOOKUP($A183,Register!$B$3:$E$1409,8,FALSE)</f>
        <v>#REF!</v>
      </c>
      <c r="E183" s="34" t="s">
        <v>148</v>
      </c>
    </row>
    <row r="184" spans="1:8" x14ac:dyDescent="0.25">
      <c r="A184" s="33" t="str" cm="1">
        <f t="array" ref="A184">IFERROR(INDEX(Register!$B$3:$B$1409,ROW(),0), "")</f>
        <v>UMEC Universal microelectrics</v>
      </c>
      <c r="B184" s="32" t="e">
        <f>VLOOKUP($A184,Register!$B$3:$E$1409,6,FALSE)</f>
        <v>#REF!</v>
      </c>
      <c r="C184" s="32" t="e">
        <f>VLOOKUP($A184,Register!$B$3:$E$1409,7,FALSE)</f>
        <v>#REF!</v>
      </c>
      <c r="D184" s="32" t="e">
        <f>VLOOKUP($A184,Register!$B$3:$E$1409,8,FALSE)</f>
        <v>#REF!</v>
      </c>
      <c r="E184" s="34" t="s">
        <v>5060</v>
      </c>
      <c r="F184" s="34" t="s">
        <v>5061</v>
      </c>
      <c r="G184" s="34" t="s">
        <v>5062</v>
      </c>
    </row>
    <row r="185" spans="1:8" x14ac:dyDescent="0.25">
      <c r="A185" s="33" t="str" cm="1">
        <f t="array" ref="A185">IFERROR(INDEX(Register!$B$3:$B$1409,ROW(),0), "")</f>
        <v>Win Source Electronic</v>
      </c>
      <c r="B185" s="32" t="e">
        <f>VLOOKUP($A185,Register!$B$3:$E$1409,6,FALSE)</f>
        <v>#REF!</v>
      </c>
      <c r="C185" s="32" t="e">
        <f>VLOOKUP($A185,Register!$B$3:$E$1409,7,FALSE)</f>
        <v>#REF!</v>
      </c>
      <c r="D185" s="32" t="e">
        <f>VLOOKUP($A185,Register!$B$3:$E$1409,8,FALSE)</f>
        <v>#REF!</v>
      </c>
      <c r="E185" s="34" t="s">
        <v>5063</v>
      </c>
      <c r="F185" s="34" t="s">
        <v>5064</v>
      </c>
      <c r="G185" s="34" t="s">
        <v>5065</v>
      </c>
      <c r="H185" s="34" t="s">
        <v>5066</v>
      </c>
    </row>
    <row r="186" spans="1:8" x14ac:dyDescent="0.25">
      <c r="A186" s="33" t="str" cm="1">
        <f t="array" ref="A186">IFERROR(INDEX(Register!$B$3:$B$1409,ROW(),0), "")</f>
        <v>ITT Cannon (Hong Kong)</v>
      </c>
      <c r="B186" s="32" t="e">
        <f>VLOOKUP($A186,Register!$B$3:$E$1409,6,FALSE)</f>
        <v>#REF!</v>
      </c>
      <c r="C186" s="32" t="e">
        <f>VLOOKUP($A186,Register!$B$3:$E$1409,7,FALSE)</f>
        <v>#REF!</v>
      </c>
      <c r="D186" s="32" t="e">
        <f>VLOOKUP($A186,Register!$B$3:$E$1409,8,FALSE)</f>
        <v>#REF!</v>
      </c>
      <c r="E186" s="34" t="s">
        <v>5067</v>
      </c>
    </row>
    <row r="187" spans="1:8" x14ac:dyDescent="0.25">
      <c r="A187" s="33" t="str" cm="1">
        <f t="array" ref="A187">IFERROR(INDEX(Register!$B$3:$B$1409,ROW(),0), "")</f>
        <v>WPG Americas Inc</v>
      </c>
      <c r="B187" s="32" t="e">
        <f>VLOOKUP($A187,Register!$B$3:$E$1409,6,FALSE)</f>
        <v>#REF!</v>
      </c>
      <c r="C187" s="32" t="e">
        <f>VLOOKUP($A187,Register!$B$3:$E$1409,7,FALSE)</f>
        <v>#REF!</v>
      </c>
      <c r="D187" s="32" t="e">
        <f>VLOOKUP($A187,Register!$B$3:$E$1409,8,FALSE)</f>
        <v>#REF!</v>
      </c>
      <c r="E187" s="34" t="s">
        <v>5068</v>
      </c>
      <c r="F187" s="34" t="s">
        <v>5069</v>
      </c>
      <c r="G187" s="34" t="s">
        <v>5070</v>
      </c>
    </row>
    <row r="188" spans="1:8" x14ac:dyDescent="0.25">
      <c r="A188" s="33" t="str" cm="1">
        <f t="array" ref="A188">IFERROR(INDEX(Register!$B$3:$B$1409,ROW(),0), "")</f>
        <v>NAC Semi</v>
      </c>
      <c r="B188" s="32" t="e">
        <f>VLOOKUP($A188,Register!$B$3:$E$1409,6,FALSE)</f>
        <v>#REF!</v>
      </c>
      <c r="C188" s="32" t="e">
        <f>VLOOKUP($A188,Register!$B$3:$E$1409,7,FALSE)</f>
        <v>#REF!</v>
      </c>
      <c r="D188" s="32" t="e">
        <f>VLOOKUP($A188,Register!$B$3:$E$1409,8,FALSE)</f>
        <v>#REF!</v>
      </c>
      <c r="E188" s="34" t="s">
        <v>148</v>
      </c>
    </row>
    <row r="189" spans="1:8" x14ac:dyDescent="0.25">
      <c r="A189" s="33" t="str" cm="1">
        <f t="array" ref="A189">IFERROR(INDEX(Register!$B$3:$B$1409,ROW(),0), "")</f>
        <v>TR Pty Ltd (Tech Rentals)</v>
      </c>
      <c r="B189" s="32" t="e">
        <f>VLOOKUP($A189,Register!$B$3:$E$1409,6,FALSE)</f>
        <v>#REF!</v>
      </c>
      <c r="C189" s="32" t="e">
        <f>VLOOKUP($A189,Register!$B$3:$E$1409,7,FALSE)</f>
        <v>#REF!</v>
      </c>
      <c r="D189" s="32" t="e">
        <f>VLOOKUP($A189,Register!$B$3:$E$1409,8,FALSE)</f>
        <v>#REF!</v>
      </c>
      <c r="E189" s="34" t="s">
        <v>4637</v>
      </c>
    </row>
    <row r="190" spans="1:8" x14ac:dyDescent="0.25">
      <c r="A190" s="33" t="str" cm="1">
        <f t="array" ref="A190">IFERROR(INDEX(Register!$B$3:$B$1409,ROW(),0), "")</f>
        <v>National Instruments Australia</v>
      </c>
      <c r="B190" s="32" t="e">
        <f>VLOOKUP($A190,Register!$B$3:$E$1409,6,FALSE)</f>
        <v>#REF!</v>
      </c>
      <c r="C190" s="32" t="e">
        <f>VLOOKUP($A190,Register!$B$3:$E$1409,7,FALSE)</f>
        <v>#REF!</v>
      </c>
      <c r="D190" s="32" t="e">
        <f>VLOOKUP($A190,Register!$B$3:$E$1409,8,FALSE)</f>
        <v>#REF!</v>
      </c>
      <c r="E190" s="34" t="s">
        <v>935</v>
      </c>
      <c r="F190" s="34" t="s">
        <v>5047</v>
      </c>
      <c r="G190" s="34" t="s">
        <v>5048</v>
      </c>
    </row>
    <row r="191" spans="1:8" x14ac:dyDescent="0.25">
      <c r="A191" s="33" t="str" cm="1">
        <f t="array" ref="A191">IFERROR(INDEX(Register!$B$3:$B$1409,ROW(),0), "")</f>
        <v>ADA Yancheng Electronics (Nanjing ADA Import)</v>
      </c>
      <c r="B191" s="32" t="e">
        <f>VLOOKUP($A191,Register!$B$3:$E$1409,6,FALSE)</f>
        <v>#REF!</v>
      </c>
      <c r="C191" s="32" t="e">
        <f>VLOOKUP($A191,Register!$B$3:$E$1409,7,FALSE)</f>
        <v>#REF!</v>
      </c>
      <c r="D191" s="32" t="e">
        <f>VLOOKUP($A191,Register!$B$3:$E$1409,8,FALSE)</f>
        <v>#REF!</v>
      </c>
      <c r="E191" s="34" t="s">
        <v>5071</v>
      </c>
    </row>
    <row r="192" spans="1:8" x14ac:dyDescent="0.25">
      <c r="A192" s="33" t="str" cm="1">
        <f t="array" ref="A192">IFERROR(INDEX(Register!$B$3:$B$1409,ROW(),0), "")</f>
        <v>Dawar Technologies</v>
      </c>
      <c r="B192" s="32" t="e">
        <f>VLOOKUP($A192,Register!$B$3:$E$1409,6,FALSE)</f>
        <v>#REF!</v>
      </c>
      <c r="C192" s="32" t="e">
        <f>VLOOKUP($A192,Register!$B$3:$E$1409,7,FALSE)</f>
        <v>#REF!</v>
      </c>
      <c r="D192" s="32" t="e">
        <f>VLOOKUP($A192,Register!$B$3:$E$1409,8,FALSE)</f>
        <v>#REF!</v>
      </c>
      <c r="E192" s="34" t="s">
        <v>148</v>
      </c>
    </row>
    <row r="193" spans="1:11" x14ac:dyDescent="0.25">
      <c r="A193" s="33" t="str" cm="1">
        <f t="array" ref="A193">IFERROR(INDEX(Register!$B$3:$B$1409,ROW(),0), "")</f>
        <v>Echun Electronic (Dongguan) Co., Ltd.</v>
      </c>
      <c r="B193" s="32" t="e">
        <f>VLOOKUP($A193,Register!$B$3:$E$1409,6,FALSE)</f>
        <v>#REF!</v>
      </c>
      <c r="C193" s="32" t="e">
        <f>VLOOKUP($A193,Register!$B$3:$E$1409,7,FALSE)</f>
        <v>#REF!</v>
      </c>
      <c r="D193" s="32" t="e">
        <f>VLOOKUP($A193,Register!$B$3:$E$1409,8,FALSE)</f>
        <v>#REF!</v>
      </c>
      <c r="E193" s="34" t="s">
        <v>1888</v>
      </c>
    </row>
    <row r="194" spans="1:11" x14ac:dyDescent="0.25">
      <c r="A194" s="33" t="str" cm="1">
        <f t="array" ref="A194">IFERROR(INDEX(Register!$B$3:$B$1409,ROW(),0), "")</f>
        <v>EDVision Co Ltd</v>
      </c>
      <c r="B194" s="32" t="e">
        <f>VLOOKUP($A194,Register!$B$3:$E$1409,6,FALSE)</f>
        <v>#REF!</v>
      </c>
      <c r="C194" s="32" t="e">
        <f>VLOOKUP($A194,Register!$B$3:$E$1409,7,FALSE)</f>
        <v>#REF!</v>
      </c>
      <c r="D194" s="32" t="e">
        <f>VLOOKUP($A194,Register!$B$3:$E$1409,8,FALSE)</f>
        <v>#REF!</v>
      </c>
      <c r="E194" s="34" t="s">
        <v>5072</v>
      </c>
      <c r="F194" s="34" t="s">
        <v>5073</v>
      </c>
      <c r="G194" s="34" t="s">
        <v>5074</v>
      </c>
      <c r="H194" s="34" t="s">
        <v>5075</v>
      </c>
      <c r="I194" s="34" t="s">
        <v>5076</v>
      </c>
      <c r="J194" s="34" t="s">
        <v>5077</v>
      </c>
    </row>
    <row r="195" spans="1:11" x14ac:dyDescent="0.25">
      <c r="A195" s="33" t="str" cm="1">
        <f t="array" ref="A195">IFERROR(INDEX(Register!$B$3:$B$1409,ROW(),0), "")</f>
        <v>Excelitas Canada, Inc</v>
      </c>
      <c r="B195" s="32" t="e">
        <f>VLOOKUP($A195,Register!$B$3:$E$1409,6,FALSE)</f>
        <v>#REF!</v>
      </c>
      <c r="C195" s="32" t="e">
        <f>VLOOKUP($A195,Register!$B$3:$E$1409,7,FALSE)</f>
        <v>#REF!</v>
      </c>
      <c r="D195" s="32" t="e">
        <f>VLOOKUP($A195,Register!$B$3:$E$1409,8,FALSE)</f>
        <v>#REF!</v>
      </c>
      <c r="E195" s="34" t="s">
        <v>5078</v>
      </c>
      <c r="F195" s="34" t="s">
        <v>4939</v>
      </c>
      <c r="G195" s="34" t="s">
        <v>5079</v>
      </c>
    </row>
    <row r="196" spans="1:11" x14ac:dyDescent="0.25">
      <c r="A196" s="33" t="str" cm="1">
        <f t="array" ref="A196">IFERROR(INDEX(Register!$B$3:$B$1409,ROW(),0), "")</f>
        <v>Extron USA West</v>
      </c>
      <c r="B196" s="32" t="e">
        <f>VLOOKUP($A196,Register!$B$3:$E$1409,6,FALSE)</f>
        <v>#REF!</v>
      </c>
      <c r="C196" s="32" t="e">
        <f>VLOOKUP($A196,Register!$B$3:$E$1409,7,FALSE)</f>
        <v>#REF!</v>
      </c>
      <c r="D196" s="32" t="e">
        <f>VLOOKUP($A196,Register!$B$3:$E$1409,8,FALSE)</f>
        <v>#REF!</v>
      </c>
      <c r="E196" s="34" t="s">
        <v>5080</v>
      </c>
      <c r="F196" s="34" t="s">
        <v>5081</v>
      </c>
      <c r="G196" s="34" t="s">
        <v>5082</v>
      </c>
      <c r="H196" s="34" t="s">
        <v>5083</v>
      </c>
      <c r="I196" s="34" t="s">
        <v>4811</v>
      </c>
      <c r="J196" s="34" t="s">
        <v>5084</v>
      </c>
      <c r="K196" s="34" t="s">
        <v>5085</v>
      </c>
    </row>
    <row r="197" spans="1:11" x14ac:dyDescent="0.25">
      <c r="A197" s="33" t="str" cm="1">
        <f t="array" ref="A197">IFERROR(INDEX(Register!$B$3:$B$1409,ROW(),0), "")</f>
        <v>Fuseco Pty Ltd</v>
      </c>
      <c r="B197" s="32" t="e">
        <f>VLOOKUP($A197,Register!$B$3:$E$1409,6,FALSE)</f>
        <v>#REF!</v>
      </c>
      <c r="C197" s="32" t="e">
        <f>VLOOKUP($A197,Register!$B$3:$E$1409,7,FALSE)</f>
        <v>#REF!</v>
      </c>
      <c r="D197" s="32" t="e">
        <f>VLOOKUP($A197,Register!$B$3:$E$1409,8,FALSE)</f>
        <v>#REF!</v>
      </c>
      <c r="E197" s="34" t="s">
        <v>5086</v>
      </c>
    </row>
    <row r="198" spans="1:11" x14ac:dyDescent="0.25">
      <c r="A198" s="33" t="str" cm="1">
        <f t="array" ref="A198">IFERROR(INDEX(Register!$B$3:$B$1409,ROW(),0), "")</f>
        <v>Hongkong Chuaben Electronic Co. LTD</v>
      </c>
      <c r="B198" s="32" t="e">
        <f>VLOOKUP($A198,Register!$B$3:$E$1409,6,FALSE)</f>
        <v>#REF!</v>
      </c>
      <c r="C198" s="32" t="e">
        <f>VLOOKUP($A198,Register!$B$3:$E$1409,7,FALSE)</f>
        <v>#REF!</v>
      </c>
      <c r="D198" s="32" t="e">
        <f>VLOOKUP($A198,Register!$B$3:$E$1409,8,FALSE)</f>
        <v>#REF!</v>
      </c>
      <c r="E198" s="34" t="s">
        <v>5087</v>
      </c>
      <c r="F198" s="34" t="s">
        <v>5088</v>
      </c>
      <c r="G198" s="34" t="s">
        <v>5089</v>
      </c>
      <c r="H198" s="34" t="s">
        <v>5090</v>
      </c>
    </row>
    <row r="199" spans="1:11" x14ac:dyDescent="0.25">
      <c r="A199" s="33" t="str" cm="1">
        <f t="array" ref="A199">IFERROR(INDEX(Register!$B$3:$B$1409,ROW(),0), "")</f>
        <v>iC Haus Corporation</v>
      </c>
      <c r="B199" s="32" t="e">
        <f>VLOOKUP($A199,Register!$B$3:$E$1409,6,FALSE)</f>
        <v>#REF!</v>
      </c>
      <c r="C199" s="32" t="e">
        <f>VLOOKUP($A199,Register!$B$3:$E$1409,7,FALSE)</f>
        <v>#REF!</v>
      </c>
      <c r="D199" s="32" t="e">
        <f>VLOOKUP($A199,Register!$B$3:$E$1409,8,FALSE)</f>
        <v>#REF!</v>
      </c>
      <c r="E199" s="34" t="s">
        <v>148</v>
      </c>
    </row>
    <row r="200" spans="1:11" x14ac:dyDescent="0.25">
      <c r="A200" s="33" t="str" cm="1">
        <f t="array" ref="A200">IFERROR(INDEX(Register!$B$3:$B$1409,ROW(),0), "")</f>
        <v>MEGA ELECTRONICS, INC.</v>
      </c>
      <c r="B200" s="32" t="e">
        <f>VLOOKUP($A200,Register!$B$3:$E$1409,6,FALSE)</f>
        <v>#REF!</v>
      </c>
      <c r="C200" s="32" t="e">
        <f>VLOOKUP($A200,Register!$B$3:$E$1409,7,FALSE)</f>
        <v>#REF!</v>
      </c>
      <c r="D200" s="32" t="e">
        <f>VLOOKUP($A200,Register!$B$3:$E$1409,8,FALSE)</f>
        <v>#REF!</v>
      </c>
      <c r="E200" s="34" t="s">
        <v>148</v>
      </c>
    </row>
    <row r="201" spans="1:11" x14ac:dyDescent="0.25">
      <c r="A201" s="33" t="str" cm="1">
        <f t="array" ref="A201">IFERROR(INDEX(Register!$B$3:$B$1409,ROW(),0), "")</f>
        <v>Minco Products Inc.</v>
      </c>
      <c r="B201" s="32" t="e">
        <f>VLOOKUP($A201,Register!$B$3:$E$1409,6,FALSE)</f>
        <v>#REF!</v>
      </c>
      <c r="C201" s="32" t="e">
        <f>VLOOKUP($A201,Register!$B$3:$E$1409,7,FALSE)</f>
        <v>#REF!</v>
      </c>
      <c r="D201" s="32" t="e">
        <f>VLOOKUP($A201,Register!$B$3:$E$1409,8,FALSE)</f>
        <v>#REF!</v>
      </c>
      <c r="E201" s="34" t="s">
        <v>148</v>
      </c>
    </row>
    <row r="202" spans="1:11" x14ac:dyDescent="0.25">
      <c r="A202" s="33" t="str" cm="1">
        <f t="array" ref="A202">IFERROR(INDEX(Register!$B$3:$B$1409,ROW(),0), "")</f>
        <v>SL POWER ELECTRONICS</v>
      </c>
      <c r="B202" s="32" t="e">
        <f>VLOOKUP($A202,Register!$B$3:$E$1409,6,FALSE)</f>
        <v>#REF!</v>
      </c>
      <c r="C202" s="32" t="e">
        <f>VLOOKUP($A202,Register!$B$3:$E$1409,7,FALSE)</f>
        <v>#REF!</v>
      </c>
      <c r="D202" s="32" t="e">
        <f>VLOOKUP($A202,Register!$B$3:$E$1409,8,FALSE)</f>
        <v>#REF!</v>
      </c>
      <c r="E202" s="34" t="s">
        <v>5091</v>
      </c>
      <c r="F202" s="34" t="s">
        <v>5092</v>
      </c>
      <c r="G202" s="34" t="s">
        <v>5093</v>
      </c>
    </row>
    <row r="203" spans="1:11" x14ac:dyDescent="0.25">
      <c r="A203" s="33" t="str" cm="1">
        <f t="array" ref="A203">IFERROR(INDEX(Register!$B$3:$B$1409,ROW(),0), "")</f>
        <v>TKR HONG KONG, LTD.</v>
      </c>
      <c r="B203" s="32" t="e">
        <f>VLOOKUP($A203,Register!$B$3:$E$1409,6,FALSE)</f>
        <v>#REF!</v>
      </c>
      <c r="C203" s="32" t="e">
        <f>VLOOKUP($A203,Register!$B$3:$E$1409,7,FALSE)</f>
        <v>#REF!</v>
      </c>
      <c r="D203" s="32" t="e">
        <f>VLOOKUP($A203,Register!$B$3:$E$1409,8,FALSE)</f>
        <v>#REF!</v>
      </c>
      <c r="E203" s="34" t="s">
        <v>970</v>
      </c>
      <c r="F203" s="34" t="s">
        <v>5094</v>
      </c>
      <c r="G203" s="34" t="s">
        <v>5095</v>
      </c>
    </row>
    <row r="204" spans="1:11" x14ac:dyDescent="0.25">
      <c r="A204" s="33" t="str" cm="1">
        <f t="array" ref="A204">IFERROR(INDEX(Register!$B$3:$B$1409,ROW(),0), "")</f>
        <v>Xiamen Kudom Electronics Tech Co Ltd (i-Autoc)</v>
      </c>
      <c r="B204" s="32" t="e">
        <f>VLOOKUP($A204,Register!$B$3:$E$1409,6,FALSE)</f>
        <v>#REF!</v>
      </c>
      <c r="C204" s="32" t="e">
        <f>VLOOKUP($A204,Register!$B$3:$E$1409,7,FALSE)</f>
        <v>#REF!</v>
      </c>
      <c r="D204" s="32" t="e">
        <f>VLOOKUP($A204,Register!$B$3:$E$1409,8,FALSE)</f>
        <v>#REF!</v>
      </c>
      <c r="E204" s="34" t="s">
        <v>148</v>
      </c>
    </row>
    <row r="205" spans="1:11" x14ac:dyDescent="0.25">
      <c r="A205" s="33" t="str" cm="1">
        <f t="array" ref="A205">IFERROR(INDEX(Register!$B$3:$B$1409,ROW(),0), "")</f>
        <v>XP POWER LLC.</v>
      </c>
      <c r="B205" s="32" t="e">
        <f>VLOOKUP($A205,Register!$B$3:$E$1409,6,FALSE)</f>
        <v>#REF!</v>
      </c>
      <c r="C205" s="32" t="e">
        <f>VLOOKUP($A205,Register!$B$3:$E$1409,7,FALSE)</f>
        <v>#REF!</v>
      </c>
      <c r="D205" s="32" t="e">
        <f>VLOOKUP($A205,Register!$B$3:$E$1409,8,FALSE)</f>
        <v>#REF!</v>
      </c>
      <c r="E205" s="34" t="s">
        <v>4877</v>
      </c>
    </row>
    <row r="206" spans="1:11" x14ac:dyDescent="0.25">
      <c r="A206" s="33" t="str" cm="1">
        <f t="array" ref="A206">IFERROR(INDEX(Register!$B$3:$B$1409,ROW(),0), "")</f>
        <v>Amtex Electronics Pty Ltd</v>
      </c>
      <c r="B206" s="32" t="e">
        <f>VLOOKUP($A206,Register!$B$3:$E$1409,6,FALSE)</f>
        <v>#REF!</v>
      </c>
      <c r="C206" s="32" t="e">
        <f>VLOOKUP($A206,Register!$B$3:$E$1409,7,FALSE)</f>
        <v>#REF!</v>
      </c>
      <c r="D206" s="32" t="e">
        <f>VLOOKUP($A206,Register!$B$3:$E$1409,8,FALSE)</f>
        <v>#REF!</v>
      </c>
      <c r="E206" s="34" t="s">
        <v>1586</v>
      </c>
      <c r="F206" s="34" t="s">
        <v>5096</v>
      </c>
      <c r="G206" s="34" t="s">
        <v>5097</v>
      </c>
      <c r="H206" s="34" t="s">
        <v>5098</v>
      </c>
      <c r="I206" s="34" t="s">
        <v>5099</v>
      </c>
      <c r="J206" s="34" t="s">
        <v>5100</v>
      </c>
    </row>
    <row r="207" spans="1:11" x14ac:dyDescent="0.25">
      <c r="A207" s="33" t="str" cm="1">
        <f t="array" ref="A207">IFERROR(INDEX(Register!$B$3:$B$1409,ROW(),0), "")</f>
        <v>Fluke Electronics</v>
      </c>
      <c r="B207" s="32" t="e">
        <f>VLOOKUP($A207,Register!$B$3:$E$1409,6,FALSE)</f>
        <v>#REF!</v>
      </c>
      <c r="C207" s="32" t="e">
        <f>VLOOKUP($A207,Register!$B$3:$E$1409,7,FALSE)</f>
        <v>#REF!</v>
      </c>
      <c r="D207" s="32" t="e">
        <f>VLOOKUP($A207,Register!$B$3:$E$1409,8,FALSE)</f>
        <v>#REF!</v>
      </c>
      <c r="E207" s="34" t="s">
        <v>5101</v>
      </c>
      <c r="F207" s="34" t="s">
        <v>5102</v>
      </c>
      <c r="G207" s="34" t="s">
        <v>716</v>
      </c>
    </row>
    <row r="208" spans="1:11" x14ac:dyDescent="0.25">
      <c r="A208" s="33" t="str" cm="1">
        <f t="array" ref="A208">IFERROR(INDEX(Register!$B$3:$B$1409,ROW(),0), "")</f>
        <v>MEV Elektronik Service GmbH</v>
      </c>
      <c r="B208" s="32" t="e">
        <f>VLOOKUP($A208,Register!$B$3:$E$1409,6,FALSE)</f>
        <v>#REF!</v>
      </c>
      <c r="C208" s="32" t="e">
        <f>VLOOKUP($A208,Register!$B$3:$E$1409,7,FALSE)</f>
        <v>#REF!</v>
      </c>
      <c r="D208" s="32" t="e">
        <f>VLOOKUP($A208,Register!$B$3:$E$1409,8,FALSE)</f>
        <v>#REF!</v>
      </c>
      <c r="E208" s="34" t="s">
        <v>148</v>
      </c>
    </row>
    <row r="209" spans="1:26" x14ac:dyDescent="0.25">
      <c r="A209" s="33" t="str" cm="1">
        <f t="array" ref="A209">IFERROR(INDEX(Register!$B$3:$B$1409,ROW(),0), "")</f>
        <v>EDAC Power Electronics</v>
      </c>
      <c r="B209" s="32" t="e">
        <f>VLOOKUP($A209,Register!$B$3:$E$1409,6,FALSE)</f>
        <v>#REF!</v>
      </c>
      <c r="C209" s="32" t="e">
        <f>VLOOKUP($A209,Register!$B$3:$E$1409,7,FALSE)</f>
        <v>#REF!</v>
      </c>
      <c r="D209" s="32" t="e">
        <f>VLOOKUP($A209,Register!$B$3:$E$1409,8,FALSE)</f>
        <v>#REF!</v>
      </c>
      <c r="E209" s="34" t="s">
        <v>148</v>
      </c>
    </row>
    <row r="210" spans="1:26" x14ac:dyDescent="0.25">
      <c r="A210" s="33" t="str" cm="1">
        <f t="array" ref="A210">IFERROR(INDEX(Register!$B$3:$B$1409,ROW(),0), "")</f>
        <v>GRAYHILL,  Inc.</v>
      </c>
      <c r="B210" s="32" t="e">
        <f>VLOOKUP($A210,Register!$B$3:$E$1409,6,FALSE)</f>
        <v>#REF!</v>
      </c>
      <c r="C210" s="32" t="e">
        <f>VLOOKUP($A210,Register!$B$3:$E$1409,7,FALSE)</f>
        <v>#REF!</v>
      </c>
      <c r="D210" s="32" t="e">
        <f>VLOOKUP($A210,Register!$B$3:$E$1409,8,FALSE)</f>
        <v>#REF!</v>
      </c>
      <c r="E210" s="34" t="s">
        <v>5103</v>
      </c>
    </row>
    <row r="211" spans="1:26" x14ac:dyDescent="0.25">
      <c r="A211" s="33" t="str" cm="1">
        <f t="array" ref="A211">IFERROR(INDEX(Register!$B$3:$B$1409,ROW(),0), "")</f>
        <v>NICOMATIC NORTH AMERICA</v>
      </c>
      <c r="B211" s="32" t="e">
        <f>VLOOKUP($A211,Register!$B$3:$E$1409,6,FALSE)</f>
        <v>#REF!</v>
      </c>
      <c r="C211" s="32" t="e">
        <f>VLOOKUP($A211,Register!$B$3:$E$1409,7,FALSE)</f>
        <v>#REF!</v>
      </c>
      <c r="D211" s="32" t="e">
        <f>VLOOKUP($A211,Register!$B$3:$E$1409,8,FALSE)</f>
        <v>#REF!</v>
      </c>
      <c r="E211" s="34" t="s">
        <v>5104</v>
      </c>
      <c r="F211" s="34" t="s">
        <v>5105</v>
      </c>
      <c r="G211" s="34" t="s">
        <v>5106</v>
      </c>
      <c r="H211" s="34" t="s">
        <v>5107</v>
      </c>
      <c r="I211" s="34" t="s">
        <v>5108</v>
      </c>
    </row>
    <row r="212" spans="1:26" x14ac:dyDescent="0.25">
      <c r="A212" s="33" t="str" cm="1">
        <f t="array" ref="A212">IFERROR(INDEX(Register!$B$3:$B$1409,ROW(),0), "")</f>
        <v>Bel Fuse</v>
      </c>
      <c r="B212" s="32" t="e">
        <f>VLOOKUP($A212,Register!$B$3:$E$1409,6,FALSE)</f>
        <v>#REF!</v>
      </c>
      <c r="C212" s="32" t="e">
        <f>VLOOKUP($A212,Register!$B$3:$E$1409,7,FALSE)</f>
        <v>#REF!</v>
      </c>
      <c r="D212" s="32" t="e">
        <f>VLOOKUP($A212,Register!$B$3:$E$1409,8,FALSE)</f>
        <v>#REF!</v>
      </c>
      <c r="E212" s="34" t="s">
        <v>43</v>
      </c>
      <c r="F212" s="34" t="s">
        <v>5109</v>
      </c>
      <c r="G212" s="34" t="s">
        <v>5110</v>
      </c>
      <c r="H212" s="34" t="s">
        <v>5111</v>
      </c>
      <c r="I212" s="34" t="s">
        <v>5112</v>
      </c>
    </row>
    <row r="213" spans="1:26" x14ac:dyDescent="0.25">
      <c r="A213" s="33" t="str" cm="1">
        <f t="array" ref="A213">IFERROR(INDEX(Register!$B$3:$B$1409,ROW(),0), "")</f>
        <v>Conrad International</v>
      </c>
      <c r="B213" s="32" t="e">
        <f>VLOOKUP($A213,Register!$B$3:$E$1409,6,FALSE)</f>
        <v>#REF!</v>
      </c>
      <c r="C213" s="32" t="e">
        <f>VLOOKUP($A213,Register!$B$3:$E$1409,7,FALSE)</f>
        <v>#REF!</v>
      </c>
      <c r="D213" s="32" t="e">
        <f>VLOOKUP($A213,Register!$B$3:$E$1409,8,FALSE)</f>
        <v>#REF!</v>
      </c>
      <c r="E213" s="34" t="s">
        <v>5113</v>
      </c>
    </row>
    <row r="214" spans="1:26" x14ac:dyDescent="0.25">
      <c r="A214" s="33" t="str" cm="1">
        <f t="array" ref="A214">IFERROR(INDEX(Register!$B$3:$B$1409,ROW(),0), "")</f>
        <v>Advanced circuits</v>
      </c>
      <c r="B214" s="32" t="e">
        <f>VLOOKUP($A214,Register!$B$3:$E$1409,6,FALSE)</f>
        <v>#REF!</v>
      </c>
      <c r="C214" s="32" t="e">
        <f>VLOOKUP($A214,Register!$B$3:$E$1409,7,FALSE)</f>
        <v>#REF!</v>
      </c>
      <c r="D214" s="32" t="e">
        <f>VLOOKUP($A214,Register!$B$3:$E$1409,8,FALSE)</f>
        <v>#REF!</v>
      </c>
      <c r="E214" s="34" t="s">
        <v>5113</v>
      </c>
    </row>
    <row r="215" spans="1:26" x14ac:dyDescent="0.25">
      <c r="A215" s="33" t="str" cm="1">
        <f t="array" ref="A215">IFERROR(INDEX(Register!$B$3:$B$1409,ROW(),0), "")</f>
        <v>Circuitwise Electronics</v>
      </c>
      <c r="B215" s="32" t="e">
        <f>VLOOKUP($A215,Register!$B$3:$E$1409,6,FALSE)</f>
        <v>#REF!</v>
      </c>
      <c r="C215" s="32" t="e">
        <f>VLOOKUP($A215,Register!$B$3:$E$1409,7,FALSE)</f>
        <v>#REF!</v>
      </c>
      <c r="D215" s="32" t="e">
        <f>VLOOKUP($A215,Register!$B$3:$E$1409,8,FALSE)</f>
        <v>#REF!</v>
      </c>
      <c r="E215" s="34" t="s">
        <v>148</v>
      </c>
    </row>
    <row r="216" spans="1:26" x14ac:dyDescent="0.25">
      <c r="A216" s="33" t="str" cm="1">
        <f t="array" ref="A216">IFERROR(INDEX(Register!$B$3:$B$1409,ROW(),0), "")</f>
        <v>CONCISYS, INC.</v>
      </c>
      <c r="B216" s="32" t="e">
        <f>VLOOKUP($A216,Register!$B$3:$E$1409,6,FALSE)</f>
        <v>#REF!</v>
      </c>
      <c r="C216" s="32" t="e">
        <f>VLOOKUP($A216,Register!$B$3:$E$1409,7,FALSE)</f>
        <v>#REF!</v>
      </c>
      <c r="D216" s="32" t="e">
        <f>VLOOKUP($A216,Register!$B$3:$E$1409,8,FALSE)</f>
        <v>#REF!</v>
      </c>
      <c r="E216" s="34" t="s">
        <v>1774</v>
      </c>
    </row>
    <row r="217" spans="1:26" x14ac:dyDescent="0.25">
      <c r="A217" s="33" t="str" cm="1">
        <f t="array" ref="A217">IFERROR(INDEX(Register!$B$3:$B$1409,ROW(),0), "")</f>
        <v>DELTA GROUP ELECTRONICS</v>
      </c>
      <c r="B217" s="32" t="e">
        <f>VLOOKUP($A217,Register!$B$3:$E$1409,6,FALSE)</f>
        <v>#REF!</v>
      </c>
      <c r="C217" s="32" t="e">
        <f>VLOOKUP($A217,Register!$B$3:$E$1409,7,FALSE)</f>
        <v>#REF!</v>
      </c>
      <c r="D217" s="32" t="e">
        <f>VLOOKUP($A217,Register!$B$3:$E$1409,8,FALSE)</f>
        <v>#REF!</v>
      </c>
      <c r="E217" s="34" t="s">
        <v>5114</v>
      </c>
    </row>
    <row r="218" spans="1:26" x14ac:dyDescent="0.25">
      <c r="A218" s="33" t="str" cm="1">
        <f t="array" ref="A218">IFERROR(INDEX(Register!$B$3:$B$1409,ROW(),0), "")</f>
        <v>Duet Electronics Pty Ltd</v>
      </c>
      <c r="B218" s="32" t="e">
        <f>VLOOKUP($A218,Register!$B$3:$E$1409,6,FALSE)</f>
        <v>#REF!</v>
      </c>
      <c r="C218" s="32" t="e">
        <f>VLOOKUP($A218,Register!$B$3:$E$1409,7,FALSE)</f>
        <v>#REF!</v>
      </c>
      <c r="D218" s="32" t="e">
        <f>VLOOKUP($A218,Register!$B$3:$E$1409,8,FALSE)</f>
        <v>#REF!</v>
      </c>
      <c r="E218" s="34" t="s">
        <v>5115</v>
      </c>
      <c r="F218" s="34" t="s">
        <v>5116</v>
      </c>
      <c r="G218" s="34" t="s">
        <v>5117</v>
      </c>
    </row>
    <row r="219" spans="1:26" x14ac:dyDescent="0.25">
      <c r="A219" s="33" t="str" cm="1">
        <f t="array" ref="A219">IFERROR(INDEX(Register!$B$3:$B$1409,ROW(),0), "")</f>
        <v>Entech Electronics Pty Ltd</v>
      </c>
      <c r="B219" s="32" t="e">
        <f>VLOOKUP($A219,Register!$B$3:$E$1409,6,FALSE)</f>
        <v>#REF!</v>
      </c>
      <c r="C219" s="32" t="e">
        <f>VLOOKUP($A219,Register!$B$3:$E$1409,7,FALSE)</f>
        <v>#REF!</v>
      </c>
      <c r="D219" s="32" t="e">
        <f>VLOOKUP($A219,Register!$B$3:$E$1409,8,FALSE)</f>
        <v>#REF!</v>
      </c>
      <c r="E219" s="34" t="s">
        <v>148</v>
      </c>
    </row>
    <row r="220" spans="1:26" x14ac:dyDescent="0.25">
      <c r="A220" s="33" t="str" cm="1">
        <f t="array" ref="A220">IFERROR(INDEX(Register!$B$3:$B$1409,ROW(),0), "")</f>
        <v>GPC Electronics Pty Ltd</v>
      </c>
      <c r="B220" s="32" t="e">
        <f>VLOOKUP($A220,Register!$B$3:$E$1409,6,FALSE)</f>
        <v>#REF!</v>
      </c>
      <c r="C220" s="32" t="e">
        <f>VLOOKUP($A220,Register!$B$3:$E$1409,7,FALSE)</f>
        <v>#REF!</v>
      </c>
      <c r="D220" s="32" t="e">
        <f>VLOOKUP($A220,Register!$B$3:$E$1409,8,FALSE)</f>
        <v>#REF!</v>
      </c>
      <c r="E220" s="34" t="s">
        <v>5118</v>
      </c>
    </row>
    <row r="221" spans="1:26" x14ac:dyDescent="0.25">
      <c r="A221" s="33" t="str" cm="1">
        <f t="array" ref="A221">IFERROR(INDEX(Register!$B$3:$B$1409,ROW(),0), "")</f>
        <v>In-Tec Global Pte Ltd</v>
      </c>
      <c r="B221" s="32" t="e">
        <f>VLOOKUP($A221,Register!$B$3:$E$1409,6,FALSE)</f>
        <v>#REF!</v>
      </c>
      <c r="C221" s="32" t="e">
        <f>VLOOKUP($A221,Register!$B$3:$E$1409,7,FALSE)</f>
        <v>#REF!</v>
      </c>
      <c r="D221" s="32" t="e">
        <f>VLOOKUP($A221,Register!$B$3:$E$1409,8,FALSE)</f>
        <v>#REF!</v>
      </c>
      <c r="E221" s="34" t="s">
        <v>5119</v>
      </c>
      <c r="F221" s="34" t="s">
        <v>5120</v>
      </c>
      <c r="G221" s="34" t="s">
        <v>5121</v>
      </c>
    </row>
    <row r="222" spans="1:26" x14ac:dyDescent="0.25">
      <c r="A222" s="33" t="str" cm="1">
        <f t="array" ref="A222">IFERROR(INDEX(Register!$B$3:$B$1409,ROW(),0), "")</f>
        <v>Precision Electronic Technologies Pty Ltd (DO NOT USE)</v>
      </c>
      <c r="B222" s="32" t="e">
        <f>VLOOKUP($A222,Register!$B$3:$E$1409,6,FALSE)</f>
        <v>#REF!</v>
      </c>
      <c r="C222" s="32" t="e">
        <f>VLOOKUP($A222,Register!$B$3:$E$1409,7,FALSE)</f>
        <v>#REF!</v>
      </c>
      <c r="D222" s="32" t="e">
        <f>VLOOKUP($A222,Register!$B$3:$E$1409,8,FALSE)</f>
        <v>#REF!</v>
      </c>
      <c r="E222" s="34" t="s">
        <v>5122</v>
      </c>
      <c r="F222" s="34" t="s">
        <v>5123</v>
      </c>
      <c r="G222" s="34" t="s">
        <v>5124</v>
      </c>
      <c r="H222" s="34" t="s">
        <v>5125</v>
      </c>
      <c r="I222" s="34" t="s">
        <v>5126</v>
      </c>
      <c r="J222" s="34" t="s">
        <v>5127</v>
      </c>
      <c r="K222" s="34" t="s">
        <v>5128</v>
      </c>
      <c r="L222" s="32" t="s">
        <v>5129</v>
      </c>
      <c r="M222" s="32" t="s">
        <v>5130</v>
      </c>
      <c r="N222" s="32" t="s">
        <v>5131</v>
      </c>
      <c r="O222" s="32" t="s">
        <v>5132</v>
      </c>
      <c r="P222" s="32" t="s">
        <v>5133</v>
      </c>
      <c r="Q222" s="32" t="s">
        <v>5134</v>
      </c>
      <c r="R222" s="32" t="s">
        <v>5135</v>
      </c>
      <c r="S222" s="32" t="s">
        <v>5136</v>
      </c>
      <c r="T222" s="32" t="s">
        <v>5137</v>
      </c>
      <c r="U222" s="32" t="s">
        <v>5138</v>
      </c>
      <c r="V222" s="32" t="s">
        <v>5139</v>
      </c>
      <c r="W222" s="32" t="s">
        <v>5140</v>
      </c>
      <c r="X222" s="32" t="s">
        <v>5141</v>
      </c>
      <c r="Y222" s="32" t="s">
        <v>5142</v>
      </c>
      <c r="Z222" s="32" t="s">
        <v>5143</v>
      </c>
    </row>
    <row r="223" spans="1:26" x14ac:dyDescent="0.25">
      <c r="A223" s="33" t="str" cm="1">
        <f t="array" ref="A223">IFERROR(INDEX(Register!$B$3:$B$1409,ROW(),0), "")</f>
        <v>REVCO PRODUCTS</v>
      </c>
      <c r="B223" s="32" t="e">
        <f>VLOOKUP($A223,Register!$B$3:$E$1409,6,FALSE)</f>
        <v>#REF!</v>
      </c>
      <c r="C223" s="32" t="e">
        <f>VLOOKUP($A223,Register!$B$3:$E$1409,7,FALSE)</f>
        <v>#REF!</v>
      </c>
      <c r="D223" s="32" t="e">
        <f>VLOOKUP($A223,Register!$B$3:$E$1409,8,FALSE)</f>
        <v>#REF!</v>
      </c>
      <c r="E223" s="34" t="s">
        <v>5144</v>
      </c>
    </row>
    <row r="224" spans="1:26" x14ac:dyDescent="0.25">
      <c r="A224" s="33" t="str" cm="1">
        <f t="array" ref="A224">IFERROR(INDEX(Register!$B$3:$B$1409,ROW(),0), "")</f>
        <v>SRX Global (Australia) Pty Ltd</v>
      </c>
      <c r="B224" s="32" t="e">
        <f>VLOOKUP($A224,Register!$B$3:$E$1409,6,FALSE)</f>
        <v>#REF!</v>
      </c>
      <c r="C224" s="32" t="e">
        <f>VLOOKUP($A224,Register!$B$3:$E$1409,7,FALSE)</f>
        <v>#REF!</v>
      </c>
      <c r="D224" s="32" t="e">
        <f>VLOOKUP($A224,Register!$B$3:$E$1409,8,FALSE)</f>
        <v>#REF!</v>
      </c>
      <c r="E224" s="34" t="s">
        <v>5145</v>
      </c>
      <c r="F224" s="34" t="s">
        <v>5146</v>
      </c>
      <c r="G224" s="34" t="s">
        <v>5147</v>
      </c>
    </row>
    <row r="225" spans="1:9" x14ac:dyDescent="0.25">
      <c r="A225" s="33" t="str" cm="1">
        <f t="array" ref="A225">IFERROR(INDEX(Register!$B$3:$B$1409,ROW(),0), "")</f>
        <v>Stars Microelectronics (Thailand) Public Co Ltd</v>
      </c>
      <c r="B225" s="32" t="e">
        <f>VLOOKUP($A225,Register!$B$3:$E$1409,6,FALSE)</f>
        <v>#REF!</v>
      </c>
      <c r="C225" s="32" t="e">
        <f>VLOOKUP($A225,Register!$B$3:$E$1409,7,FALSE)</f>
        <v>#REF!</v>
      </c>
      <c r="D225" s="32" t="e">
        <f>VLOOKUP($A225,Register!$B$3:$E$1409,8,FALSE)</f>
        <v>#REF!</v>
      </c>
      <c r="E225" s="34" t="s">
        <v>5148</v>
      </c>
    </row>
    <row r="226" spans="1:9" x14ac:dyDescent="0.25">
      <c r="A226" s="33" t="str" cm="1">
        <f t="array" ref="A226">IFERROR(INDEX(Register!$B$3:$B$1409,ROW(),0), "")</f>
        <v>STRACON, INC.</v>
      </c>
      <c r="B226" s="32" t="e">
        <f>VLOOKUP($A226,Register!$B$3:$E$1409,6,FALSE)</f>
        <v>#REF!</v>
      </c>
      <c r="C226" s="32" t="e">
        <f>VLOOKUP($A226,Register!$B$3:$E$1409,7,FALSE)</f>
        <v>#REF!</v>
      </c>
      <c r="D226" s="32" t="e">
        <f>VLOOKUP($A226,Register!$B$3:$E$1409,8,FALSE)</f>
        <v>#REF!</v>
      </c>
      <c r="E226" s="34" t="s">
        <v>5149</v>
      </c>
    </row>
    <row r="227" spans="1:9" x14ac:dyDescent="0.25">
      <c r="A227" s="33" t="str" cm="1">
        <f t="array" ref="A227">IFERROR(INDEX(Register!$B$3:$B$1409,ROW(),0), "")</f>
        <v>Trapp EDV</v>
      </c>
      <c r="B227" s="32" t="e">
        <f>VLOOKUP($A227,Register!$B$3:$E$1409,6,FALSE)</f>
        <v>#REF!</v>
      </c>
      <c r="C227" s="32" t="e">
        <f>VLOOKUP($A227,Register!$B$3:$E$1409,7,FALSE)</f>
        <v>#REF!</v>
      </c>
      <c r="D227" s="32" t="e">
        <f>VLOOKUP($A227,Register!$B$3:$E$1409,8,FALSE)</f>
        <v>#REF!</v>
      </c>
      <c r="E227" s="34" t="s">
        <v>5150</v>
      </c>
    </row>
    <row r="228" spans="1:9" x14ac:dyDescent="0.25">
      <c r="A228" s="33" t="str" cm="1">
        <f t="array" ref="A228">IFERROR(INDEX(Register!$B$3:$B$1409,ROW(),0), "")</f>
        <v>VS Electronics</v>
      </c>
      <c r="B228" s="32" t="e">
        <f>VLOOKUP($A228,Register!$B$3:$E$1409,6,FALSE)</f>
        <v>#REF!</v>
      </c>
      <c r="C228" s="32" t="e">
        <f>VLOOKUP($A228,Register!$B$3:$E$1409,7,FALSE)</f>
        <v>#REF!</v>
      </c>
      <c r="D228" s="32" t="e">
        <f>VLOOKUP($A228,Register!$B$3:$E$1409,8,FALSE)</f>
        <v>#REF!</v>
      </c>
      <c r="E228" s="34" t="s">
        <v>148</v>
      </c>
    </row>
    <row r="229" spans="1:9" x14ac:dyDescent="0.25">
      <c r="A229" s="33" t="str" cm="1">
        <f t="array" ref="A229">IFERROR(INDEX(Register!$B$3:$B$1409,ROW(),0), "")</f>
        <v>AT &amp; S Austria Technologie &amp; Systemtechnik AG</v>
      </c>
      <c r="B229" s="32" t="e">
        <f>VLOOKUP($A229,Register!$B$3:$E$1409,6,FALSE)</f>
        <v>#REF!</v>
      </c>
      <c r="C229" s="32" t="e">
        <f>VLOOKUP($A229,Register!$B$3:$E$1409,7,FALSE)</f>
        <v>#REF!</v>
      </c>
      <c r="D229" s="32" t="e">
        <f>VLOOKUP($A229,Register!$B$3:$E$1409,8,FALSE)</f>
        <v>#REF!</v>
      </c>
      <c r="E229" s="34" t="s">
        <v>1634</v>
      </c>
    </row>
    <row r="230" spans="1:9" x14ac:dyDescent="0.25">
      <c r="A230" s="33" t="str" cm="1">
        <f t="array" ref="A230">IFERROR(INDEX(Register!$B$3:$B$1409,ROW(),0), "")</f>
        <v>Lenthor Engineering Inc</v>
      </c>
      <c r="B230" s="32" t="e">
        <f>VLOOKUP($A230,Register!$B$3:$E$1409,6,FALSE)</f>
        <v>#REF!</v>
      </c>
      <c r="C230" s="32" t="e">
        <f>VLOOKUP($A230,Register!$B$3:$E$1409,7,FALSE)</f>
        <v>#REF!</v>
      </c>
      <c r="D230" s="32" t="e">
        <f>VLOOKUP($A230,Register!$B$3:$E$1409,8,FALSE)</f>
        <v>#REF!</v>
      </c>
      <c r="E230" s="34" t="s">
        <v>5151</v>
      </c>
    </row>
    <row r="231" spans="1:9" x14ac:dyDescent="0.25">
      <c r="A231" s="33" t="str" cm="1">
        <f t="array" ref="A231">IFERROR(INDEX(Register!$B$3:$B$1409,ROW(),0), "")</f>
        <v>Multiserve Technology Co. Ltd</v>
      </c>
      <c r="B231" s="32" t="e">
        <f>VLOOKUP($A231,Register!$B$3:$E$1409,6,FALSE)</f>
        <v>#REF!</v>
      </c>
      <c r="C231" s="32" t="e">
        <f>VLOOKUP($A231,Register!$B$3:$E$1409,7,FALSE)</f>
        <v>#REF!</v>
      </c>
      <c r="D231" s="32" t="e">
        <f>VLOOKUP($A231,Register!$B$3:$E$1409,8,FALSE)</f>
        <v>#REF!</v>
      </c>
      <c r="E231" s="34" t="s">
        <v>5072</v>
      </c>
    </row>
    <row r="232" spans="1:9" x14ac:dyDescent="0.25">
      <c r="A232" s="33" t="str" cm="1">
        <f t="array" ref="A232">IFERROR(INDEX(Register!$B$3:$B$1409,ROW(),0), "")</f>
        <v>PCB Fast Peninsular circuit boards</v>
      </c>
      <c r="B232" s="32" t="e">
        <f>VLOOKUP($A232,Register!$B$3:$E$1409,6,FALSE)</f>
        <v>#REF!</v>
      </c>
      <c r="C232" s="32" t="e">
        <f>VLOOKUP($A232,Register!$B$3:$E$1409,7,FALSE)</f>
        <v>#REF!</v>
      </c>
      <c r="D232" s="32" t="e">
        <f>VLOOKUP($A232,Register!$B$3:$E$1409,8,FALSE)</f>
        <v>#REF!</v>
      </c>
      <c r="E232" s="34" t="s">
        <v>5072</v>
      </c>
    </row>
    <row r="233" spans="1:9" x14ac:dyDescent="0.25">
      <c r="A233" s="33" t="str" cm="1">
        <f t="array" ref="A233">IFERROR(INDEX(Register!$B$3:$B$1409,ROW(),0), "")</f>
        <v>Precision Electronic Technologies Pty Ltd</v>
      </c>
      <c r="B233" s="32" t="e">
        <f>VLOOKUP($A233,Register!$B$3:$E$1409,6,FALSE)</f>
        <v>#REF!</v>
      </c>
      <c r="C233" s="32" t="e">
        <f>VLOOKUP($A233,Register!$B$3:$E$1409,7,FALSE)</f>
        <v>#REF!</v>
      </c>
      <c r="D233" s="32" t="e">
        <f>VLOOKUP($A233,Register!$B$3:$E$1409,8,FALSE)</f>
        <v>#REF!</v>
      </c>
      <c r="E233" s="34" t="s">
        <v>5072</v>
      </c>
    </row>
    <row r="234" spans="1:9" x14ac:dyDescent="0.25">
      <c r="A234" s="33" t="str" cm="1">
        <f t="array" ref="A234">IFERROR(INDEX(Register!$B$3:$B$1409,ROW(),0), "")</f>
        <v>Q-Flex Inc</v>
      </c>
      <c r="B234" s="32" t="e">
        <f>VLOOKUP($A234,Register!$B$3:$E$1409,6,FALSE)</f>
        <v>#REF!</v>
      </c>
      <c r="C234" s="32" t="e">
        <f>VLOOKUP($A234,Register!$B$3:$E$1409,7,FALSE)</f>
        <v>#REF!</v>
      </c>
      <c r="D234" s="32" t="e">
        <f>VLOOKUP($A234,Register!$B$3:$E$1409,8,FALSE)</f>
        <v>#REF!</v>
      </c>
      <c r="E234" s="34" t="s">
        <v>148</v>
      </c>
    </row>
    <row r="235" spans="1:9" x14ac:dyDescent="0.25">
      <c r="A235" s="33" t="str" cm="1">
        <f t="array" ref="A235">IFERROR(INDEX(Register!$B$3:$B$1409,ROW(),0), "")</f>
        <v>Speedy Circuits</v>
      </c>
      <c r="B235" s="32" t="e">
        <f>VLOOKUP($A235,Register!$B$3:$E$1409,6,FALSE)</f>
        <v>#REF!</v>
      </c>
      <c r="C235" s="32" t="e">
        <f>VLOOKUP($A235,Register!$B$3:$E$1409,7,FALSE)</f>
        <v>#REF!</v>
      </c>
      <c r="D235" s="32" t="e">
        <f>VLOOKUP($A235,Register!$B$3:$E$1409,8,FALSE)</f>
        <v>#REF!</v>
      </c>
      <c r="E235" s="34" t="s">
        <v>148</v>
      </c>
    </row>
    <row r="236" spans="1:9" x14ac:dyDescent="0.25">
      <c r="A236" s="33" t="str" cm="1">
        <f t="array" ref="A236">IFERROR(INDEX(Register!$B$3:$B$1409,ROW(),0), "")</f>
        <v>Veris Manufacturing</v>
      </c>
      <c r="B236" s="32" t="e">
        <f>VLOOKUP($A236,Register!$B$3:$E$1409,6,FALSE)</f>
        <v>#REF!</v>
      </c>
      <c r="C236" s="32" t="e">
        <f>VLOOKUP($A236,Register!$B$3:$E$1409,7,FALSE)</f>
        <v>#REF!</v>
      </c>
      <c r="D236" s="32" t="e">
        <f>VLOOKUP($A236,Register!$B$3:$E$1409,8,FALSE)</f>
        <v>#REF!</v>
      </c>
      <c r="E236" s="34" t="s">
        <v>148</v>
      </c>
    </row>
    <row r="237" spans="1:9" x14ac:dyDescent="0.25">
      <c r="A237" s="33" t="str" cm="1">
        <f t="array" ref="A237">IFERROR(INDEX(Register!$B$3:$B$1409,ROW(),0), "")</f>
        <v>US DIGITAL</v>
      </c>
      <c r="B237" s="32" t="e">
        <f>VLOOKUP($A237,Register!$B$3:$E$1409,6,FALSE)</f>
        <v>#REF!</v>
      </c>
      <c r="C237" s="32" t="e">
        <f>VLOOKUP($A237,Register!$B$3:$E$1409,7,FALSE)</f>
        <v>#REF!</v>
      </c>
      <c r="D237" s="32" t="e">
        <f>VLOOKUP($A237,Register!$B$3:$E$1409,8,FALSE)</f>
        <v>#REF!</v>
      </c>
      <c r="E237" s="34" t="s">
        <v>148</v>
      </c>
    </row>
    <row r="238" spans="1:9" x14ac:dyDescent="0.25">
      <c r="A238" s="33" t="str" cm="1">
        <f t="array" ref="A238">IFERROR(INDEX(Register!$B$3:$B$1409,ROW(),0), "")</f>
        <v>US Digital Corporation</v>
      </c>
      <c r="B238" s="32" t="e">
        <f>VLOOKUP($A238,Register!$B$3:$E$1409,6,FALSE)</f>
        <v>#REF!</v>
      </c>
      <c r="C238" s="32" t="e">
        <f>VLOOKUP($A238,Register!$B$3:$E$1409,7,FALSE)</f>
        <v>#REF!</v>
      </c>
      <c r="D238" s="32" t="e">
        <f>VLOOKUP($A238,Register!$B$3:$E$1409,8,FALSE)</f>
        <v>#REF!</v>
      </c>
      <c r="E238" s="34" t="s">
        <v>148</v>
      </c>
    </row>
    <row r="239" spans="1:9" x14ac:dyDescent="0.25">
      <c r="A239" s="33" t="str" cm="1">
        <f t="array" ref="A239">IFERROR(INDEX(Register!$B$3:$B$1409,ROW(),0), "")</f>
        <v>HITACHI CHEMICAL DIAGNOSTICS,</v>
      </c>
      <c r="B239" s="32" t="e">
        <f>VLOOKUP($A239,Register!$B$3:$E$1409,6,FALSE)</f>
        <v>#REF!</v>
      </c>
      <c r="C239" s="32" t="e">
        <f>VLOOKUP($A239,Register!$B$3:$E$1409,7,FALSE)</f>
        <v>#REF!</v>
      </c>
      <c r="D239" s="32" t="e">
        <f>VLOOKUP($A239,Register!$B$3:$E$1409,8,FALSE)</f>
        <v>#REF!</v>
      </c>
      <c r="E239" s="34" t="s">
        <v>5152</v>
      </c>
    </row>
    <row r="240" spans="1:9" x14ac:dyDescent="0.25">
      <c r="A240" s="33" t="str" cm="1">
        <f t="array" ref="A240">IFERROR(INDEX(Register!$B$3:$B$1409,ROW(),0), "")</f>
        <v>Newbeach MPS P/L (T/A Arrow MPS)</v>
      </c>
      <c r="B240" s="32" t="e">
        <f>VLOOKUP($A240,Register!$B$3:$E$1409,6,FALSE)</f>
        <v>#REF!</v>
      </c>
      <c r="C240" s="32" t="e">
        <f>VLOOKUP($A240,Register!$B$3:$E$1409,7,FALSE)</f>
        <v>#REF!</v>
      </c>
      <c r="D240" s="32" t="e">
        <f>VLOOKUP($A240,Register!$B$3:$E$1409,8,FALSE)</f>
        <v>#REF!</v>
      </c>
      <c r="E240" s="34" t="s">
        <v>5153</v>
      </c>
      <c r="F240" s="34" t="s">
        <v>5154</v>
      </c>
      <c r="G240" s="34" t="s">
        <v>5155</v>
      </c>
      <c r="H240" s="34" t="s">
        <v>5156</v>
      </c>
      <c r="I240" s="34" t="s">
        <v>5157</v>
      </c>
    </row>
    <row r="241" spans="1:12" x14ac:dyDescent="0.25">
      <c r="A241" s="33" t="str" cm="1">
        <f t="array" ref="A241">IFERROR(INDEX(Register!$B$3:$B$1409,ROW(),0), "")</f>
        <v>Notus (grey Innovation)</v>
      </c>
      <c r="B241" s="32" t="e">
        <f>VLOOKUP($A241,Register!$B$3:$E$1409,6,FALSE)</f>
        <v>#REF!</v>
      </c>
      <c r="C241" s="32" t="e">
        <f>VLOOKUP($A241,Register!$B$3:$E$1409,7,FALSE)</f>
        <v>#REF!</v>
      </c>
      <c r="D241" s="32" t="e">
        <f>VLOOKUP($A241,Register!$B$3:$E$1409,8,FALSE)</f>
        <v>#REF!</v>
      </c>
      <c r="E241" s="34" t="s">
        <v>5153</v>
      </c>
      <c r="F241" s="34" t="s">
        <v>5154</v>
      </c>
      <c r="G241" s="34" t="s">
        <v>5155</v>
      </c>
      <c r="H241" s="34" t="s">
        <v>5156</v>
      </c>
      <c r="I241" s="34" t="s">
        <v>5157</v>
      </c>
    </row>
    <row r="242" spans="1:12" x14ac:dyDescent="0.25">
      <c r="A242" s="33" t="str" cm="1">
        <f t="array" ref="A242">IFERROR(INDEX(Register!$B$3:$B$1409,ROW(),0), "")</f>
        <v>OBT Global</v>
      </c>
      <c r="B242" s="32" t="e">
        <f>VLOOKUP($A242,Register!$B$3:$E$1409,6,FALSE)</f>
        <v>#REF!</v>
      </c>
      <c r="C242" s="32" t="e">
        <f>VLOOKUP($A242,Register!$B$3:$E$1409,7,FALSE)</f>
        <v>#REF!</v>
      </c>
      <c r="D242" s="32" t="e">
        <f>VLOOKUP($A242,Register!$B$3:$E$1409,8,FALSE)</f>
        <v>#REF!</v>
      </c>
      <c r="E242" s="34" t="s">
        <v>2705</v>
      </c>
      <c r="F242" s="34" t="s">
        <v>5158</v>
      </c>
    </row>
    <row r="243" spans="1:12" x14ac:dyDescent="0.25">
      <c r="A243" s="33" t="str" cm="1">
        <f t="array" ref="A243">IFERROR(INDEX(Register!$B$3:$B$1409,ROW(),0), "")</f>
        <v>Veolia North America</v>
      </c>
      <c r="B243" s="32" t="e">
        <f>VLOOKUP($A243,Register!$B$3:$E$1409,6,FALSE)</f>
        <v>#REF!</v>
      </c>
      <c r="C243" s="32" t="e">
        <f>VLOOKUP($A243,Register!$B$3:$E$1409,7,FALSE)</f>
        <v>#REF!</v>
      </c>
      <c r="D243" s="32" t="e">
        <f>VLOOKUP($A243,Register!$B$3:$E$1409,8,FALSE)</f>
        <v>#REF!</v>
      </c>
      <c r="E243" s="34" t="s">
        <v>5159</v>
      </c>
      <c r="F243" s="34" t="s">
        <v>5160</v>
      </c>
      <c r="G243" s="34" t="s">
        <v>5161</v>
      </c>
      <c r="H243" s="34" t="s">
        <v>5162</v>
      </c>
      <c r="I243" s="34" t="s">
        <v>5163</v>
      </c>
    </row>
    <row r="244" spans="1:12" x14ac:dyDescent="0.25">
      <c r="A244" s="33" t="str" cm="1">
        <f t="array" ref="A244">IFERROR(INDEX(Register!$B$3:$B$1409,ROW(),0), "")</f>
        <v>OLLENDORFF EXHIBITION CONSULTA</v>
      </c>
      <c r="B244" s="32" t="e">
        <f>VLOOKUP($A244,Register!$B$3:$E$1409,6,FALSE)</f>
        <v>#REF!</v>
      </c>
      <c r="C244" s="32" t="e">
        <f>VLOOKUP($A244,Register!$B$3:$E$1409,7,FALSE)</f>
        <v>#REF!</v>
      </c>
      <c r="D244" s="32" t="e">
        <f>VLOOKUP($A244,Register!$B$3:$E$1409,8,FALSE)</f>
        <v>#REF!</v>
      </c>
      <c r="E244" s="34" t="s">
        <v>148</v>
      </c>
    </row>
    <row r="245" spans="1:12" x14ac:dyDescent="0.25">
      <c r="A245" s="33" t="str" cm="1">
        <f t="array" ref="A245">IFERROR(INDEX(Register!$B$3:$B$1409,ROW(),0), "")</f>
        <v>All-Spec Fasteners</v>
      </c>
      <c r="B245" s="32" t="e">
        <f>VLOOKUP($A245,Register!$B$3:$E$1409,6,FALSE)</f>
        <v>#REF!</v>
      </c>
      <c r="C245" s="32" t="e">
        <f>VLOOKUP($A245,Register!$B$3:$E$1409,7,FALSE)</f>
        <v>#REF!</v>
      </c>
      <c r="D245" s="32" t="e">
        <f>VLOOKUP($A245,Register!$B$3:$E$1409,8,FALSE)</f>
        <v>#REF!</v>
      </c>
      <c r="E245" s="34" t="s">
        <v>148</v>
      </c>
    </row>
    <row r="246" spans="1:12" x14ac:dyDescent="0.25">
      <c r="A246" s="33" t="str" cm="1">
        <f t="array" ref="A246">IFERROR(INDEX(Register!$B$3:$B$1409,ROW(),0), "")</f>
        <v>APEX FASTENERS</v>
      </c>
      <c r="B246" s="32" t="e">
        <f>VLOOKUP($A246,Register!$B$3:$E$1409,6,FALSE)</f>
        <v>#REF!</v>
      </c>
      <c r="C246" s="32" t="e">
        <f>VLOOKUP($A246,Register!$B$3:$E$1409,7,FALSE)</f>
        <v>#REF!</v>
      </c>
      <c r="D246" s="32" t="e">
        <f>VLOOKUP($A246,Register!$B$3:$E$1409,8,FALSE)</f>
        <v>#REF!</v>
      </c>
      <c r="E246" s="34" t="s">
        <v>148</v>
      </c>
    </row>
    <row r="247" spans="1:12" x14ac:dyDescent="0.25">
      <c r="A247" s="33" t="str" cm="1">
        <f t="array" ref="A247">IFERROR(INDEX(Register!$B$3:$B$1409,ROW(),0), "")</f>
        <v>Bossard Australia Pty Ltd</v>
      </c>
      <c r="B247" s="32" t="e">
        <f>VLOOKUP($A247,Register!$B$3:$E$1409,6,FALSE)</f>
        <v>#REF!</v>
      </c>
      <c r="C247" s="32" t="e">
        <f>VLOOKUP($A247,Register!$B$3:$E$1409,7,FALSE)</f>
        <v>#REF!</v>
      </c>
      <c r="D247" s="32" t="e">
        <f>VLOOKUP($A247,Register!$B$3:$E$1409,8,FALSE)</f>
        <v>#REF!</v>
      </c>
      <c r="E247" s="34" t="s">
        <v>148</v>
      </c>
    </row>
    <row r="248" spans="1:12" x14ac:dyDescent="0.25">
      <c r="A248" s="33" t="str" cm="1">
        <f t="array" ref="A248">IFERROR(INDEX(Register!$B$3:$B$1409,ROW(),0), "")</f>
        <v>CIRCLIPS (Australia) Pty Ltd</v>
      </c>
      <c r="B248" s="32" t="e">
        <f>VLOOKUP($A248,Register!$B$3:$E$1409,6,FALSE)</f>
        <v>#REF!</v>
      </c>
      <c r="C248" s="32" t="e">
        <f>VLOOKUP($A248,Register!$B$3:$E$1409,7,FALSE)</f>
        <v>#REF!</v>
      </c>
      <c r="D248" s="32" t="e">
        <f>VLOOKUP($A248,Register!$B$3:$E$1409,8,FALSE)</f>
        <v>#REF!</v>
      </c>
      <c r="E248" s="34" t="s">
        <v>5164</v>
      </c>
    </row>
    <row r="249" spans="1:12" x14ac:dyDescent="0.25">
      <c r="A249" s="33" t="str" cm="1">
        <f t="array" ref="A249">IFERROR(INDEX(Register!$B$3:$B$1409,ROW(),0), "")</f>
        <v>Essentra Components Pte Ltd</v>
      </c>
      <c r="B249" s="32" t="e">
        <f>VLOOKUP($A249,Register!$B$3:$E$1409,6,FALSE)</f>
        <v>#REF!</v>
      </c>
      <c r="C249" s="32" t="e">
        <f>VLOOKUP($A249,Register!$B$3:$E$1409,7,FALSE)</f>
        <v>#REF!</v>
      </c>
      <c r="D249" s="32" t="e">
        <f>VLOOKUP($A249,Register!$B$3:$E$1409,8,FALSE)</f>
        <v>#REF!</v>
      </c>
      <c r="E249" s="34" t="s">
        <v>5165</v>
      </c>
    </row>
    <row r="250" spans="1:12" x14ac:dyDescent="0.25">
      <c r="A250" s="33" t="str" cm="1">
        <f t="array" ref="A250">IFERROR(INDEX(Register!$B$3:$B$1409,ROW(),0), "")</f>
        <v>Essentra Components Pte Ltd</v>
      </c>
      <c r="B250" s="32" t="e">
        <f>VLOOKUP($A250,Register!$B$3:$E$1409,6,FALSE)</f>
        <v>#REF!</v>
      </c>
      <c r="C250" s="32" t="e">
        <f>VLOOKUP($A250,Register!$B$3:$E$1409,7,FALSE)</f>
        <v>#REF!</v>
      </c>
      <c r="D250" s="32" t="e">
        <f>VLOOKUP($A250,Register!$B$3:$E$1409,8,FALSE)</f>
        <v>#REF!</v>
      </c>
      <c r="E250" s="34" t="s">
        <v>5166</v>
      </c>
    </row>
    <row r="251" spans="1:12" x14ac:dyDescent="0.25">
      <c r="A251" s="33" t="str" cm="1">
        <f t="array" ref="A251">IFERROR(INDEX(Register!$B$3:$B$1409,ROW(),0), "")</f>
        <v>Keables Pty Ltd</v>
      </c>
      <c r="B251" s="32" t="e">
        <f>VLOOKUP($A251,Register!$B$3:$E$1409,6,FALSE)</f>
        <v>#REF!</v>
      </c>
      <c r="C251" s="32" t="e">
        <f>VLOOKUP($A251,Register!$B$3:$E$1409,7,FALSE)</f>
        <v>#REF!</v>
      </c>
      <c r="D251" s="32" t="e">
        <f>VLOOKUP($A251,Register!$B$3:$E$1409,8,FALSE)</f>
        <v>#REF!</v>
      </c>
      <c r="E251" s="34" t="s">
        <v>2111</v>
      </c>
    </row>
    <row r="252" spans="1:12" x14ac:dyDescent="0.25">
      <c r="A252" s="33" t="str" cm="1">
        <f t="array" ref="A252">IFERROR(INDEX(Register!$B$3:$B$1409,ROW(),0), "")</f>
        <v>Oetiker Far East Limited</v>
      </c>
      <c r="B252" s="32" t="e">
        <f>VLOOKUP($A252,Register!$B$3:$E$1409,6,FALSE)</f>
        <v>#REF!</v>
      </c>
      <c r="C252" s="32" t="e">
        <f>VLOOKUP($A252,Register!$B$3:$E$1409,7,FALSE)</f>
        <v>#REF!</v>
      </c>
      <c r="D252" s="32" t="e">
        <f>VLOOKUP($A252,Register!$B$3:$E$1409,8,FALSE)</f>
        <v>#REF!</v>
      </c>
      <c r="E252" s="34" t="s">
        <v>5167</v>
      </c>
    </row>
    <row r="253" spans="1:12" x14ac:dyDescent="0.25">
      <c r="A253" s="33" t="str" cm="1">
        <f t="array" ref="A253">IFERROR(INDEX(Register!$B$3:$B$1409,ROW(),0), "")</f>
        <v>Rageem Fastener Co Pty Ltd</v>
      </c>
      <c r="B253" s="32" t="e">
        <f>VLOOKUP($A253,Register!$B$3:$E$1409,6,FALSE)</f>
        <v>#REF!</v>
      </c>
      <c r="C253" s="32" t="e">
        <f>VLOOKUP($A253,Register!$B$3:$E$1409,7,FALSE)</f>
        <v>#REF!</v>
      </c>
      <c r="D253" s="32" t="e">
        <f>VLOOKUP($A253,Register!$B$3:$E$1409,8,FALSE)</f>
        <v>#REF!</v>
      </c>
      <c r="E253" s="34" t="s">
        <v>5167</v>
      </c>
    </row>
    <row r="254" spans="1:12" x14ac:dyDescent="0.25">
      <c r="A254" s="33" t="str" cm="1">
        <f t="array" ref="A254">IFERROR(INDEX(Register!$B$3:$B$1409,ROW(),0), "")</f>
        <v>RGA Fasteners (Radio and General Agencies Pty Ltd)</v>
      </c>
      <c r="B254" s="32" t="e">
        <f>VLOOKUP($A254,Register!$B$3:$E$1409,6,FALSE)</f>
        <v>#REF!</v>
      </c>
      <c r="C254" s="32" t="e">
        <f>VLOOKUP($A254,Register!$B$3:$E$1409,7,FALSE)</f>
        <v>#REF!</v>
      </c>
      <c r="D254" s="32" t="e">
        <f>VLOOKUP($A254,Register!$B$3:$E$1409,8,FALSE)</f>
        <v>#REF!</v>
      </c>
      <c r="E254" s="34" t="s">
        <v>4791</v>
      </c>
      <c r="F254" s="34" t="s">
        <v>4792</v>
      </c>
      <c r="G254" s="34" t="s">
        <v>4793</v>
      </c>
    </row>
    <row r="255" spans="1:12" x14ac:dyDescent="0.25">
      <c r="A255" s="33" t="str" cm="1">
        <f t="array" ref="A255">IFERROR(INDEX(Register!$B$3:$B$1409,ROW(),0), "")</f>
        <v>United Fasteners VIC Pty Ltd</v>
      </c>
      <c r="B255" s="32" t="e">
        <f>VLOOKUP($A255,Register!$B$3:$E$1409,6,FALSE)</f>
        <v>#REF!</v>
      </c>
      <c r="C255" s="32" t="e">
        <f>VLOOKUP($A255,Register!$B$3:$E$1409,7,FALSE)</f>
        <v>#REF!</v>
      </c>
      <c r="D255" s="32" t="e">
        <f>VLOOKUP($A255,Register!$B$3:$E$1409,8,FALSE)</f>
        <v>#REF!</v>
      </c>
      <c r="E255" s="34" t="s">
        <v>148</v>
      </c>
    </row>
    <row r="256" spans="1:12" x14ac:dyDescent="0.25">
      <c r="A256" s="33" t="str" cm="1">
        <f t="array" ref="A256">IFERROR(INDEX(Register!$B$3:$B$1409,ROW(),0), "")</f>
        <v>Metric Multistandard Component</v>
      </c>
      <c r="B256" s="32" t="e">
        <f>VLOOKUP($A256,Register!$B$3:$E$1409,6,FALSE)</f>
        <v>#REF!</v>
      </c>
      <c r="C256" s="32" t="e">
        <f>VLOOKUP($A256,Register!$B$3:$E$1409,7,FALSE)</f>
        <v>#REF!</v>
      </c>
      <c r="D256" s="32" t="e">
        <f>VLOOKUP($A256,Register!$B$3:$E$1409,8,FALSE)</f>
        <v>#REF!</v>
      </c>
      <c r="E256" s="34" t="s">
        <v>5168</v>
      </c>
      <c r="F256" s="34" t="s">
        <v>5169</v>
      </c>
      <c r="G256" s="34" t="s">
        <v>5170</v>
      </c>
      <c r="H256" s="34" t="s">
        <v>5171</v>
      </c>
      <c r="I256" s="34" t="s">
        <v>5172</v>
      </c>
      <c r="J256" s="34" t="s">
        <v>5173</v>
      </c>
      <c r="K256" s="34" t="s">
        <v>5174</v>
      </c>
      <c r="L256" s="32" t="s">
        <v>5175</v>
      </c>
    </row>
    <row r="257" spans="1:23" x14ac:dyDescent="0.25">
      <c r="A257" s="33" t="str" cm="1">
        <f t="array" ref="A257">IFERROR(INDEX(Register!$B$3:$B$1409,ROW(),0), "")</f>
        <v>Belmatic Industries Pty Ltd</v>
      </c>
      <c r="B257" s="32" t="e">
        <f>VLOOKUP($A257,Register!$B$3:$E$1409,6,FALSE)</f>
        <v>#REF!</v>
      </c>
      <c r="C257" s="32" t="e">
        <f>VLOOKUP($A257,Register!$B$3:$E$1409,7,FALSE)</f>
        <v>#REF!</v>
      </c>
      <c r="D257" s="32" t="e">
        <f>VLOOKUP($A257,Register!$B$3:$E$1409,8,FALSE)</f>
        <v>#REF!</v>
      </c>
      <c r="E257" s="34" t="s">
        <v>5176</v>
      </c>
    </row>
    <row r="258" spans="1:23" x14ac:dyDescent="0.25">
      <c r="A258" s="33" t="str" cm="1">
        <f t="array" ref="A258">IFERROR(INDEX(Register!$B$3:$B$1409,ROW(),0), "")</f>
        <v>FIBEROPTIC SYSTEMS, INC.</v>
      </c>
      <c r="B258" s="32" t="e">
        <f>VLOOKUP($A258,Register!$B$3:$E$1409,6,FALSE)</f>
        <v>#REF!</v>
      </c>
      <c r="C258" s="32" t="e">
        <f>VLOOKUP($A258,Register!$B$3:$E$1409,7,FALSE)</f>
        <v>#REF!</v>
      </c>
      <c r="D258" s="32" t="e">
        <f>VLOOKUP($A258,Register!$B$3:$E$1409,8,FALSE)</f>
        <v>#REF!</v>
      </c>
      <c r="E258" s="34" t="s">
        <v>148</v>
      </c>
    </row>
    <row r="259" spans="1:23" x14ac:dyDescent="0.25">
      <c r="A259" s="33" t="str" cm="1">
        <f t="array" ref="A259">IFERROR(INDEX(Register!$B$3:$B$1409,ROW(),0), "")</f>
        <v>NORLAND PRODUCTS INC.</v>
      </c>
      <c r="B259" s="32" t="e">
        <f>VLOOKUP($A259,Register!$B$3:$E$1409,6,FALSE)</f>
        <v>#REF!</v>
      </c>
      <c r="C259" s="32" t="e">
        <f>VLOOKUP($A259,Register!$B$3:$E$1409,7,FALSE)</f>
        <v>#REF!</v>
      </c>
      <c r="D259" s="32" t="e">
        <f>VLOOKUP($A259,Register!$B$3:$E$1409,8,FALSE)</f>
        <v>#REF!</v>
      </c>
      <c r="E259" s="34" t="s">
        <v>148</v>
      </c>
    </row>
    <row r="260" spans="1:23" x14ac:dyDescent="0.25">
      <c r="A260" s="33" t="str" cm="1">
        <f t="array" ref="A260">IFERROR(INDEX(Register!$B$3:$B$1409,ROW(),0), "")</f>
        <v>Saint Gobain Solar Guard Australia</v>
      </c>
      <c r="B260" s="32" t="e">
        <f>VLOOKUP($A260,Register!$B$3:$E$1409,6,FALSE)</f>
        <v>#REF!</v>
      </c>
      <c r="C260" s="32" t="e">
        <f>VLOOKUP($A260,Register!$B$3:$E$1409,7,FALSE)</f>
        <v>#REF!</v>
      </c>
      <c r="D260" s="32" t="e">
        <f>VLOOKUP($A260,Register!$B$3:$E$1409,8,FALSE)</f>
        <v>#REF!</v>
      </c>
      <c r="E260" s="34" t="s">
        <v>148</v>
      </c>
    </row>
    <row r="261" spans="1:23" x14ac:dyDescent="0.25">
      <c r="A261" s="33" t="str" cm="1">
        <f t="array" ref="A261">IFERROR(INDEX(Register!$B$3:$B$1409,ROW(),0), "")</f>
        <v>Culligan Water</v>
      </c>
      <c r="B261" s="32" t="e">
        <f>VLOOKUP($A261,Register!$B$3:$E$1409,6,FALSE)</f>
        <v>#REF!</v>
      </c>
      <c r="C261" s="32" t="e">
        <f>VLOOKUP($A261,Register!$B$3:$E$1409,7,FALSE)</f>
        <v>#REF!</v>
      </c>
      <c r="D261" s="32" t="e">
        <f>VLOOKUP($A261,Register!$B$3:$E$1409,8,FALSE)</f>
        <v>#REF!</v>
      </c>
      <c r="E261" s="34" t="s">
        <v>148</v>
      </c>
    </row>
    <row r="262" spans="1:23" x14ac:dyDescent="0.25">
      <c r="A262" s="33" t="str" cm="1">
        <f t="array" ref="A262">IFERROR(INDEX(Register!$B$3:$B$1409,ROW(),0), "")</f>
        <v>Roi Rocket</v>
      </c>
      <c r="B262" s="32" t="e">
        <f>VLOOKUP($A262,Register!$B$3:$E$1409,6,FALSE)</f>
        <v>#REF!</v>
      </c>
      <c r="C262" s="32" t="e">
        <f>VLOOKUP($A262,Register!$B$3:$E$1409,7,FALSE)</f>
        <v>#REF!</v>
      </c>
      <c r="D262" s="32" t="e">
        <f>VLOOKUP($A262,Register!$B$3:$E$1409,8,FALSE)</f>
        <v>#REF!</v>
      </c>
      <c r="E262" s="34" t="s">
        <v>3554</v>
      </c>
    </row>
    <row r="263" spans="1:23" x14ac:dyDescent="0.25">
      <c r="A263" s="33" t="str" cm="1">
        <f t="array" ref="A263">IFERROR(INDEX(Register!$B$3:$B$1409,ROW(),0), "")</f>
        <v>Schlesinger Group</v>
      </c>
      <c r="B263" s="32" t="e">
        <f>VLOOKUP($A263,Register!$B$3:$E$1409,6,FALSE)</f>
        <v>#REF!</v>
      </c>
      <c r="C263" s="32" t="e">
        <f>VLOOKUP($A263,Register!$B$3:$E$1409,7,FALSE)</f>
        <v>#REF!</v>
      </c>
      <c r="D263" s="32" t="e">
        <f>VLOOKUP($A263,Register!$B$3:$E$1409,8,FALSE)</f>
        <v>#REF!</v>
      </c>
      <c r="E263" s="34" t="s">
        <v>5177</v>
      </c>
      <c r="F263" s="34" t="s">
        <v>5178</v>
      </c>
      <c r="G263" s="34" t="s">
        <v>5179</v>
      </c>
      <c r="H263" s="34" t="s">
        <v>5180</v>
      </c>
      <c r="I263" s="34" t="s">
        <v>5181</v>
      </c>
      <c r="J263" s="34" t="s">
        <v>5182</v>
      </c>
    </row>
    <row r="264" spans="1:23" x14ac:dyDescent="0.25">
      <c r="A264" s="33" t="str" cm="1">
        <f t="array" ref="A264">IFERROR(INDEX(Register!$B$3:$B$1409,ROW(),0), "")</f>
        <v>SPRAY ART FINISHERS, INC.</v>
      </c>
      <c r="B264" s="32" t="e">
        <f>VLOOKUP($A264,Register!$B$3:$E$1409,6,FALSE)</f>
        <v>#REF!</v>
      </c>
      <c r="C264" s="32" t="e">
        <f>VLOOKUP($A264,Register!$B$3:$E$1409,7,FALSE)</f>
        <v>#REF!</v>
      </c>
      <c r="D264" s="32" t="e">
        <f>VLOOKUP($A264,Register!$B$3:$E$1409,8,FALSE)</f>
        <v>#REF!</v>
      </c>
      <c r="E264" s="34" t="s">
        <v>148</v>
      </c>
    </row>
    <row r="265" spans="1:23" x14ac:dyDescent="0.25">
      <c r="A265" s="33" t="str" cm="1">
        <f t="array" ref="A265">IFERROR(INDEX(Register!$B$3:$B$1409,ROW(),0), "")</f>
        <v>Industrial Metal Processing Inc. (IMP)</v>
      </c>
      <c r="B265" s="32" t="e">
        <f>VLOOKUP($A265,Register!$B$3:$E$1409,6,FALSE)</f>
        <v>#REF!</v>
      </c>
      <c r="C265" s="32" t="e">
        <f>VLOOKUP($A265,Register!$B$3:$E$1409,7,FALSE)</f>
        <v>#REF!</v>
      </c>
      <c r="D265" s="32" t="e">
        <f>VLOOKUP($A265,Register!$B$3:$E$1409,8,FALSE)</f>
        <v>#REF!</v>
      </c>
      <c r="E265" s="34" t="s">
        <v>5183</v>
      </c>
      <c r="F265" s="34" t="s">
        <v>5184</v>
      </c>
    </row>
    <row r="266" spans="1:23" x14ac:dyDescent="0.25">
      <c r="A266" s="33" t="str" cm="1">
        <f t="array" ref="A266">IFERROR(INDEX(Register!$B$3:$B$1409,ROW(),0), "")</f>
        <v>APEX FIRE SYSTEMS INC.</v>
      </c>
      <c r="B266" s="32" t="e">
        <f>VLOOKUP($A266,Register!$B$3:$E$1409,6,FALSE)</f>
        <v>#REF!</v>
      </c>
      <c r="C266" s="32" t="e">
        <f>VLOOKUP($A266,Register!$B$3:$E$1409,7,FALSE)</f>
        <v>#REF!</v>
      </c>
      <c r="D266" s="32" t="e">
        <f>VLOOKUP($A266,Register!$B$3:$E$1409,8,FALSE)</f>
        <v>#REF!</v>
      </c>
      <c r="E266" s="34" t="s">
        <v>5185</v>
      </c>
    </row>
    <row r="267" spans="1:23" x14ac:dyDescent="0.25">
      <c r="A267" s="33" t="str" cm="1">
        <f t="array" ref="A267">IFERROR(INDEX(Register!$B$3:$B$1409,ROW(),0), "")</f>
        <v>Fire Safety First</v>
      </c>
      <c r="B267" s="32" t="e">
        <f>VLOOKUP($A267,Register!$B$3:$E$1409,6,FALSE)</f>
        <v>#REF!</v>
      </c>
      <c r="C267" s="32" t="e">
        <f>VLOOKUP($A267,Register!$B$3:$E$1409,7,FALSE)</f>
        <v>#REF!</v>
      </c>
      <c r="D267" s="32" t="e">
        <f>VLOOKUP($A267,Register!$B$3:$E$1409,8,FALSE)</f>
        <v>#REF!</v>
      </c>
      <c r="E267" s="34" t="s">
        <v>5186</v>
      </c>
    </row>
    <row r="268" spans="1:23" x14ac:dyDescent="0.25">
      <c r="A268" s="33" t="str" cm="1">
        <f t="array" ref="A268">IFERROR(INDEX(Register!$B$3:$B$1409,ROW(),0), "")</f>
        <v>Enzed Bayswater (Hose Supplies Pty Ltd)</v>
      </c>
      <c r="B268" s="32" t="e">
        <f>VLOOKUP($A268,Register!$B$3:$E$1409,6,FALSE)</f>
        <v>#REF!</v>
      </c>
      <c r="C268" s="32" t="e">
        <f>VLOOKUP($A268,Register!$B$3:$E$1409,7,FALSE)</f>
        <v>#REF!</v>
      </c>
      <c r="D268" s="32" t="e">
        <f>VLOOKUP($A268,Register!$B$3:$E$1409,8,FALSE)</f>
        <v>#REF!</v>
      </c>
      <c r="E268" s="34" t="s">
        <v>4535</v>
      </c>
      <c r="F268" s="34" t="s">
        <v>4536</v>
      </c>
      <c r="G268" s="34" t="s">
        <v>4537</v>
      </c>
      <c r="H268" s="34" t="s">
        <v>4538</v>
      </c>
      <c r="I268" s="34" t="s">
        <v>4539</v>
      </c>
      <c r="J268" s="34" t="s">
        <v>4540</v>
      </c>
      <c r="K268" s="34" t="s">
        <v>716</v>
      </c>
    </row>
    <row r="269" spans="1:23" x14ac:dyDescent="0.25">
      <c r="A269" s="33" t="str" cm="1">
        <f t="array" ref="A269">IFERROR(INDEX(Register!$B$3:$B$1409,ROW(),0), "")</f>
        <v>Romynox</v>
      </c>
      <c r="B269" s="32" t="e">
        <f>VLOOKUP($A269,Register!$B$3:$E$1409,6,FALSE)</f>
        <v>#REF!</v>
      </c>
      <c r="C269" s="32" t="e">
        <f>VLOOKUP($A269,Register!$B$3:$E$1409,7,FALSE)</f>
        <v>#REF!</v>
      </c>
      <c r="D269" s="32" t="e">
        <f>VLOOKUP($A269,Register!$B$3:$E$1409,8,FALSE)</f>
        <v>#REF!</v>
      </c>
      <c r="E269" s="34" t="s">
        <v>5187</v>
      </c>
    </row>
    <row r="270" spans="1:23" x14ac:dyDescent="0.25">
      <c r="A270" s="33" t="str" cm="1">
        <f t="array" ref="A270">IFERROR(INDEX(Register!$B$3:$B$1409,ROW(),0), "")</f>
        <v>SPECIALTY MFG CO (SMC)</v>
      </c>
      <c r="B270" s="32" t="e">
        <f>VLOOKUP($A270,Register!$B$3:$E$1409,6,FALSE)</f>
        <v>#REF!</v>
      </c>
      <c r="C270" s="32" t="e">
        <f>VLOOKUP($A270,Register!$B$3:$E$1409,7,FALSE)</f>
        <v>#REF!</v>
      </c>
      <c r="D270" s="32" t="e">
        <f>VLOOKUP($A270,Register!$B$3:$E$1409,8,FALSE)</f>
        <v>#REF!</v>
      </c>
      <c r="E270" s="34" t="s">
        <v>5188</v>
      </c>
      <c r="F270" s="34" t="s">
        <v>5189</v>
      </c>
      <c r="G270" s="34" t="s">
        <v>5190</v>
      </c>
      <c r="H270" s="34" t="s">
        <v>5191</v>
      </c>
      <c r="I270" s="34" t="s">
        <v>5192</v>
      </c>
      <c r="J270" s="34" t="s">
        <v>5193</v>
      </c>
      <c r="K270" s="34" t="s">
        <v>5194</v>
      </c>
      <c r="L270" s="32" t="s">
        <v>5195</v>
      </c>
      <c r="M270" s="32" t="s">
        <v>5196</v>
      </c>
      <c r="N270" s="32" t="s">
        <v>5197</v>
      </c>
      <c r="O270" s="32" t="s">
        <v>5198</v>
      </c>
      <c r="P270" s="32" t="s">
        <v>5199</v>
      </c>
      <c r="Q270" s="32" t="s">
        <v>5200</v>
      </c>
      <c r="R270" s="32" t="s">
        <v>5201</v>
      </c>
      <c r="S270" s="32" t="s">
        <v>5202</v>
      </c>
      <c r="T270" s="32" t="s">
        <v>5203</v>
      </c>
      <c r="U270" s="32" t="s">
        <v>5204</v>
      </c>
      <c r="V270" s="32" t="s">
        <v>5205</v>
      </c>
      <c r="W270" s="32" t="s">
        <v>5206</v>
      </c>
    </row>
    <row r="271" spans="1:23" x14ac:dyDescent="0.25">
      <c r="A271" s="33" t="str" cm="1">
        <f t="array" ref="A271">IFERROR(INDEX(Register!$B$3:$B$1409,ROW(),0), "")</f>
        <v>Value Plastics dba Nordson Medical</v>
      </c>
      <c r="B271" s="32" t="e">
        <f>VLOOKUP($A271,Register!$B$3:$E$1409,6,FALSE)</f>
        <v>#REF!</v>
      </c>
      <c r="C271" s="32" t="e">
        <f>VLOOKUP($A271,Register!$B$3:$E$1409,7,FALSE)</f>
        <v>#REF!</v>
      </c>
      <c r="D271" s="32" t="e">
        <f>VLOOKUP($A271,Register!$B$3:$E$1409,8,FALSE)</f>
        <v>#REF!</v>
      </c>
      <c r="E271" s="34" t="s">
        <v>148</v>
      </c>
    </row>
    <row r="272" spans="1:23" x14ac:dyDescent="0.25">
      <c r="A272" s="33" t="str" cm="1">
        <f t="array" ref="A272">IFERROR(INDEX(Register!$B$3:$B$1409,ROW(),0), "")</f>
        <v>VALUE PLASTICS, INC.</v>
      </c>
      <c r="B272" s="32" t="e">
        <f>VLOOKUP($A272,Register!$B$3:$E$1409,6,FALSE)</f>
        <v>#REF!</v>
      </c>
      <c r="C272" s="32" t="e">
        <f>VLOOKUP($A272,Register!$B$3:$E$1409,7,FALSE)</f>
        <v>#REF!</v>
      </c>
      <c r="D272" s="32" t="e">
        <f>VLOOKUP($A272,Register!$B$3:$E$1409,8,FALSE)</f>
        <v>#REF!</v>
      </c>
      <c r="E272" s="34" t="s">
        <v>5207</v>
      </c>
    </row>
    <row r="273" spans="1:22" x14ac:dyDescent="0.25">
      <c r="A273" s="33" t="str" cm="1">
        <f t="array" ref="A273">IFERROR(INDEX(Register!$B$3:$B$1409,ROW(),0), "")</f>
        <v>Victorian Fittings and Valves (VFV)</v>
      </c>
      <c r="B273" s="32" t="e">
        <f>VLOOKUP($A273,Register!$B$3:$E$1409,6,FALSE)</f>
        <v>#REF!</v>
      </c>
      <c r="C273" s="32" t="e">
        <f>VLOOKUP($A273,Register!$B$3:$E$1409,7,FALSE)</f>
        <v>#REF!</v>
      </c>
      <c r="D273" s="32" t="e">
        <f>VLOOKUP($A273,Register!$B$3:$E$1409,8,FALSE)</f>
        <v>#REF!</v>
      </c>
      <c r="E273" s="34" t="s">
        <v>5208</v>
      </c>
      <c r="F273" s="34" t="s">
        <v>5209</v>
      </c>
    </row>
    <row r="274" spans="1:22" x14ac:dyDescent="0.25">
      <c r="A274" s="33" t="str" cm="1">
        <f t="array" ref="A274">IFERROR(INDEX(Register!$B$3:$B$1409,ROW(),0), "")</f>
        <v>Beswick Engineering</v>
      </c>
      <c r="B274" s="32" t="e">
        <f>VLOOKUP($A274,Register!$B$3:$E$1409,6,FALSE)</f>
        <v>#REF!</v>
      </c>
      <c r="C274" s="32" t="e">
        <f>VLOOKUP($A274,Register!$B$3:$E$1409,7,FALSE)</f>
        <v>#REF!</v>
      </c>
      <c r="D274" s="32" t="e">
        <f>VLOOKUP($A274,Register!$B$3:$E$1409,8,FALSE)</f>
        <v>#REF!</v>
      </c>
      <c r="E274" s="34" t="s">
        <v>148</v>
      </c>
    </row>
    <row r="275" spans="1:22" x14ac:dyDescent="0.25">
      <c r="A275" s="33" t="str" cm="1">
        <f t="array" ref="A275">IFERROR(INDEX(Register!$B$3:$B$1409,ROW(),0), "")</f>
        <v>Fluid Biosolutions Pty Ltd</v>
      </c>
      <c r="B275" s="32" t="e">
        <f>VLOOKUP($A275,Register!$B$3:$E$1409,6,FALSE)</f>
        <v>#REF!</v>
      </c>
      <c r="C275" s="32" t="e">
        <f>VLOOKUP($A275,Register!$B$3:$E$1409,7,FALSE)</f>
        <v>#REF!</v>
      </c>
      <c r="D275" s="32" t="e">
        <f>VLOOKUP($A275,Register!$B$3:$E$1409,8,FALSE)</f>
        <v>#REF!</v>
      </c>
      <c r="E275" s="34" t="s">
        <v>148</v>
      </c>
    </row>
    <row r="276" spans="1:22" x14ac:dyDescent="0.25">
      <c r="A276" s="33" t="str" cm="1">
        <f t="array" ref="A276">IFERROR(INDEX(Register!$B$3:$B$1409,ROW(),0), "")</f>
        <v>PNEULINE SUPPLY, INC</v>
      </c>
      <c r="B276" s="32" t="e">
        <f>VLOOKUP($A276,Register!$B$3:$E$1409,6,FALSE)</f>
        <v>#REF!</v>
      </c>
      <c r="C276" s="32" t="e">
        <f>VLOOKUP($A276,Register!$B$3:$E$1409,7,FALSE)</f>
        <v>#REF!</v>
      </c>
      <c r="D276" s="32" t="e">
        <f>VLOOKUP($A276,Register!$B$3:$E$1409,8,FALSE)</f>
        <v>#REF!</v>
      </c>
      <c r="E276" s="34" t="s">
        <v>148</v>
      </c>
    </row>
    <row r="277" spans="1:22" x14ac:dyDescent="0.25">
      <c r="A277" s="33" t="str" cm="1">
        <f t="array" ref="A277">IFERROR(INDEX(Register!$B$3:$B$1409,ROW(),0), "")</f>
        <v>TECAN SYSTEMS / CAVRO (US)</v>
      </c>
      <c r="B277" s="32" t="e">
        <f>VLOOKUP($A277,Register!$B$3:$E$1409,6,FALSE)</f>
        <v>#REF!</v>
      </c>
      <c r="C277" s="32" t="e">
        <f>VLOOKUP($A277,Register!$B$3:$E$1409,7,FALSE)</f>
        <v>#REF!</v>
      </c>
      <c r="D277" s="32" t="e">
        <f>VLOOKUP($A277,Register!$B$3:$E$1409,8,FALSE)</f>
        <v>#REF!</v>
      </c>
      <c r="E277" s="34" t="s">
        <v>148</v>
      </c>
    </row>
    <row r="278" spans="1:22" x14ac:dyDescent="0.25">
      <c r="A278" s="33" t="str" cm="1">
        <f t="array" ref="A278">IFERROR(INDEX(Register!$B$3:$B$1409,ROW(),0), "")</f>
        <v>IDEX Health &amp; Science LLC (US)</v>
      </c>
      <c r="B278" s="32" t="e">
        <f>VLOOKUP($A278,Register!$B$3:$E$1409,6,FALSE)</f>
        <v>#REF!</v>
      </c>
      <c r="C278" s="32" t="e">
        <f>VLOOKUP($A278,Register!$B$3:$E$1409,7,FALSE)</f>
        <v>#REF!</v>
      </c>
      <c r="D278" s="32" t="e">
        <f>VLOOKUP($A278,Register!$B$3:$E$1409,8,FALSE)</f>
        <v>#REF!</v>
      </c>
      <c r="E278" s="34" t="s">
        <v>148</v>
      </c>
    </row>
    <row r="279" spans="1:22" x14ac:dyDescent="0.25">
      <c r="A279" s="33" t="str" cm="1">
        <f t="array" ref="A279">IFERROR(INDEX(Register!$B$3:$B$1409,ROW(),0), "")</f>
        <v>IDS Imaging Development Systems Germany GmbH</v>
      </c>
      <c r="B279" s="32" t="e">
        <f>VLOOKUP($A279,Register!$B$3:$E$1409,6,FALSE)</f>
        <v>#REF!</v>
      </c>
      <c r="C279" s="32" t="e">
        <f>VLOOKUP($A279,Register!$B$3:$E$1409,7,FALSE)</f>
        <v>#REF!</v>
      </c>
      <c r="D279" s="32" t="e">
        <f>VLOOKUP($A279,Register!$B$3:$E$1409,8,FALSE)</f>
        <v>#REF!</v>
      </c>
      <c r="E279" s="34" t="s">
        <v>148</v>
      </c>
    </row>
    <row r="280" spans="1:22" x14ac:dyDescent="0.25">
      <c r="A280" s="33" t="str" cm="1">
        <f t="array" ref="A280">IFERROR(INDEX(Register!$B$3:$B$1409,ROW(),0), "")</f>
        <v>IDS Imaging Development Systems Inc - US</v>
      </c>
      <c r="B280" s="32" t="e">
        <f>VLOOKUP($A280,Register!$B$3:$E$1409,6,FALSE)</f>
        <v>#REF!</v>
      </c>
      <c r="C280" s="32" t="e">
        <f>VLOOKUP($A280,Register!$B$3:$E$1409,7,FALSE)</f>
        <v>#REF!</v>
      </c>
      <c r="D280" s="32" t="e">
        <f>VLOOKUP($A280,Register!$B$3:$E$1409,8,FALSE)</f>
        <v>#REF!</v>
      </c>
      <c r="E280" s="34" t="s">
        <v>148</v>
      </c>
    </row>
    <row r="281" spans="1:22" x14ac:dyDescent="0.25">
      <c r="A281" s="33" t="str" cm="1">
        <f t="array" ref="A281">IFERROR(INDEX(Register!$B$3:$B$1409,ROW(),0), "")</f>
        <v>Industrial Specialties Mfg. Inc</v>
      </c>
      <c r="B281" s="32" t="e">
        <f>VLOOKUP($A281,Register!$B$3:$E$1409,6,FALSE)</f>
        <v>#REF!</v>
      </c>
      <c r="C281" s="32" t="e">
        <f>VLOOKUP($A281,Register!$B$3:$E$1409,7,FALSE)</f>
        <v>#REF!</v>
      </c>
      <c r="D281" s="32" t="e">
        <f>VLOOKUP($A281,Register!$B$3:$E$1409,8,FALSE)</f>
        <v>#REF!</v>
      </c>
      <c r="E281" s="34" t="s">
        <v>148</v>
      </c>
    </row>
    <row r="282" spans="1:22" x14ac:dyDescent="0.25">
      <c r="A282" s="33" t="str" cm="1">
        <f t="array" ref="A282">IFERROR(INDEX(Register!$B$3:$B$1409,ROW(),0), "")</f>
        <v>MK Fluidic Systems</v>
      </c>
      <c r="B282" s="32" t="e">
        <f>VLOOKUP($A282,Register!$B$3:$E$1409,6,FALSE)</f>
        <v>#REF!</v>
      </c>
      <c r="C282" s="32" t="e">
        <f>VLOOKUP($A282,Register!$B$3:$E$1409,7,FALSE)</f>
        <v>#REF!</v>
      </c>
      <c r="D282" s="32" t="e">
        <f>VLOOKUP($A282,Register!$B$3:$E$1409,8,FALSE)</f>
        <v>#REF!</v>
      </c>
      <c r="E282" s="34" t="s">
        <v>5210</v>
      </c>
      <c r="F282" s="34" t="s">
        <v>5211</v>
      </c>
    </row>
    <row r="283" spans="1:22" x14ac:dyDescent="0.25">
      <c r="A283" s="33" t="str" cm="1">
        <f t="array" ref="A283">IFERROR(INDEX(Register!$B$3:$B$1409,ROW(),0), "")</f>
        <v>TriContinent Scientific Inc.</v>
      </c>
      <c r="B283" s="32" t="e">
        <f>VLOOKUP($A283,Register!$B$3:$E$1409,6,FALSE)</f>
        <v>#REF!</v>
      </c>
      <c r="C283" s="32" t="e">
        <f>VLOOKUP($A283,Register!$B$3:$E$1409,7,FALSE)</f>
        <v>#REF!</v>
      </c>
      <c r="D283" s="32" t="e">
        <f>VLOOKUP($A283,Register!$B$3:$E$1409,8,FALSE)</f>
        <v>#REF!</v>
      </c>
      <c r="E283" s="34" t="s">
        <v>148</v>
      </c>
    </row>
    <row r="284" spans="1:22" x14ac:dyDescent="0.25">
      <c r="A284" s="33" t="str" cm="1">
        <f t="array" ref="A284">IFERROR(INDEX(Register!$B$3:$B$1409,ROW(),0), "")</f>
        <v>IKEA</v>
      </c>
      <c r="B284" s="32" t="e">
        <f>VLOOKUP($A284,Register!$B$3:$E$1409,6,FALSE)</f>
        <v>#REF!</v>
      </c>
      <c r="C284" s="32" t="e">
        <f>VLOOKUP($A284,Register!$B$3:$E$1409,7,FALSE)</f>
        <v>#REF!</v>
      </c>
      <c r="D284" s="32" t="e">
        <f>VLOOKUP($A284,Register!$B$3:$E$1409,8,FALSE)</f>
        <v>#REF!</v>
      </c>
      <c r="E284" s="34" t="s">
        <v>148</v>
      </c>
    </row>
    <row r="285" spans="1:22" x14ac:dyDescent="0.25">
      <c r="A285" s="33" t="str" cm="1">
        <f t="array" ref="A285">IFERROR(INDEX(Register!$B$3:$B$1409,ROW(),0), "")</f>
        <v>MODERN IN DESIGNS</v>
      </c>
      <c r="B285" s="32" t="e">
        <f>VLOOKUP($A285,Register!$B$3:$E$1409,6,FALSE)</f>
        <v>#REF!</v>
      </c>
      <c r="C285" s="32" t="e">
        <f>VLOOKUP($A285,Register!$B$3:$E$1409,7,FALSE)</f>
        <v>#REF!</v>
      </c>
      <c r="D285" s="32" t="e">
        <f>VLOOKUP($A285,Register!$B$3:$E$1409,8,FALSE)</f>
        <v>#REF!</v>
      </c>
      <c r="E285" s="34" t="s">
        <v>5212</v>
      </c>
      <c r="F285" s="34" t="s">
        <v>5213</v>
      </c>
      <c r="G285" s="34" t="s">
        <v>5214</v>
      </c>
      <c r="H285" s="34" t="s">
        <v>5215</v>
      </c>
      <c r="I285" s="34" t="s">
        <v>5216</v>
      </c>
      <c r="J285" s="34" t="s">
        <v>5217</v>
      </c>
      <c r="K285" s="34" t="s">
        <v>5218</v>
      </c>
      <c r="L285" s="32" t="s">
        <v>5219</v>
      </c>
      <c r="M285" s="32" t="s">
        <v>5220</v>
      </c>
      <c r="N285" s="32" t="s">
        <v>5221</v>
      </c>
      <c r="O285" s="32" t="s">
        <v>5222</v>
      </c>
      <c r="P285" s="32" t="s">
        <v>5223</v>
      </c>
      <c r="Q285" s="32" t="s">
        <v>5224</v>
      </c>
      <c r="R285" s="32" t="s">
        <v>5225</v>
      </c>
      <c r="S285" s="32" t="s">
        <v>5226</v>
      </c>
      <c r="T285" s="32" t="s">
        <v>5227</v>
      </c>
      <c r="U285" s="32" t="s">
        <v>5228</v>
      </c>
      <c r="V285" s="32" t="s">
        <v>5229</v>
      </c>
    </row>
    <row r="286" spans="1:22" x14ac:dyDescent="0.25">
      <c r="A286" s="33" t="str" cm="1">
        <f t="array" ref="A286">IFERROR(INDEX(Register!$B$3:$B$1409,ROW(),0), "")</f>
        <v>The NGP Unit Trust (T/A Niche Gas Products Pty Ltd)</v>
      </c>
      <c r="B286" s="32" t="e">
        <f>VLOOKUP($A286,Register!$B$3:$E$1409,6,FALSE)</f>
        <v>#REF!</v>
      </c>
      <c r="C286" s="32" t="e">
        <f>VLOOKUP($A286,Register!$B$3:$E$1409,7,FALSE)</f>
        <v>#REF!</v>
      </c>
      <c r="D286" s="32" t="e">
        <f>VLOOKUP($A286,Register!$B$3:$E$1409,8,FALSE)</f>
        <v>#REF!</v>
      </c>
      <c r="E286" s="34" t="s">
        <v>5230</v>
      </c>
      <c r="F286" s="34" t="s">
        <v>5231</v>
      </c>
    </row>
    <row r="287" spans="1:22" x14ac:dyDescent="0.25">
      <c r="A287" s="33" t="str" cm="1">
        <f t="array" ref="A287">IFERROR(INDEX(Register!$B$3:$B$1409,ROW(),0), "")</f>
        <v>PRAXAIR, INC./Linde Gas &amp; Equipment Inc.</v>
      </c>
      <c r="B287" s="32" t="e">
        <f>VLOOKUP($A287,Register!$B$3:$E$1409,6,FALSE)</f>
        <v>#REF!</v>
      </c>
      <c r="C287" s="32" t="e">
        <f>VLOOKUP($A287,Register!$B$3:$E$1409,7,FALSE)</f>
        <v>#REF!</v>
      </c>
      <c r="D287" s="32" t="e">
        <f>VLOOKUP($A287,Register!$B$3:$E$1409,8,FALSE)</f>
        <v>#REF!</v>
      </c>
      <c r="E287" s="34" t="s">
        <v>3048</v>
      </c>
    </row>
    <row r="288" spans="1:22" x14ac:dyDescent="0.25">
      <c r="A288" s="33" t="str" cm="1">
        <f t="array" ref="A288">IFERROR(INDEX(Register!$B$3:$B$1409,ROW(),0), "")</f>
        <v>ALPHA DIE CUTTING</v>
      </c>
      <c r="B288" s="32" t="e">
        <f>VLOOKUP($A288,Register!$B$3:$E$1409,6,FALSE)</f>
        <v>#REF!</v>
      </c>
      <c r="C288" s="32" t="e">
        <f>VLOOKUP($A288,Register!$B$3:$E$1409,7,FALSE)</f>
        <v>#REF!</v>
      </c>
      <c r="D288" s="32" t="e">
        <f>VLOOKUP($A288,Register!$B$3:$E$1409,8,FALSE)</f>
        <v>#REF!</v>
      </c>
      <c r="E288" s="34" t="s">
        <v>3196</v>
      </c>
    </row>
    <row r="289" spans="1:7" x14ac:dyDescent="0.25">
      <c r="A289" s="33" t="str" cm="1">
        <f t="array" ref="A289">IFERROR(INDEX(Register!$B$3:$B$1409,ROW(),0), "")</f>
        <v>CHAVERS GASKET CORPORATION</v>
      </c>
      <c r="B289" s="32" t="e">
        <f>VLOOKUP($A289,Register!$B$3:$E$1409,6,FALSE)</f>
        <v>#REF!</v>
      </c>
      <c r="C289" s="32" t="e">
        <f>VLOOKUP($A289,Register!$B$3:$E$1409,7,FALSE)</f>
        <v>#REF!</v>
      </c>
      <c r="D289" s="32" t="e">
        <f>VLOOKUP($A289,Register!$B$3:$E$1409,8,FALSE)</f>
        <v>#REF!</v>
      </c>
      <c r="E289" s="34" t="s">
        <v>3196</v>
      </c>
    </row>
    <row r="290" spans="1:7" x14ac:dyDescent="0.25">
      <c r="A290" s="33" t="str" cm="1">
        <f t="array" ref="A290">IFERROR(INDEX(Register!$B$3:$B$1409,ROW(),0), "")</f>
        <v>American Precision Gear Company Inc</v>
      </c>
      <c r="B290" s="32" t="e">
        <f>VLOOKUP($A290,Register!$B$3:$E$1409,6,FALSE)</f>
        <v>#REF!</v>
      </c>
      <c r="C290" s="32" t="e">
        <f>VLOOKUP($A290,Register!$B$3:$E$1409,7,FALSE)</f>
        <v>#REF!</v>
      </c>
      <c r="D290" s="32" t="e">
        <f>VLOOKUP($A290,Register!$B$3:$E$1409,8,FALSE)</f>
        <v>#REF!</v>
      </c>
      <c r="E290" s="34" t="s">
        <v>4877</v>
      </c>
    </row>
    <row r="291" spans="1:7" x14ac:dyDescent="0.25">
      <c r="A291" s="33" t="str" cm="1">
        <f t="array" ref="A291">IFERROR(INDEX(Register!$B$3:$B$1409,ROW(),0), "")</f>
        <v>WalMart Inc.</v>
      </c>
      <c r="B291" s="32" t="e">
        <f>VLOOKUP($A291,Register!$B$3:$E$1409,6,FALSE)</f>
        <v>#REF!</v>
      </c>
      <c r="C291" s="32" t="e">
        <f>VLOOKUP($A291,Register!$B$3:$E$1409,7,FALSE)</f>
        <v>#REF!</v>
      </c>
      <c r="D291" s="32" t="e">
        <f>VLOOKUP($A291,Register!$B$3:$E$1409,8,FALSE)</f>
        <v>#REF!</v>
      </c>
      <c r="E291" s="34" t="s">
        <v>148</v>
      </c>
    </row>
    <row r="292" spans="1:7" x14ac:dyDescent="0.25">
      <c r="A292" s="33" t="str" cm="1">
        <f t="array" ref="A292">IFERROR(INDEX(Register!$B$3:$B$1409,ROW(),0), "")</f>
        <v>Allround Glass and Glazing</v>
      </c>
      <c r="B292" s="32" t="e">
        <f>VLOOKUP($A292,Register!$B$3:$E$1409,6,FALSE)</f>
        <v>#REF!</v>
      </c>
      <c r="C292" s="32" t="e">
        <f>VLOOKUP($A292,Register!$B$3:$E$1409,7,FALSE)</f>
        <v>#REF!</v>
      </c>
      <c r="D292" s="32" t="e">
        <f>VLOOKUP($A292,Register!$B$3:$E$1409,8,FALSE)</f>
        <v>#REF!</v>
      </c>
      <c r="E292" s="34" t="s">
        <v>5164</v>
      </c>
    </row>
    <row r="293" spans="1:7" x14ac:dyDescent="0.25">
      <c r="A293" s="33" t="str" cm="1">
        <f t="array" ref="A293">IFERROR(INDEX(Register!$B$3:$B$1409,ROW(),0), "")</f>
        <v>FGS Glass Pty Ltd</v>
      </c>
      <c r="B293" s="32" t="e">
        <f>VLOOKUP($A293,Register!$B$3:$E$1409,6,FALSE)</f>
        <v>#REF!</v>
      </c>
      <c r="C293" s="32" t="e">
        <f>VLOOKUP($A293,Register!$B$3:$E$1409,7,FALSE)</f>
        <v>#REF!</v>
      </c>
      <c r="D293" s="32" t="e">
        <f>VLOOKUP($A293,Register!$B$3:$E$1409,8,FALSE)</f>
        <v>#REF!</v>
      </c>
      <c r="E293" s="34" t="s">
        <v>148</v>
      </c>
    </row>
    <row r="294" spans="1:7" x14ac:dyDescent="0.25">
      <c r="A294" s="33" t="str" cm="1">
        <f t="array" ref="A294">IFERROR(INDEX(Register!$B$3:$B$1409,ROW(),0), "")</f>
        <v>Schott North America, Inc</v>
      </c>
      <c r="B294" s="32" t="e">
        <f>VLOOKUP($A294,Register!$B$3:$E$1409,6,FALSE)</f>
        <v>#REF!</v>
      </c>
      <c r="C294" s="32" t="e">
        <f>VLOOKUP($A294,Register!$B$3:$E$1409,7,FALSE)</f>
        <v>#REF!</v>
      </c>
      <c r="D294" s="32" t="e">
        <f>VLOOKUP($A294,Register!$B$3:$E$1409,8,FALSE)</f>
        <v>#REF!</v>
      </c>
      <c r="E294" s="34" t="s">
        <v>148</v>
      </c>
    </row>
    <row r="295" spans="1:7" x14ac:dyDescent="0.25">
      <c r="A295" s="33" t="str" cm="1">
        <f t="array" ref="A295">IFERROR(INDEX(Register!$B$3:$B$1409,ROW(),0), "")</f>
        <v>LingYan Engineering (Hengshui Lingyan International Trade Co Ltd)</v>
      </c>
      <c r="B295" s="32" t="e">
        <f>VLOOKUP($A295,Register!$B$3:$E$1409,6,FALSE)</f>
        <v>#REF!</v>
      </c>
      <c r="C295" s="32" t="e">
        <f>VLOOKUP($A295,Register!$B$3:$E$1409,7,FALSE)</f>
        <v>#REF!</v>
      </c>
      <c r="D295" s="32" t="e">
        <f>VLOOKUP($A295,Register!$B$3:$E$1409,8,FALSE)</f>
        <v>#REF!</v>
      </c>
      <c r="E295" s="34" t="s">
        <v>148</v>
      </c>
    </row>
    <row r="296" spans="1:7" x14ac:dyDescent="0.25">
      <c r="A296" s="33" t="str" cm="1">
        <f t="array" ref="A296">IFERROR(INDEX(Register!$B$3:$B$1409,ROW(),0), "")</f>
        <v>Concept Latch, Lock &amp; Hinge (Aust) Pty Ltd (McNaughtan's P/L)</v>
      </c>
      <c r="B296" s="32" t="e">
        <f>VLOOKUP($A296,Register!$B$3:$E$1409,6,FALSE)</f>
        <v>#REF!</v>
      </c>
      <c r="C296" s="32" t="e">
        <f>VLOOKUP($A296,Register!$B$3:$E$1409,7,FALSE)</f>
        <v>#REF!</v>
      </c>
      <c r="D296" s="32" t="e">
        <f>VLOOKUP($A296,Register!$B$3:$E$1409,8,FALSE)</f>
        <v>#REF!</v>
      </c>
      <c r="E296" s="34" t="s">
        <v>3271</v>
      </c>
    </row>
    <row r="297" spans="1:7" x14ac:dyDescent="0.25">
      <c r="A297" s="33" t="str" cm="1">
        <f t="array" ref="A297">IFERROR(INDEX(Register!$B$3:$B$1409,ROW(),0), "")</f>
        <v>Matterhackers</v>
      </c>
      <c r="B297" s="32" t="e">
        <f>VLOOKUP($A297,Register!$B$3:$E$1409,6,FALSE)</f>
        <v>#REF!</v>
      </c>
      <c r="C297" s="32" t="e">
        <f>VLOOKUP($A297,Register!$B$3:$E$1409,7,FALSE)</f>
        <v>#REF!</v>
      </c>
      <c r="D297" s="32" t="e">
        <f>VLOOKUP($A297,Register!$B$3:$E$1409,8,FALSE)</f>
        <v>#REF!</v>
      </c>
      <c r="E297" s="34" t="s">
        <v>148</v>
      </c>
    </row>
    <row r="298" spans="1:7" x14ac:dyDescent="0.25">
      <c r="A298" s="33" t="str" cm="1">
        <f t="array" ref="A298">IFERROR(INDEX(Register!$B$3:$B$1409,ROW(),0), "")</f>
        <v>EHI Australia Pty Ltd</v>
      </c>
      <c r="B298" s="32" t="e">
        <f>VLOOKUP($A298,Register!$B$3:$E$1409,6,FALSE)</f>
        <v>#REF!</v>
      </c>
      <c r="C298" s="32" t="e">
        <f>VLOOKUP($A298,Register!$B$3:$E$1409,7,FALSE)</f>
        <v>#REF!</v>
      </c>
      <c r="D298" s="32" t="e">
        <f>VLOOKUP($A298,Register!$B$3:$E$1409,8,FALSE)</f>
        <v>#REF!</v>
      </c>
      <c r="E298" s="34" t="s">
        <v>148</v>
      </c>
    </row>
    <row r="299" spans="1:7" x14ac:dyDescent="0.25">
      <c r="A299" s="33" t="str" cm="1">
        <f t="array" ref="A299">IFERROR(INDEX(Register!$B$3:$B$1409,ROW(),0), "")</f>
        <v>KB3D LLC</v>
      </c>
      <c r="B299" s="32" t="e">
        <f>VLOOKUP($A299,Register!$B$3:$E$1409,6,FALSE)</f>
        <v>#REF!</v>
      </c>
      <c r="C299" s="32" t="e">
        <f>VLOOKUP($A299,Register!$B$3:$E$1409,7,FALSE)</f>
        <v>#REF!</v>
      </c>
      <c r="D299" s="32" t="e">
        <f>VLOOKUP($A299,Register!$B$3:$E$1409,8,FALSE)</f>
        <v>#REF!</v>
      </c>
      <c r="E299" s="34" t="s">
        <v>148</v>
      </c>
    </row>
    <row r="300" spans="1:7" x14ac:dyDescent="0.25">
      <c r="A300" s="33" t="str" cm="1">
        <f t="array" ref="A300">IFERROR(INDEX(Register!$B$3:$B$1409,ROW(),0), "")</f>
        <v>Penn Elcom Ltd</v>
      </c>
      <c r="B300" s="32" t="e">
        <f>VLOOKUP($A300,Register!$B$3:$E$1409,6,FALSE)</f>
        <v>#REF!</v>
      </c>
      <c r="C300" s="32" t="e">
        <f>VLOOKUP($A300,Register!$B$3:$E$1409,7,FALSE)</f>
        <v>#REF!</v>
      </c>
      <c r="D300" s="32" t="e">
        <f>VLOOKUP($A300,Register!$B$3:$E$1409,8,FALSE)</f>
        <v>#REF!</v>
      </c>
      <c r="E300" s="34" t="s">
        <v>148</v>
      </c>
    </row>
    <row r="301" spans="1:7" x14ac:dyDescent="0.25">
      <c r="A301" s="33" t="str" cm="1">
        <f t="array" ref="A301">IFERROR(INDEX(Register!$B$3:$B$1409,ROW(),0), "")</f>
        <v>National Healthcare Group Pte Ltd</v>
      </c>
      <c r="B301" s="32" t="e">
        <f>VLOOKUP($A301,Register!$B$3:$E$1409,6,FALSE)</f>
        <v>#REF!</v>
      </c>
      <c r="C301" s="32" t="e">
        <f>VLOOKUP($A301,Register!$B$3:$E$1409,7,FALSE)</f>
        <v>#REF!</v>
      </c>
      <c r="D301" s="32" t="e">
        <f>VLOOKUP($A301,Register!$B$3:$E$1409,8,FALSE)</f>
        <v>#REF!</v>
      </c>
      <c r="E301" s="34" t="s">
        <v>148</v>
      </c>
    </row>
    <row r="302" spans="1:7" x14ac:dyDescent="0.25">
      <c r="A302" s="33" t="str" cm="1">
        <f t="array" ref="A302">IFERROR(INDEX(Register!$B$3:$B$1409,ROW(),0), "")</f>
        <v>Jaye Heater Technology (Huizhou) Co Ltd</v>
      </c>
      <c r="B302" s="32" t="e">
        <f>VLOOKUP($A302,Register!$B$3:$E$1409,6,FALSE)</f>
        <v>#REF!</v>
      </c>
      <c r="C302" s="32" t="e">
        <f>VLOOKUP($A302,Register!$B$3:$E$1409,7,FALSE)</f>
        <v>#REF!</v>
      </c>
      <c r="D302" s="32" t="e">
        <f>VLOOKUP($A302,Register!$B$3:$E$1409,8,FALSE)</f>
        <v>#REF!</v>
      </c>
      <c r="E302" s="34" t="s">
        <v>148</v>
      </c>
    </row>
    <row r="303" spans="1:7" x14ac:dyDescent="0.25">
      <c r="A303" s="33" t="str" cm="1">
        <f t="array" ref="A303">IFERROR(INDEX(Register!$B$3:$B$1409,ROW(),0), "")</f>
        <v>COOL INNOVATIONS, INC.</v>
      </c>
      <c r="B303" s="32" t="e">
        <f>VLOOKUP($A303,Register!$B$3:$E$1409,6,FALSE)</f>
        <v>#REF!</v>
      </c>
      <c r="C303" s="32" t="e">
        <f>VLOOKUP($A303,Register!$B$3:$E$1409,7,FALSE)</f>
        <v>#REF!</v>
      </c>
      <c r="D303" s="32" t="e">
        <f>VLOOKUP($A303,Register!$B$3:$E$1409,8,FALSE)</f>
        <v>#REF!</v>
      </c>
      <c r="E303" s="34" t="s">
        <v>5232</v>
      </c>
    </row>
    <row r="304" spans="1:7" x14ac:dyDescent="0.25">
      <c r="A304" s="33" t="str" cm="1">
        <f t="array" ref="A304">IFERROR(INDEX(Register!$B$3:$B$1409,ROW(),0), "")</f>
        <v>NATIONAL PLASTIC HEATER</v>
      </c>
      <c r="B304" s="32" t="e">
        <f>VLOOKUP($A304,Register!$B$3:$E$1409,6,FALSE)</f>
        <v>#REF!</v>
      </c>
      <c r="C304" s="32" t="e">
        <f>VLOOKUP($A304,Register!$B$3:$E$1409,7,FALSE)</f>
        <v>#REF!</v>
      </c>
      <c r="D304" s="32" t="e">
        <f>VLOOKUP($A304,Register!$B$3:$E$1409,8,FALSE)</f>
        <v>#REF!</v>
      </c>
      <c r="E304" s="34" t="s">
        <v>2834</v>
      </c>
      <c r="F304" s="34" t="s">
        <v>5233</v>
      </c>
      <c r="G304" s="34" t="s">
        <v>5234</v>
      </c>
    </row>
    <row r="305" spans="1:7" x14ac:dyDescent="0.25">
      <c r="A305" s="33" t="str" cm="1">
        <f t="array" ref="A305">IFERROR(INDEX(Register!$B$3:$B$1409,ROW(),0), "")</f>
        <v>Shenzhen Ambeyond Technology Co Ltd</v>
      </c>
      <c r="B305" s="32" t="e">
        <f>VLOOKUP($A305,Register!$B$3:$E$1409,6,FALSE)</f>
        <v>#REF!</v>
      </c>
      <c r="C305" s="32" t="e">
        <f>VLOOKUP($A305,Register!$B$3:$E$1409,7,FALSE)</f>
        <v>#REF!</v>
      </c>
      <c r="D305" s="32" t="e">
        <f>VLOOKUP($A305,Register!$B$3:$E$1409,8,FALSE)</f>
        <v>#REF!</v>
      </c>
      <c r="E305" s="34" t="s">
        <v>148</v>
      </c>
    </row>
    <row r="306" spans="1:7" x14ac:dyDescent="0.25">
      <c r="A306" s="33" t="str" cm="1">
        <f t="array" ref="A306">IFERROR(INDEX(Register!$B$3:$B$1409,ROW(),0), "")</f>
        <v>TE TECHNOLOGY, INC. (US)</v>
      </c>
      <c r="B306" s="32" t="e">
        <f>VLOOKUP($A306,Register!$B$3:$E$1409,6,FALSE)</f>
        <v>#REF!</v>
      </c>
      <c r="C306" s="32" t="e">
        <f>VLOOKUP($A306,Register!$B$3:$E$1409,7,FALSE)</f>
        <v>#REF!</v>
      </c>
      <c r="D306" s="32" t="e">
        <f>VLOOKUP($A306,Register!$B$3:$E$1409,8,FALSE)</f>
        <v>#REF!</v>
      </c>
      <c r="E306" s="34" t="s">
        <v>148</v>
      </c>
    </row>
    <row r="307" spans="1:7" x14ac:dyDescent="0.25">
      <c r="A307" s="33" t="str" cm="1">
        <f t="array" ref="A307">IFERROR(INDEX(Register!$B$3:$B$1409,ROW(),0), "")</f>
        <v>Total Enviromental Managment Inc.</v>
      </c>
      <c r="B307" s="32" t="e">
        <f>VLOOKUP($A307,Register!$B$3:$E$1409,6,FALSE)</f>
        <v>#REF!</v>
      </c>
      <c r="C307" s="32" t="e">
        <f>VLOOKUP($A307,Register!$B$3:$E$1409,7,FALSE)</f>
        <v>#REF!</v>
      </c>
      <c r="D307" s="32" t="e">
        <f>VLOOKUP($A307,Register!$B$3:$E$1409,8,FALSE)</f>
        <v>#REF!</v>
      </c>
      <c r="E307" s="34" t="s">
        <v>3568</v>
      </c>
    </row>
    <row r="308" spans="1:7" x14ac:dyDescent="0.25">
      <c r="A308" s="33" t="str" cm="1">
        <f t="array" ref="A308">IFERROR(INDEX(Register!$B$3:$B$1409,ROW(),0), "")</f>
        <v>Cool Innovations Inc</v>
      </c>
      <c r="B308" s="32" t="e">
        <f>VLOOKUP($A308,Register!$B$3:$E$1409,6,FALSE)</f>
        <v>#REF!</v>
      </c>
      <c r="C308" s="32" t="e">
        <f>VLOOKUP($A308,Register!$B$3:$E$1409,7,FALSE)</f>
        <v>#REF!</v>
      </c>
      <c r="D308" s="32" t="e">
        <f>VLOOKUP($A308,Register!$B$3:$E$1409,8,FALSE)</f>
        <v>#REF!</v>
      </c>
      <c r="E308" s="34" t="s">
        <v>148</v>
      </c>
    </row>
    <row r="309" spans="1:7" x14ac:dyDescent="0.25">
      <c r="A309" s="33" t="str" cm="1">
        <f t="array" ref="A309">IFERROR(INDEX(Register!$B$3:$B$1409,ROW(),0), "")</f>
        <v>Koolance, Inc.</v>
      </c>
      <c r="B309" s="32" t="e">
        <f>VLOOKUP($A309,Register!$B$3:$E$1409,6,FALSE)</f>
        <v>#REF!</v>
      </c>
      <c r="C309" s="32" t="e">
        <f>VLOOKUP($A309,Register!$B$3:$E$1409,7,FALSE)</f>
        <v>#REF!</v>
      </c>
      <c r="D309" s="32" t="e">
        <f>VLOOKUP($A309,Register!$B$3:$E$1409,8,FALSE)</f>
        <v>#REF!</v>
      </c>
      <c r="E309" s="34" t="s">
        <v>1355</v>
      </c>
      <c r="F309" s="34" t="s">
        <v>5235</v>
      </c>
    </row>
    <row r="310" spans="1:7" x14ac:dyDescent="0.25">
      <c r="A310" s="33" t="str" cm="1">
        <f t="array" ref="A310">IFERROR(INDEX(Register!$B$3:$B$1409,ROW(),0), "")</f>
        <v>Taizhou Best Electric Appliances Co Ltd</v>
      </c>
      <c r="B310" s="32" t="e">
        <f>VLOOKUP($A310,Register!$B$3:$E$1409,6,FALSE)</f>
        <v>#REF!</v>
      </c>
      <c r="C310" s="32" t="e">
        <f>VLOOKUP($A310,Register!$B$3:$E$1409,7,FALSE)</f>
        <v>#REF!</v>
      </c>
      <c r="D310" s="32" t="e">
        <f>VLOOKUP($A310,Register!$B$3:$E$1409,8,FALSE)</f>
        <v>#REF!</v>
      </c>
      <c r="E310" s="34" t="s">
        <v>1355</v>
      </c>
      <c r="F310" s="34" t="s">
        <v>5235</v>
      </c>
    </row>
    <row r="311" spans="1:7" x14ac:dyDescent="0.25">
      <c r="A311" s="33" t="str" cm="1">
        <f t="array" ref="A311">IFERROR(INDEX(Register!$B$3:$B$1409,ROW(),0), "")</f>
        <v>Thermo Electric Devices Ltd.</v>
      </c>
      <c r="B311" s="32" t="e">
        <f>VLOOKUP($A311,Register!$B$3:$E$1409,6,FALSE)</f>
        <v>#REF!</v>
      </c>
      <c r="C311" s="32" t="e">
        <f>VLOOKUP($A311,Register!$B$3:$E$1409,7,FALSE)</f>
        <v>#REF!</v>
      </c>
      <c r="D311" s="32" t="e">
        <f>VLOOKUP($A311,Register!$B$3:$E$1409,8,FALSE)</f>
        <v>#REF!</v>
      </c>
      <c r="E311" s="34" t="s">
        <v>148</v>
      </c>
    </row>
    <row r="312" spans="1:7" x14ac:dyDescent="0.25">
      <c r="A312" s="33" t="str" cm="1">
        <f t="array" ref="A312">IFERROR(INDEX(Register!$B$3:$B$1409,ROW(),0), "")</f>
        <v>Phoenix Thermal Supply</v>
      </c>
      <c r="B312" s="32" t="e">
        <f>VLOOKUP($A312,Register!$B$3:$E$1409,6,FALSE)</f>
        <v>#REF!</v>
      </c>
      <c r="C312" s="32" t="e">
        <f>VLOOKUP($A312,Register!$B$3:$E$1409,7,FALSE)</f>
        <v>#REF!</v>
      </c>
      <c r="D312" s="32" t="e">
        <f>VLOOKUP($A312,Register!$B$3:$E$1409,8,FALSE)</f>
        <v>#REF!</v>
      </c>
      <c r="E312" s="34" t="s">
        <v>3098</v>
      </c>
    </row>
    <row r="313" spans="1:7" x14ac:dyDescent="0.25">
      <c r="A313" s="33" t="str" cm="1">
        <f t="array" ref="A313">IFERROR(INDEX(Register!$B$3:$B$1409,ROW(),0), "")</f>
        <v>REELL INNOVATIVE TORQUE SOLUTI</v>
      </c>
      <c r="B313" s="32" t="e">
        <f>VLOOKUP($A313,Register!$B$3:$E$1409,6,FALSE)</f>
        <v>#REF!</v>
      </c>
      <c r="C313" s="32" t="e">
        <f>VLOOKUP($A313,Register!$B$3:$E$1409,7,FALSE)</f>
        <v>#REF!</v>
      </c>
      <c r="D313" s="32" t="e">
        <f>VLOOKUP($A313,Register!$B$3:$E$1409,8,FALSE)</f>
        <v>#REF!</v>
      </c>
      <c r="E313" s="34" t="s">
        <v>4877</v>
      </c>
    </row>
    <row r="314" spans="1:7" x14ac:dyDescent="0.25">
      <c r="A314" s="33" t="str" cm="1">
        <f t="array" ref="A314">IFERROR(INDEX(Register!$B$3:$B$1409,ROW(),0), "")</f>
        <v>Briter Australasia (Cre8tech Image Solutions Pty L</v>
      </c>
      <c r="B314" s="32" t="e">
        <f>VLOOKUP($A314,Register!$B$3:$E$1409,6,FALSE)</f>
        <v>#REF!</v>
      </c>
      <c r="C314" s="32" t="e">
        <f>VLOOKUP($A314,Register!$B$3:$E$1409,7,FALSE)</f>
        <v>#REF!</v>
      </c>
      <c r="D314" s="32" t="e">
        <f>VLOOKUP($A314,Register!$B$3:$E$1409,8,FALSE)</f>
        <v>#REF!</v>
      </c>
      <c r="E314" s="34" t="s">
        <v>148</v>
      </c>
    </row>
    <row r="315" spans="1:7" x14ac:dyDescent="0.25">
      <c r="A315" s="33" t="str" cm="1">
        <f t="array" ref="A315">IFERROR(INDEX(Register!$B$3:$B$1409,ROW(),0), "")</f>
        <v>Ideal Jacobs (Xiamen) Corporation</v>
      </c>
      <c r="B315" s="32" t="e">
        <f>VLOOKUP($A315,Register!$B$3:$E$1409,6,FALSE)</f>
        <v>#REF!</v>
      </c>
      <c r="C315" s="32" t="e">
        <f>VLOOKUP($A315,Register!$B$3:$E$1409,7,FALSE)</f>
        <v>#REF!</v>
      </c>
      <c r="D315" s="32" t="e">
        <f>VLOOKUP($A315,Register!$B$3:$E$1409,8,FALSE)</f>
        <v>#REF!</v>
      </c>
      <c r="E315" s="34" t="s">
        <v>148</v>
      </c>
    </row>
    <row r="316" spans="1:7" x14ac:dyDescent="0.25">
      <c r="A316" s="33" t="str" cm="1">
        <f t="array" ref="A316">IFERROR(INDEX(Register!$B$3:$B$1409,ROW(),0), "")</f>
        <v>Microtips Technology LLC.</v>
      </c>
      <c r="B316" s="32" t="e">
        <f>VLOOKUP($A316,Register!$B$3:$E$1409,6,FALSE)</f>
        <v>#REF!</v>
      </c>
      <c r="C316" s="32" t="e">
        <f>VLOOKUP($A316,Register!$B$3:$E$1409,7,FALSE)</f>
        <v>#REF!</v>
      </c>
      <c r="D316" s="32" t="e">
        <f>VLOOKUP($A316,Register!$B$3:$E$1409,8,FALSE)</f>
        <v>#REF!</v>
      </c>
      <c r="E316" s="34" t="s">
        <v>148</v>
      </c>
    </row>
    <row r="317" spans="1:7" x14ac:dyDescent="0.25">
      <c r="A317" s="33" t="str" cm="1">
        <f t="array" ref="A317">IFERROR(INDEX(Register!$B$3:$B$1409,ROW(),0), "")</f>
        <v>Newhaven Display International</v>
      </c>
      <c r="B317" s="32" t="e">
        <f>VLOOKUP($A317,Register!$B$3:$E$1409,6,FALSE)</f>
        <v>#REF!</v>
      </c>
      <c r="C317" s="32" t="e">
        <f>VLOOKUP($A317,Register!$B$3:$E$1409,7,FALSE)</f>
        <v>#REF!</v>
      </c>
      <c r="D317" s="32" t="e">
        <f>VLOOKUP($A317,Register!$B$3:$E$1409,8,FALSE)</f>
        <v>#REF!</v>
      </c>
      <c r="E317" s="34" t="s">
        <v>5236</v>
      </c>
    </row>
    <row r="318" spans="1:7" x14ac:dyDescent="0.25">
      <c r="A318" s="33" t="str" cm="1">
        <f t="array" ref="A318">IFERROR(INDEX(Register!$B$3:$B$1409,ROW(),0), "")</f>
        <v>NORITAKE COMPANY, INC.</v>
      </c>
      <c r="B318" s="32" t="e">
        <f>VLOOKUP($A318,Register!$B$3:$E$1409,6,FALSE)</f>
        <v>#REF!</v>
      </c>
      <c r="C318" s="32" t="e">
        <f>VLOOKUP($A318,Register!$B$3:$E$1409,7,FALSE)</f>
        <v>#REF!</v>
      </c>
      <c r="D318" s="32" t="e">
        <f>VLOOKUP($A318,Register!$B$3:$E$1409,8,FALSE)</f>
        <v>#REF!</v>
      </c>
      <c r="E318" s="34" t="s">
        <v>148</v>
      </c>
    </row>
    <row r="319" spans="1:7" x14ac:dyDescent="0.25">
      <c r="A319" s="33" t="str" cm="1">
        <f t="array" ref="A319">IFERROR(INDEX(Register!$B$3:$B$1409,ROW(),0), "")</f>
        <v>Permark Industries (Aust) Pty Ltd</v>
      </c>
      <c r="B319" s="32" t="e">
        <f>VLOOKUP($A319,Register!$B$3:$E$1409,6,FALSE)</f>
        <v>#REF!</v>
      </c>
      <c r="C319" s="32" t="e">
        <f>VLOOKUP($A319,Register!$B$3:$E$1409,7,FALSE)</f>
        <v>#REF!</v>
      </c>
      <c r="D319" s="32" t="e">
        <f>VLOOKUP($A319,Register!$B$3:$E$1409,8,FALSE)</f>
        <v>#REF!</v>
      </c>
      <c r="E319" s="34" t="s">
        <v>1774</v>
      </c>
      <c r="F319" s="34" t="s">
        <v>5237</v>
      </c>
      <c r="G319" s="34" t="s">
        <v>5238</v>
      </c>
    </row>
    <row r="320" spans="1:7" x14ac:dyDescent="0.25">
      <c r="A320" s="33" t="str" cm="1">
        <f t="array" ref="A320">IFERROR(INDEX(Register!$B$3:$B$1409,ROW(),0), "")</f>
        <v>Reach Technology Inc</v>
      </c>
      <c r="B320" s="32" t="e">
        <f>VLOOKUP($A320,Register!$B$3:$E$1409,6,FALSE)</f>
        <v>#REF!</v>
      </c>
      <c r="C320" s="32" t="e">
        <f>VLOOKUP($A320,Register!$B$3:$E$1409,7,FALSE)</f>
        <v>#REF!</v>
      </c>
      <c r="D320" s="32" t="e">
        <f>VLOOKUP($A320,Register!$B$3:$E$1409,8,FALSE)</f>
        <v>#REF!</v>
      </c>
      <c r="E320" s="34" t="s">
        <v>5072</v>
      </c>
    </row>
    <row r="321" spans="1:6" x14ac:dyDescent="0.25">
      <c r="A321" s="33" t="str" cm="1">
        <f t="array" ref="A321">IFERROR(INDEX(Register!$B$3:$B$1409,ROW(),0), "")</f>
        <v>Reid Industrial Graphic Products</v>
      </c>
      <c r="B321" s="32" t="e">
        <f>VLOOKUP($A321,Register!$B$3:$E$1409,6,FALSE)</f>
        <v>#REF!</v>
      </c>
      <c r="C321" s="32" t="e">
        <f>VLOOKUP($A321,Register!$B$3:$E$1409,7,FALSE)</f>
        <v>#REF!</v>
      </c>
      <c r="D321" s="32" t="e">
        <f>VLOOKUP($A321,Register!$B$3:$E$1409,8,FALSE)</f>
        <v>#REF!</v>
      </c>
      <c r="E321" s="34" t="s">
        <v>5072</v>
      </c>
    </row>
    <row r="322" spans="1:6" x14ac:dyDescent="0.25">
      <c r="A322" s="33" t="str" cm="1">
        <f t="array" ref="A322">IFERROR(INDEX(Register!$B$3:$B$1409,ROW(),0), "")</f>
        <v>SEFORM ELECTRONICS CO., LTD.</v>
      </c>
      <c r="B322" s="32" t="e">
        <f>VLOOKUP($A322,Register!$B$3:$E$1409,6,FALSE)</f>
        <v>#REF!</v>
      </c>
      <c r="C322" s="32" t="e">
        <f>VLOOKUP($A322,Register!$B$3:$E$1409,7,FALSE)</f>
        <v>#REF!</v>
      </c>
      <c r="D322" s="32" t="e">
        <f>VLOOKUP($A322,Register!$B$3:$E$1409,8,FALSE)</f>
        <v>#REF!</v>
      </c>
      <c r="E322" s="34" t="s">
        <v>5072</v>
      </c>
    </row>
    <row r="323" spans="1:6" x14ac:dyDescent="0.25">
      <c r="A323" s="33" t="str" cm="1">
        <f t="array" ref="A323">IFERROR(INDEX(Register!$B$3:$B$1409,ROW(),0), "")</f>
        <v>STEVEN LABEL CORP</v>
      </c>
      <c r="B323" s="32" t="e">
        <f>VLOOKUP($A323,Register!$B$3:$E$1409,6,FALSE)</f>
        <v>#REF!</v>
      </c>
      <c r="C323" s="32" t="e">
        <f>VLOOKUP($A323,Register!$B$3:$E$1409,7,FALSE)</f>
        <v>#REF!</v>
      </c>
      <c r="D323" s="32" t="e">
        <f>VLOOKUP($A323,Register!$B$3:$E$1409,8,FALSE)</f>
        <v>#REF!</v>
      </c>
      <c r="E323" s="34" t="s">
        <v>148</v>
      </c>
    </row>
    <row r="324" spans="1:6" x14ac:dyDescent="0.25">
      <c r="A324" s="33" t="str" cm="1">
        <f t="array" ref="A324">IFERROR(INDEX(Register!$B$3:$B$1409,ROW(),0), "")</f>
        <v>Zabel Technik GmbH</v>
      </c>
      <c r="B324" s="32" t="e">
        <f>VLOOKUP($A324,Register!$B$3:$E$1409,6,FALSE)</f>
        <v>#REF!</v>
      </c>
      <c r="C324" s="32" t="e">
        <f>VLOOKUP($A324,Register!$B$3:$E$1409,7,FALSE)</f>
        <v>#REF!</v>
      </c>
      <c r="D324" s="32" t="e">
        <f>VLOOKUP($A324,Register!$B$3:$E$1409,8,FALSE)</f>
        <v>#REF!</v>
      </c>
      <c r="E324" s="34" t="s">
        <v>148</v>
      </c>
    </row>
    <row r="325" spans="1:6" x14ac:dyDescent="0.25">
      <c r="A325" s="33" t="str" cm="1">
        <f t="array" ref="A325">IFERROR(INDEX(Register!$B$3:$B$1409,ROW(),0), "")</f>
        <v>ACI Technologies Inc.</v>
      </c>
      <c r="B325" s="32" t="e">
        <f>VLOOKUP($A325,Register!$B$3:$E$1409,6,FALSE)</f>
        <v>#REF!</v>
      </c>
      <c r="C325" s="32" t="e">
        <f>VLOOKUP($A325,Register!$B$3:$E$1409,7,FALSE)</f>
        <v>#REF!</v>
      </c>
      <c r="D325" s="32" t="e">
        <f>VLOOKUP($A325,Register!$B$3:$E$1409,8,FALSE)</f>
        <v>#REF!</v>
      </c>
      <c r="E325" s="34" t="s">
        <v>5239</v>
      </c>
    </row>
    <row r="326" spans="1:6" x14ac:dyDescent="0.25">
      <c r="A326" s="33" t="str" cm="1">
        <f t="array" ref="A326">IFERROR(INDEX(Register!$B$3:$B$1409,ROW(),0), "")</f>
        <v>APOLLO DISPLAY TECH. CORP.</v>
      </c>
      <c r="B326" s="32" t="e">
        <f>VLOOKUP($A326,Register!$B$3:$E$1409,6,FALSE)</f>
        <v>#REF!</v>
      </c>
      <c r="C326" s="32" t="e">
        <f>VLOOKUP($A326,Register!$B$3:$E$1409,7,FALSE)</f>
        <v>#REF!</v>
      </c>
      <c r="D326" s="32" t="e">
        <f>VLOOKUP($A326,Register!$B$3:$E$1409,8,FALSE)</f>
        <v>#REF!</v>
      </c>
      <c r="E326" s="34" t="s">
        <v>1774</v>
      </c>
      <c r="F326" s="34" t="s">
        <v>5240</v>
      </c>
    </row>
    <row r="327" spans="1:6" x14ac:dyDescent="0.25">
      <c r="A327" s="33" t="str" cm="1">
        <f t="array" ref="A327">IFERROR(INDEX(Register!$B$3:$B$1409,ROW(),0), "")</f>
        <v>Densitron</v>
      </c>
      <c r="B327" s="32" t="e">
        <f>VLOOKUP($A327,Register!$B$3:$E$1409,6,FALSE)</f>
        <v>#REF!</v>
      </c>
      <c r="C327" s="32" t="e">
        <f>VLOOKUP($A327,Register!$B$3:$E$1409,7,FALSE)</f>
        <v>#REF!</v>
      </c>
      <c r="D327" s="32" t="e">
        <f>VLOOKUP($A327,Register!$B$3:$E$1409,8,FALSE)</f>
        <v>#REF!</v>
      </c>
      <c r="E327" s="34" t="s">
        <v>148</v>
      </c>
    </row>
    <row r="328" spans="1:6" x14ac:dyDescent="0.25">
      <c r="A328" s="33" t="str" cm="1">
        <f t="array" ref="A328">IFERROR(INDEX(Register!$B$3:$B$1409,ROW(),0), "")</f>
        <v>DENSITRON CORPORATION</v>
      </c>
      <c r="B328" s="32" t="e">
        <f>VLOOKUP($A328,Register!$B$3:$E$1409,6,FALSE)</f>
        <v>#REF!</v>
      </c>
      <c r="C328" s="32" t="e">
        <f>VLOOKUP($A328,Register!$B$3:$E$1409,7,FALSE)</f>
        <v>#REF!</v>
      </c>
      <c r="D328" s="32" t="e">
        <f>VLOOKUP($A328,Register!$B$3:$E$1409,8,FALSE)</f>
        <v>#REF!</v>
      </c>
      <c r="E328" s="34" t="s">
        <v>148</v>
      </c>
    </row>
    <row r="329" spans="1:6" x14ac:dyDescent="0.25">
      <c r="A329" s="33" t="str" cm="1">
        <f t="array" ref="A329">IFERROR(INDEX(Register!$B$3:$B$1409,ROW(),0), "")</f>
        <v>Momemtun P/L</v>
      </c>
      <c r="B329" s="32" t="e">
        <f>VLOOKUP($A329,Register!$B$3:$E$1409,6,FALSE)</f>
        <v>#REF!</v>
      </c>
      <c r="C329" s="32" t="e">
        <f>VLOOKUP($A329,Register!$B$3:$E$1409,7,FALSE)</f>
        <v>#REF!</v>
      </c>
      <c r="D329" s="32" t="e">
        <f>VLOOKUP($A329,Register!$B$3:$E$1409,8,FALSE)</f>
        <v>#REF!</v>
      </c>
      <c r="E329" s="34" t="s">
        <v>148</v>
      </c>
    </row>
    <row r="330" spans="1:6" x14ac:dyDescent="0.25">
      <c r="A330" s="33" t="str" cm="1">
        <f t="array" ref="A330">IFERROR(INDEX(Register!$B$3:$B$1409,ROW(),0), "")</f>
        <v>DIGITAL NETWORK VISION, LLC</v>
      </c>
      <c r="B330" s="32" t="e">
        <f>VLOOKUP($A330,Register!$B$3:$E$1409,6,FALSE)</f>
        <v>#REF!</v>
      </c>
      <c r="C330" s="32" t="e">
        <f>VLOOKUP($A330,Register!$B$3:$E$1409,7,FALSE)</f>
        <v>#REF!</v>
      </c>
      <c r="D330" s="32" t="e">
        <f>VLOOKUP($A330,Register!$B$3:$E$1409,8,FALSE)</f>
        <v>#REF!</v>
      </c>
      <c r="E330" s="34" t="s">
        <v>5241</v>
      </c>
    </row>
    <row r="331" spans="1:6" x14ac:dyDescent="0.25">
      <c r="A331" s="33" t="str" cm="1">
        <f t="array" ref="A331">IFERROR(INDEX(Register!$B$3:$B$1409,ROW(),0), "")</f>
        <v>Pixelink Inc</v>
      </c>
      <c r="B331" s="32" t="e">
        <f>VLOOKUP($A331,Register!$B$3:$E$1409,6,FALSE)</f>
        <v>#REF!</v>
      </c>
      <c r="C331" s="32" t="e">
        <f>VLOOKUP($A331,Register!$B$3:$E$1409,7,FALSE)</f>
        <v>#REF!</v>
      </c>
      <c r="D331" s="32" t="e">
        <f>VLOOKUP($A331,Register!$B$3:$E$1409,8,FALSE)</f>
        <v>#REF!</v>
      </c>
      <c r="E331" s="34" t="s">
        <v>148</v>
      </c>
    </row>
    <row r="332" spans="1:6" x14ac:dyDescent="0.25">
      <c r="A332" s="33" t="str" cm="1">
        <f t="array" ref="A332">IFERROR(INDEX(Register!$B$3:$B$1409,ROW(),0), "")</f>
        <v>Voltrium Systems Pte Ltd.</v>
      </c>
      <c r="B332" s="32" t="e">
        <f>VLOOKUP($A332,Register!$B$3:$E$1409,6,FALSE)</f>
        <v>#REF!</v>
      </c>
      <c r="C332" s="32" t="e">
        <f>VLOOKUP($A332,Register!$B$3:$E$1409,7,FALSE)</f>
        <v>#REF!</v>
      </c>
      <c r="D332" s="32" t="e">
        <f>VLOOKUP($A332,Register!$B$3:$E$1409,8,FALSE)</f>
        <v>#REF!</v>
      </c>
      <c r="E332" s="34" t="s">
        <v>3538</v>
      </c>
    </row>
    <row r="333" spans="1:6" x14ac:dyDescent="0.25">
      <c r="A333" s="33" t="str" cm="1">
        <f t="array" ref="A333">IFERROR(INDEX(Register!$B$3:$B$1409,ROW(),0), "")</f>
        <v>DCISIV Technologies Pty Ltd</v>
      </c>
      <c r="B333" s="32" t="e">
        <f>VLOOKUP($A333,Register!$B$3:$E$1409,6,FALSE)</f>
        <v>#REF!</v>
      </c>
      <c r="C333" s="32" t="e">
        <f>VLOOKUP($A333,Register!$B$3:$E$1409,7,FALSE)</f>
        <v>#REF!</v>
      </c>
      <c r="D333" s="32" t="e">
        <f>VLOOKUP($A333,Register!$B$3:$E$1409,8,FALSE)</f>
        <v>#REF!</v>
      </c>
      <c r="E333" s="34" t="s">
        <v>148</v>
      </c>
    </row>
    <row r="334" spans="1:6" x14ac:dyDescent="0.25">
      <c r="A334" s="33" t="str" cm="1">
        <f t="array" ref="A334">IFERROR(INDEX(Register!$B$3:$B$1409,ROW(),0), "")</f>
        <v>Applied Manufacturing Technologies</v>
      </c>
      <c r="B334" s="32" t="e">
        <f>VLOOKUP($A334,Register!$B$3:$E$1409,6,FALSE)</f>
        <v>#REF!</v>
      </c>
      <c r="C334" s="32" t="e">
        <f>VLOOKUP($A334,Register!$B$3:$E$1409,7,FALSE)</f>
        <v>#REF!</v>
      </c>
      <c r="D334" s="32" t="e">
        <f>VLOOKUP($A334,Register!$B$3:$E$1409,8,FALSE)</f>
        <v>#REF!</v>
      </c>
      <c r="E334" s="34" t="s">
        <v>148</v>
      </c>
    </row>
    <row r="335" spans="1:6" x14ac:dyDescent="0.25">
      <c r="A335" s="33" t="str" cm="1">
        <f t="array" ref="A335">IFERROR(INDEX(Register!$B$3:$B$1409,ROW(),0), "")</f>
        <v>CLAYTON CONTROLS</v>
      </c>
      <c r="B335" s="32" t="e">
        <f>VLOOKUP($A335,Register!$B$3:$E$1409,6,FALSE)</f>
        <v>#REF!</v>
      </c>
      <c r="C335" s="32" t="e">
        <f>VLOOKUP($A335,Register!$B$3:$E$1409,7,FALSE)</f>
        <v>#REF!</v>
      </c>
      <c r="D335" s="32" t="e">
        <f>VLOOKUP($A335,Register!$B$3:$E$1409,8,FALSE)</f>
        <v>#REF!</v>
      </c>
      <c r="E335" s="34" t="s">
        <v>148</v>
      </c>
    </row>
    <row r="336" spans="1:6" x14ac:dyDescent="0.25">
      <c r="A336" s="33" t="str" cm="1">
        <f t="array" ref="A336">IFERROR(INDEX(Register!$B$3:$B$1409,ROW(),0), "")</f>
        <v>Cognex Corp</v>
      </c>
      <c r="B336" s="32" t="e">
        <f>VLOOKUP($A336,Register!$B$3:$E$1409,6,FALSE)</f>
        <v>#REF!</v>
      </c>
      <c r="C336" s="32" t="e">
        <f>VLOOKUP($A336,Register!$B$3:$E$1409,7,FALSE)</f>
        <v>#REF!</v>
      </c>
      <c r="D336" s="32" t="e">
        <f>VLOOKUP($A336,Register!$B$3:$E$1409,8,FALSE)</f>
        <v>#REF!</v>
      </c>
      <c r="E336" s="34" t="s">
        <v>5242</v>
      </c>
    </row>
    <row r="337" spans="1:10" x14ac:dyDescent="0.25">
      <c r="A337" s="33" t="str" cm="1">
        <f t="array" ref="A337">IFERROR(INDEX(Register!$B$3:$B$1409,ROW(),0), "")</f>
        <v>APS Industrial Pty Ltd</v>
      </c>
      <c r="B337" s="32" t="e">
        <f>VLOOKUP($A337,Register!$B$3:$E$1409,6,FALSE)</f>
        <v>#REF!</v>
      </c>
      <c r="C337" s="32" t="e">
        <f>VLOOKUP($A337,Register!$B$3:$E$1409,7,FALSE)</f>
        <v>#REF!</v>
      </c>
      <c r="D337" s="32" t="e">
        <f>VLOOKUP($A337,Register!$B$3:$E$1409,8,FALSE)</f>
        <v>#REF!</v>
      </c>
      <c r="E337" s="34" t="s">
        <v>148</v>
      </c>
    </row>
    <row r="338" spans="1:10" x14ac:dyDescent="0.25">
      <c r="A338" s="33" t="str" cm="1">
        <f t="array" ref="A338">IFERROR(INDEX(Register!$B$3:$B$1409,ROW(),0), "")</f>
        <v>Arlin Components &amp; Hardware</v>
      </c>
      <c r="B338" s="32" t="e">
        <f>VLOOKUP($A338,Register!$B$3:$E$1409,6,FALSE)</f>
        <v>#REF!</v>
      </c>
      <c r="C338" s="32" t="e">
        <f>VLOOKUP($A338,Register!$B$3:$E$1409,7,FALSE)</f>
        <v>#REF!</v>
      </c>
      <c r="D338" s="32" t="e">
        <f>VLOOKUP($A338,Register!$B$3:$E$1409,8,FALSE)</f>
        <v>#REF!</v>
      </c>
      <c r="E338" s="34" t="s">
        <v>5243</v>
      </c>
    </row>
    <row r="339" spans="1:10" x14ac:dyDescent="0.25">
      <c r="A339" s="33" t="str" cm="1">
        <f t="array" ref="A339">IFERROR(INDEX(Register!$B$3:$B$1409,ROW(),0), "")</f>
        <v>Cathtip</v>
      </c>
      <c r="B339" s="32" t="e">
        <f>VLOOKUP($A339,Register!$B$3:$E$1409,6,FALSE)</f>
        <v>#REF!</v>
      </c>
      <c r="C339" s="32" t="e">
        <f>VLOOKUP($A339,Register!$B$3:$E$1409,7,FALSE)</f>
        <v>#REF!</v>
      </c>
      <c r="D339" s="32" t="e">
        <f>VLOOKUP($A339,Register!$B$3:$E$1409,8,FALSE)</f>
        <v>#REF!</v>
      </c>
      <c r="E339" s="34" t="s">
        <v>148</v>
      </c>
    </row>
    <row r="340" spans="1:10" x14ac:dyDescent="0.25">
      <c r="A340" s="33" t="str" cm="1">
        <f t="array" ref="A340">IFERROR(INDEX(Register!$B$3:$B$1409,ROW(),0), "")</f>
        <v>Motion Solutions Australia Pty Ltd</v>
      </c>
      <c r="B340" s="32" t="e">
        <f>VLOOKUP($A340,Register!$B$3:$E$1409,6,FALSE)</f>
        <v>#REF!</v>
      </c>
      <c r="C340" s="32" t="e">
        <f>VLOOKUP($A340,Register!$B$3:$E$1409,7,FALSE)</f>
        <v>#REF!</v>
      </c>
      <c r="D340" s="32" t="e">
        <f>VLOOKUP($A340,Register!$B$3:$E$1409,8,FALSE)</f>
        <v>#REF!</v>
      </c>
      <c r="E340" s="34" t="s">
        <v>5244</v>
      </c>
      <c r="F340" s="34" t="s">
        <v>5245</v>
      </c>
      <c r="G340" s="34" t="s">
        <v>5246</v>
      </c>
      <c r="H340" s="34" t="s">
        <v>5247</v>
      </c>
      <c r="I340" s="34" t="s">
        <v>5248</v>
      </c>
      <c r="J340" s="34" t="s">
        <v>5249</v>
      </c>
    </row>
    <row r="341" spans="1:10" x14ac:dyDescent="0.25">
      <c r="A341" s="33" t="str" cm="1">
        <f t="array" ref="A341">IFERROR(INDEX(Register!$B$3:$B$1409,ROW(),0), "")</f>
        <v>Treotham Automation Pty Ltd</v>
      </c>
      <c r="B341" s="32" t="e">
        <f>VLOOKUP($A341,Register!$B$3:$E$1409,6,FALSE)</f>
        <v>#REF!</v>
      </c>
      <c r="C341" s="32" t="e">
        <f>VLOOKUP($A341,Register!$B$3:$E$1409,7,FALSE)</f>
        <v>#REF!</v>
      </c>
      <c r="D341" s="32" t="e">
        <f>VLOOKUP($A341,Register!$B$3:$E$1409,8,FALSE)</f>
        <v>#REF!</v>
      </c>
      <c r="E341" s="34" t="s">
        <v>5250</v>
      </c>
      <c r="F341" s="34" t="s">
        <v>5251</v>
      </c>
    </row>
    <row r="342" spans="1:10" x14ac:dyDescent="0.25">
      <c r="A342" s="33" t="str" cm="1">
        <f t="array" ref="A342">IFERROR(INDEX(Register!$B$3:$B$1409,ROW(),0), "")</f>
        <v>Tro Pacific Holdings</v>
      </c>
      <c r="B342" s="32" t="e">
        <f>VLOOKUP($A342,Register!$B$3:$E$1409,6,FALSE)</f>
        <v>#REF!</v>
      </c>
      <c r="C342" s="32" t="e">
        <f>VLOOKUP($A342,Register!$B$3:$E$1409,7,FALSE)</f>
        <v>#REF!</v>
      </c>
      <c r="D342" s="32" t="e">
        <f>VLOOKUP($A342,Register!$B$3:$E$1409,8,FALSE)</f>
        <v>#REF!</v>
      </c>
      <c r="E342" s="34" t="s">
        <v>148</v>
      </c>
    </row>
    <row r="343" spans="1:10" x14ac:dyDescent="0.25">
      <c r="A343" s="33" t="str" cm="1">
        <f t="array" ref="A343">IFERROR(INDEX(Register!$B$3:$B$1409,ROW(),0), "")</f>
        <v>Tro Pacific Holdings Pty Ltd</v>
      </c>
      <c r="B343" s="32" t="e">
        <f>VLOOKUP($A343,Register!$B$3:$E$1409,6,FALSE)</f>
        <v>#REF!</v>
      </c>
      <c r="C343" s="32" t="e">
        <f>VLOOKUP($A343,Register!$B$3:$E$1409,7,FALSE)</f>
        <v>#REF!</v>
      </c>
      <c r="D343" s="32" t="e">
        <f>VLOOKUP($A343,Register!$B$3:$E$1409,8,FALSE)</f>
        <v>#REF!</v>
      </c>
      <c r="E343" s="34" t="s">
        <v>148</v>
      </c>
    </row>
    <row r="344" spans="1:10" x14ac:dyDescent="0.25">
      <c r="A344" s="33" t="str" cm="1">
        <f t="array" ref="A344">IFERROR(INDEX(Register!$B$3:$B$1409,ROW(),0), "")</f>
        <v>GAMMA SCIENTIFIC INC.</v>
      </c>
      <c r="B344" s="32" t="e">
        <f>VLOOKUP($A344,Register!$B$3:$E$1409,6,FALSE)</f>
        <v>#REF!</v>
      </c>
      <c r="C344" s="32" t="e">
        <f>VLOOKUP($A344,Register!$B$3:$E$1409,7,FALSE)</f>
        <v>#REF!</v>
      </c>
      <c r="D344" s="32" t="e">
        <f>VLOOKUP($A344,Register!$B$3:$E$1409,8,FALSE)</f>
        <v>#REF!</v>
      </c>
      <c r="E344" s="34" t="s">
        <v>148</v>
      </c>
    </row>
    <row r="345" spans="1:10" x14ac:dyDescent="0.25">
      <c r="A345" s="33" t="str" cm="1">
        <f t="array" ref="A345">IFERROR(INDEX(Register!$B$3:$B$1409,ROW(),0), "")</f>
        <v>Bay Advanced Technologies LLC</v>
      </c>
      <c r="B345" s="32" t="e">
        <f>VLOOKUP($A345,Register!$B$3:$E$1409,6,FALSE)</f>
        <v>#REF!</v>
      </c>
      <c r="C345" s="32" t="e">
        <f>VLOOKUP($A345,Register!$B$3:$E$1409,7,FALSE)</f>
        <v>#REF!</v>
      </c>
      <c r="D345" s="32" t="e">
        <f>VLOOKUP($A345,Register!$B$3:$E$1409,8,FALSE)</f>
        <v>#REF!</v>
      </c>
      <c r="E345" s="34" t="s">
        <v>148</v>
      </c>
    </row>
    <row r="346" spans="1:10" x14ac:dyDescent="0.25">
      <c r="A346" s="33" t="str" cm="1">
        <f t="array" ref="A346">IFERROR(INDEX(Register!$B$3:$B$1409,ROW(),0), "")</f>
        <v>PWB encoder GmbH</v>
      </c>
      <c r="B346" s="32" t="e">
        <f>VLOOKUP($A346,Register!$B$3:$E$1409,6,FALSE)</f>
        <v>#REF!</v>
      </c>
      <c r="C346" s="32" t="e">
        <f>VLOOKUP($A346,Register!$B$3:$E$1409,7,FALSE)</f>
        <v>#REF!</v>
      </c>
      <c r="D346" s="32" t="e">
        <f>VLOOKUP($A346,Register!$B$3:$E$1409,8,FALSE)</f>
        <v>#REF!</v>
      </c>
      <c r="E346" s="34" t="s">
        <v>148</v>
      </c>
    </row>
    <row r="347" spans="1:10" x14ac:dyDescent="0.25">
      <c r="A347" s="33" t="str" cm="1">
        <f t="array" ref="A347">IFERROR(INDEX(Register!$B$3:$B$1409,ROW(),0), "")</f>
        <v>AEK TECHNOLOGY INC.</v>
      </c>
      <c r="B347" s="32" t="e">
        <f>VLOOKUP($A347,Register!$B$3:$E$1409,6,FALSE)</f>
        <v>#REF!</v>
      </c>
      <c r="C347" s="32" t="e">
        <f>VLOOKUP($A347,Register!$B$3:$E$1409,7,FALSE)</f>
        <v>#REF!</v>
      </c>
      <c r="D347" s="32" t="e">
        <f>VLOOKUP($A347,Register!$B$3:$E$1409,8,FALSE)</f>
        <v>#REF!</v>
      </c>
      <c r="E347" s="34" t="s">
        <v>148</v>
      </c>
    </row>
    <row r="348" spans="1:10" x14ac:dyDescent="0.25">
      <c r="A348" s="33" t="str" cm="1">
        <f t="array" ref="A348">IFERROR(INDEX(Register!$B$3:$B$1409,ROW(),0), "")</f>
        <v>ESSENTRA COMPONENTS</v>
      </c>
      <c r="B348" s="32" t="e">
        <f>VLOOKUP($A348,Register!$B$3:$E$1409,6,FALSE)</f>
        <v>#REF!</v>
      </c>
      <c r="C348" s="32" t="e">
        <f>VLOOKUP($A348,Register!$B$3:$E$1409,7,FALSE)</f>
        <v>#REF!</v>
      </c>
      <c r="D348" s="32" t="e">
        <f>VLOOKUP($A348,Register!$B$3:$E$1409,8,FALSE)</f>
        <v>#REF!</v>
      </c>
      <c r="E348" s="34" t="s">
        <v>5252</v>
      </c>
      <c r="F348" s="34" t="s">
        <v>5253</v>
      </c>
    </row>
    <row r="349" spans="1:10" x14ac:dyDescent="0.25">
      <c r="A349" s="33" t="str" cm="1">
        <f t="array" ref="A349">IFERROR(INDEX(Register!$B$3:$B$1409,ROW(),0), "")</f>
        <v>Fujikura Composites Inc</v>
      </c>
      <c r="B349" s="32" t="e">
        <f>VLOOKUP($A349,Register!$B$3:$E$1409,6,FALSE)</f>
        <v>#REF!</v>
      </c>
      <c r="C349" s="32" t="e">
        <f>VLOOKUP($A349,Register!$B$3:$E$1409,7,FALSE)</f>
        <v>#REF!</v>
      </c>
      <c r="D349" s="32" t="e">
        <f>VLOOKUP($A349,Register!$B$3:$E$1409,8,FALSE)</f>
        <v>#REF!</v>
      </c>
      <c r="E349" s="34" t="s">
        <v>5186</v>
      </c>
      <c r="F349" s="34" t="s">
        <v>5254</v>
      </c>
      <c r="G349" s="34" t="s">
        <v>5209</v>
      </c>
    </row>
    <row r="350" spans="1:10" x14ac:dyDescent="0.25">
      <c r="A350" s="33" t="str" cm="1">
        <f t="array" ref="A350">IFERROR(INDEX(Register!$B$3:$B$1409,ROW(),0), "")</f>
        <v>Halder USA Inc.</v>
      </c>
      <c r="B350" s="32" t="e">
        <f>VLOOKUP($A350,Register!$B$3:$E$1409,6,FALSE)</f>
        <v>#REF!</v>
      </c>
      <c r="C350" s="32" t="e">
        <f>VLOOKUP($A350,Register!$B$3:$E$1409,7,FALSE)</f>
        <v>#REF!</v>
      </c>
      <c r="D350" s="32" t="e">
        <f>VLOOKUP($A350,Register!$B$3:$E$1409,8,FALSE)</f>
        <v>#REF!</v>
      </c>
      <c r="E350" s="34" t="s">
        <v>5255</v>
      </c>
      <c r="F350" s="34" t="s">
        <v>5256</v>
      </c>
    </row>
    <row r="351" spans="1:10" x14ac:dyDescent="0.25">
      <c r="A351" s="33" t="str" cm="1">
        <f t="array" ref="A351">IFERROR(INDEX(Register!$B$3:$B$1409,ROW(),0), "")</f>
        <v>INDUSTRIAL CASTER &amp; WHEEL CO.</v>
      </c>
      <c r="B351" s="32" t="e">
        <f>VLOOKUP($A351,Register!$B$3:$E$1409,6,FALSE)</f>
        <v>#REF!</v>
      </c>
      <c r="C351" s="32" t="e">
        <f>VLOOKUP($A351,Register!$B$3:$E$1409,7,FALSE)</f>
        <v>#REF!</v>
      </c>
      <c r="D351" s="32" t="e">
        <f>VLOOKUP($A351,Register!$B$3:$E$1409,8,FALSE)</f>
        <v>#REF!</v>
      </c>
      <c r="E351" s="34" t="s">
        <v>148</v>
      </c>
    </row>
    <row r="352" spans="1:10" x14ac:dyDescent="0.25">
      <c r="A352" s="33" t="str" cm="1">
        <f t="array" ref="A352">IFERROR(INDEX(Register!$B$3:$B$1409,ROW(),0), "")</f>
        <v>MISUMI</v>
      </c>
      <c r="B352" s="32" t="e">
        <f>VLOOKUP($A352,Register!$B$3:$E$1409,6,FALSE)</f>
        <v>#REF!</v>
      </c>
      <c r="C352" s="32" t="e">
        <f>VLOOKUP($A352,Register!$B$3:$E$1409,7,FALSE)</f>
        <v>#REF!</v>
      </c>
      <c r="D352" s="32" t="e">
        <f>VLOOKUP($A352,Register!$B$3:$E$1409,8,FALSE)</f>
        <v>#REF!</v>
      </c>
      <c r="E352" s="34" t="s">
        <v>5257</v>
      </c>
      <c r="F352" s="34" t="s">
        <v>5258</v>
      </c>
      <c r="G352" s="34" t="s">
        <v>5259</v>
      </c>
      <c r="H352" s="34" t="s">
        <v>5260</v>
      </c>
      <c r="I352" s="34" t="s">
        <v>5261</v>
      </c>
    </row>
    <row r="353" spans="1:7" x14ac:dyDescent="0.25">
      <c r="A353" s="33" t="str" cm="1">
        <f t="array" ref="A353">IFERROR(INDEX(Register!$B$3:$B$1409,ROW(),0), "")</f>
        <v>Online Components.com</v>
      </c>
      <c r="B353" s="32" t="e">
        <f>VLOOKUP($A353,Register!$B$3:$E$1409,6,FALSE)</f>
        <v>#REF!</v>
      </c>
      <c r="C353" s="32" t="e">
        <f>VLOOKUP($A353,Register!$B$3:$E$1409,7,FALSE)</f>
        <v>#REF!</v>
      </c>
      <c r="D353" s="32" t="e">
        <f>VLOOKUP($A353,Register!$B$3:$E$1409,8,FALSE)</f>
        <v>#REF!</v>
      </c>
      <c r="E353" s="34" t="s">
        <v>148</v>
      </c>
    </row>
    <row r="354" spans="1:7" x14ac:dyDescent="0.25">
      <c r="A354" s="33" t="str" cm="1">
        <f t="array" ref="A354">IFERROR(INDEX(Register!$B$3:$B$1409,ROW(),0), "")</f>
        <v>RS AMERICAS, Inc.</v>
      </c>
      <c r="B354" s="32" t="e">
        <f>VLOOKUP($A354,Register!$B$3:$E$1409,6,FALSE)</f>
        <v>#REF!</v>
      </c>
      <c r="C354" s="32" t="e">
        <f>VLOOKUP($A354,Register!$B$3:$E$1409,7,FALSE)</f>
        <v>#REF!</v>
      </c>
      <c r="D354" s="32" t="e">
        <f>VLOOKUP($A354,Register!$B$3:$E$1409,8,FALSE)</f>
        <v>#REF!</v>
      </c>
      <c r="E354" s="34" t="s">
        <v>148</v>
      </c>
    </row>
    <row r="355" spans="1:7" x14ac:dyDescent="0.25">
      <c r="A355" s="33" t="str" cm="1">
        <f t="array" ref="A355">IFERROR(INDEX(Register!$B$3:$B$1409,ROW(),0), "")</f>
        <v>RS Components Pty Ltd</v>
      </c>
      <c r="B355" s="32" t="e">
        <f>VLOOKUP($A355,Register!$B$3:$E$1409,6,FALSE)</f>
        <v>#REF!</v>
      </c>
      <c r="C355" s="32" t="e">
        <f>VLOOKUP($A355,Register!$B$3:$E$1409,7,FALSE)</f>
        <v>#REF!</v>
      </c>
      <c r="D355" s="32" t="e">
        <f>VLOOKUP($A355,Register!$B$3:$E$1409,8,FALSE)</f>
        <v>#REF!</v>
      </c>
      <c r="E355" s="34" t="s">
        <v>5262</v>
      </c>
    </row>
    <row r="356" spans="1:7" x14ac:dyDescent="0.25">
      <c r="A356" s="33" t="str" cm="1">
        <f t="array" ref="A356">IFERROR(INDEX(Register!$B$3:$B$1409,ROW(),0), "")</f>
        <v>SAGER ELECTRONICS</v>
      </c>
      <c r="B356" s="32" t="e">
        <f>VLOOKUP($A356,Register!$B$3:$E$1409,6,FALSE)</f>
        <v>#REF!</v>
      </c>
      <c r="C356" s="32" t="e">
        <f>VLOOKUP($A356,Register!$B$3:$E$1409,7,FALSE)</f>
        <v>#REF!</v>
      </c>
      <c r="D356" s="32" t="e">
        <f>VLOOKUP($A356,Register!$B$3:$E$1409,8,FALSE)</f>
        <v>#REF!</v>
      </c>
      <c r="E356" s="34" t="s">
        <v>148</v>
      </c>
    </row>
    <row r="357" spans="1:7" x14ac:dyDescent="0.25">
      <c r="A357" s="33" t="str" cm="1">
        <f t="array" ref="A357">IFERROR(INDEX(Register!$B$3:$B$1409,ROW(),0), "")</f>
        <v>Seastrom Manufacturing Co, Inc</v>
      </c>
      <c r="B357" s="32" t="e">
        <f>VLOOKUP($A357,Register!$B$3:$E$1409,6,FALSE)</f>
        <v>#REF!</v>
      </c>
      <c r="C357" s="32" t="e">
        <f>VLOOKUP($A357,Register!$B$3:$E$1409,7,FALSE)</f>
        <v>#REF!</v>
      </c>
      <c r="D357" s="32" t="e">
        <f>VLOOKUP($A357,Register!$B$3:$E$1409,8,FALSE)</f>
        <v>#REF!</v>
      </c>
      <c r="E357" s="34" t="s">
        <v>148</v>
      </c>
    </row>
    <row r="358" spans="1:7" x14ac:dyDescent="0.25">
      <c r="A358" s="33" t="str" cm="1">
        <f t="array" ref="A358">IFERROR(INDEX(Register!$B$3:$B$1409,ROW(),0), "")</f>
        <v>Sierra Pacific Engineering and Prod</v>
      </c>
      <c r="B358" s="32" t="e">
        <f>VLOOKUP($A358,Register!$B$3:$E$1409,6,FALSE)</f>
        <v>#REF!</v>
      </c>
      <c r="C358" s="32" t="e">
        <f>VLOOKUP($A358,Register!$B$3:$E$1409,7,FALSE)</f>
        <v>#REF!</v>
      </c>
      <c r="D358" s="32" t="e">
        <f>VLOOKUP($A358,Register!$B$3:$E$1409,8,FALSE)</f>
        <v>#REF!</v>
      </c>
      <c r="E358" s="34" t="s">
        <v>148</v>
      </c>
    </row>
    <row r="359" spans="1:7" x14ac:dyDescent="0.25">
      <c r="A359" s="33" t="str" cm="1">
        <f t="array" ref="A359">IFERROR(INDEX(Register!$B$3:$B$1409,ROW(),0), "")</f>
        <v>MCMASTER-CARR</v>
      </c>
      <c r="B359" s="32" t="e">
        <f>VLOOKUP($A359,Register!$B$3:$E$1409,6,FALSE)</f>
        <v>#REF!</v>
      </c>
      <c r="C359" s="32" t="e">
        <f>VLOOKUP($A359,Register!$B$3:$E$1409,7,FALSE)</f>
        <v>#REF!</v>
      </c>
      <c r="D359" s="32" t="e">
        <f>VLOOKUP($A359,Register!$B$3:$E$1409,8,FALSE)</f>
        <v>#REF!</v>
      </c>
      <c r="E359" s="34" t="s">
        <v>148</v>
      </c>
    </row>
    <row r="360" spans="1:7" x14ac:dyDescent="0.25">
      <c r="A360" s="33" t="str" cm="1">
        <f t="array" ref="A360">IFERROR(INDEX(Register!$B$3:$B$1409,ROW(),0), "")</f>
        <v>Small Parts &amp; Bearings Pty Ltd (Minature Bearings)</v>
      </c>
      <c r="B360" s="32" t="e">
        <f>VLOOKUP($A360,Register!$B$3:$E$1409,6,FALSE)</f>
        <v>#REF!</v>
      </c>
      <c r="C360" s="32" t="e">
        <f>VLOOKUP($A360,Register!$B$3:$E$1409,7,FALSE)</f>
        <v>#REF!</v>
      </c>
      <c r="D360" s="32" t="e">
        <f>VLOOKUP($A360,Register!$B$3:$E$1409,8,FALSE)</f>
        <v>#REF!</v>
      </c>
      <c r="E360" s="34" t="s">
        <v>148</v>
      </c>
    </row>
    <row r="361" spans="1:7" x14ac:dyDescent="0.25">
      <c r="A361" s="33" t="str" cm="1">
        <f t="array" ref="A361">IFERROR(INDEX(Register!$B$3:$B$1409,ROW(),0), "")</f>
        <v>MOTION INDUSTRIES</v>
      </c>
      <c r="B361" s="32" t="e">
        <f>VLOOKUP($A361,Register!$B$3:$E$1409,6,FALSE)</f>
        <v>#REF!</v>
      </c>
      <c r="C361" s="32" t="e">
        <f>VLOOKUP($A361,Register!$B$3:$E$1409,7,FALSE)</f>
        <v>#REF!</v>
      </c>
      <c r="D361" s="32" t="e">
        <f>VLOOKUP($A361,Register!$B$3:$E$1409,8,FALSE)</f>
        <v>#REF!</v>
      </c>
      <c r="E361" s="34" t="s">
        <v>5263</v>
      </c>
      <c r="F361" s="34" t="s">
        <v>5264</v>
      </c>
      <c r="G361" s="34" t="s">
        <v>5265</v>
      </c>
    </row>
    <row r="362" spans="1:7" x14ac:dyDescent="0.25">
      <c r="A362" s="33" t="str" cm="1">
        <f t="array" ref="A362">IFERROR(INDEX(Register!$B$3:$B$1409,ROW(),0), "")</f>
        <v>RS Components Ltd.</v>
      </c>
      <c r="B362" s="32" t="e">
        <f>VLOOKUP($A362,Register!$B$3:$E$1409,6,FALSE)</f>
        <v>#REF!</v>
      </c>
      <c r="C362" s="32" t="e">
        <f>VLOOKUP($A362,Register!$B$3:$E$1409,7,FALSE)</f>
        <v>#REF!</v>
      </c>
      <c r="D362" s="32" t="e">
        <f>VLOOKUP($A362,Register!$B$3:$E$1409,8,FALSE)</f>
        <v>#REF!</v>
      </c>
      <c r="E362" s="34" t="s">
        <v>148</v>
      </c>
    </row>
    <row r="363" spans="1:7" x14ac:dyDescent="0.25">
      <c r="A363" s="33" t="str" cm="1">
        <f t="array" ref="A363">IFERROR(INDEX(Register!$B$3:$B$1409,ROW(),0), "")</f>
        <v>Tekdis</v>
      </c>
      <c r="B363" s="32" t="e">
        <f>VLOOKUP($A363,Register!$B$3:$E$1409,6,FALSE)</f>
        <v>#REF!</v>
      </c>
      <c r="C363" s="32" t="e">
        <f>VLOOKUP($A363,Register!$B$3:$E$1409,7,FALSE)</f>
        <v>#REF!</v>
      </c>
      <c r="D363" s="32" t="e">
        <f>VLOOKUP($A363,Register!$B$3:$E$1409,8,FALSE)</f>
        <v>#REF!</v>
      </c>
      <c r="E363" s="34" t="s">
        <v>148</v>
      </c>
    </row>
    <row r="364" spans="1:7" x14ac:dyDescent="0.25">
      <c r="A364" s="33" t="str" cm="1">
        <f t="array" ref="A364">IFERROR(INDEX(Register!$B$3:$B$1409,ROW(),0), "")</f>
        <v>Harting Pty Ltd</v>
      </c>
      <c r="B364" s="32" t="e">
        <f>VLOOKUP($A364,Register!$B$3:$E$1409,6,FALSE)</f>
        <v>#REF!</v>
      </c>
      <c r="C364" s="32" t="e">
        <f>VLOOKUP($A364,Register!$B$3:$E$1409,7,FALSE)</f>
        <v>#REF!</v>
      </c>
      <c r="D364" s="32" t="e">
        <f>VLOOKUP($A364,Register!$B$3:$E$1409,8,FALSE)</f>
        <v>#REF!</v>
      </c>
      <c r="E364" s="34" t="s">
        <v>148</v>
      </c>
    </row>
    <row r="365" spans="1:7" x14ac:dyDescent="0.25">
      <c r="A365" s="33" t="str" cm="1">
        <f t="array" ref="A365">IFERROR(INDEX(Register!$B$3:$B$1409,ROW(),0), "")</f>
        <v>QUADRANGLE PRODUCTS, INC.</v>
      </c>
      <c r="B365" s="32" t="e">
        <f>VLOOKUP($A365,Register!$B$3:$E$1409,6,FALSE)</f>
        <v>#REF!</v>
      </c>
      <c r="C365" s="32" t="e">
        <f>VLOOKUP($A365,Register!$B$3:$E$1409,7,FALSE)</f>
        <v>#REF!</v>
      </c>
      <c r="D365" s="32" t="e">
        <f>VLOOKUP($A365,Register!$B$3:$E$1409,8,FALSE)</f>
        <v>#REF!</v>
      </c>
      <c r="E365" s="34" t="s">
        <v>148</v>
      </c>
    </row>
    <row r="366" spans="1:7" x14ac:dyDescent="0.25">
      <c r="A366" s="33" t="str" cm="1">
        <f t="array" ref="A366">IFERROR(INDEX(Register!$B$3:$B$1409,ROW(),0), "")</f>
        <v>RAYCON TECHNOLOGY, INC.</v>
      </c>
      <c r="B366" s="32" t="e">
        <f>VLOOKUP($A366,Register!$B$3:$E$1409,6,FALSE)</f>
        <v>#REF!</v>
      </c>
      <c r="C366" s="32" t="e">
        <f>VLOOKUP($A366,Register!$B$3:$E$1409,7,FALSE)</f>
        <v>#REF!</v>
      </c>
      <c r="D366" s="32" t="e">
        <f>VLOOKUP($A366,Register!$B$3:$E$1409,8,FALSE)</f>
        <v>#REF!</v>
      </c>
      <c r="E366" s="34" t="s">
        <v>148</v>
      </c>
    </row>
    <row r="367" spans="1:7" x14ac:dyDescent="0.25">
      <c r="A367" s="33" t="str" cm="1">
        <f t="array" ref="A367">IFERROR(INDEX(Register!$B$3:$B$1409,ROW(),0), "")</f>
        <v>Molex de Mexico S.A. de C.V</v>
      </c>
      <c r="B367" s="32" t="e">
        <f>VLOOKUP($A367,Register!$B$3:$E$1409,6,FALSE)</f>
        <v>#REF!</v>
      </c>
      <c r="C367" s="32" t="e">
        <f>VLOOKUP($A367,Register!$B$3:$E$1409,7,FALSE)</f>
        <v>#REF!</v>
      </c>
      <c r="D367" s="32" t="e">
        <f>VLOOKUP($A367,Register!$B$3:$E$1409,8,FALSE)</f>
        <v>#REF!</v>
      </c>
      <c r="E367" s="34" t="s">
        <v>148</v>
      </c>
    </row>
    <row r="368" spans="1:7" x14ac:dyDescent="0.25">
      <c r="A368" s="33" t="str" cm="1">
        <f t="array" ref="A368">IFERROR(INDEX(Register!$B$3:$B$1409,ROW(),0), "")</f>
        <v>Rojone</v>
      </c>
      <c r="B368" s="32" t="e">
        <f>VLOOKUP($A368,Register!$B$3:$E$1409,6,FALSE)</f>
        <v>#REF!</v>
      </c>
      <c r="C368" s="32" t="e">
        <f>VLOOKUP($A368,Register!$B$3:$E$1409,7,FALSE)</f>
        <v>#REF!</v>
      </c>
      <c r="D368" s="32" t="e">
        <f>VLOOKUP($A368,Register!$B$3:$E$1409,8,FALSE)</f>
        <v>#REF!</v>
      </c>
      <c r="E368" s="34" t="s">
        <v>148</v>
      </c>
    </row>
    <row r="369" spans="1:9" x14ac:dyDescent="0.25">
      <c r="A369" s="33" t="str" cm="1">
        <f t="array" ref="A369">IFERROR(INDEX(Register!$B$3:$B$1409,ROW(),0), "")</f>
        <v>Positronic Asia Pte Ltd</v>
      </c>
      <c r="B369" s="32" t="e">
        <f>VLOOKUP($A369,Register!$B$3:$E$1409,6,FALSE)</f>
        <v>#REF!</v>
      </c>
      <c r="C369" s="32" t="e">
        <f>VLOOKUP($A369,Register!$B$3:$E$1409,7,FALSE)</f>
        <v>#REF!</v>
      </c>
      <c r="D369" s="32" t="e">
        <f>VLOOKUP($A369,Register!$B$3:$E$1409,8,FALSE)</f>
        <v>#REF!</v>
      </c>
      <c r="E369" s="34" t="s">
        <v>148</v>
      </c>
    </row>
    <row r="370" spans="1:9" x14ac:dyDescent="0.25">
      <c r="A370" s="33" t="str" cm="1">
        <f t="array" ref="A370">IFERROR(INDEX(Register!$B$3:$B$1409,ROW(),0), "")</f>
        <v>Switches Plus Components</v>
      </c>
      <c r="B370" s="32" t="e">
        <f>VLOOKUP($A370,Register!$B$3:$E$1409,6,FALSE)</f>
        <v>#REF!</v>
      </c>
      <c r="C370" s="32" t="e">
        <f>VLOOKUP($A370,Register!$B$3:$E$1409,7,FALSE)</f>
        <v>#REF!</v>
      </c>
      <c r="D370" s="32" t="e">
        <f>VLOOKUP($A370,Register!$B$3:$E$1409,8,FALSE)</f>
        <v>#REF!</v>
      </c>
      <c r="E370" s="34" t="s">
        <v>148</v>
      </c>
    </row>
    <row r="371" spans="1:9" x14ac:dyDescent="0.25">
      <c r="A371" s="33" t="str" cm="1">
        <f t="array" ref="A371">IFERROR(INDEX(Register!$B$3:$B$1409,ROW(),0), "")</f>
        <v>Brady Australia</v>
      </c>
      <c r="B371" s="32" t="e">
        <f>VLOOKUP($A371,Register!$B$3:$E$1409,6,FALSE)</f>
        <v>#REF!</v>
      </c>
      <c r="C371" s="32" t="e">
        <f>VLOOKUP($A371,Register!$B$3:$E$1409,7,FALSE)</f>
        <v>#REF!</v>
      </c>
      <c r="D371" s="32" t="e">
        <f>VLOOKUP($A371,Register!$B$3:$E$1409,8,FALSE)</f>
        <v>#REF!</v>
      </c>
      <c r="E371" s="34" t="s">
        <v>5266</v>
      </c>
      <c r="F371" s="34" t="s">
        <v>5267</v>
      </c>
      <c r="G371" s="34" t="s">
        <v>5268</v>
      </c>
    </row>
    <row r="372" spans="1:9" x14ac:dyDescent="0.25">
      <c r="A372" s="33" t="str" cm="1">
        <f t="array" ref="A372">IFERROR(INDEX(Register!$B$3:$B$1409,ROW(),0), "")</f>
        <v>Spraying Systems Co Pty Ltd</v>
      </c>
      <c r="B372" s="32" t="e">
        <f>VLOOKUP($A372,Register!$B$3:$E$1409,6,FALSE)</f>
        <v>#REF!</v>
      </c>
      <c r="C372" s="32" t="e">
        <f>VLOOKUP($A372,Register!$B$3:$E$1409,7,FALSE)</f>
        <v>#REF!</v>
      </c>
      <c r="D372" s="32" t="e">
        <f>VLOOKUP($A372,Register!$B$3:$E$1409,8,FALSE)</f>
        <v>#REF!</v>
      </c>
      <c r="E372" s="34" t="s">
        <v>5269</v>
      </c>
      <c r="F372" s="34" t="s">
        <v>5270</v>
      </c>
    </row>
    <row r="373" spans="1:9" x14ac:dyDescent="0.25">
      <c r="A373" s="33" t="str" cm="1">
        <f t="array" ref="A373">IFERROR(INDEX(Register!$B$3:$B$1409,ROW(),0), "")</f>
        <v>Javac Pty Ltd</v>
      </c>
      <c r="B373" s="32" t="e">
        <f>VLOOKUP($A373,Register!$B$3:$E$1409,6,FALSE)</f>
        <v>#REF!</v>
      </c>
      <c r="C373" s="32" t="e">
        <f>VLOOKUP($A373,Register!$B$3:$E$1409,7,FALSE)</f>
        <v>#REF!</v>
      </c>
      <c r="D373" s="32" t="e">
        <f>VLOOKUP($A373,Register!$B$3:$E$1409,8,FALSE)</f>
        <v>#REF!</v>
      </c>
      <c r="E373" s="34" t="s">
        <v>148</v>
      </c>
    </row>
    <row r="374" spans="1:9" x14ac:dyDescent="0.25">
      <c r="A374" s="33" t="str" cm="1">
        <f t="array" ref="A374">IFERROR(INDEX(Register!$B$3:$B$1409,ROW(),0), "")</f>
        <v>L-Com Global Connectivity (Infinite Electronics)</v>
      </c>
      <c r="B374" s="32" t="e">
        <f>VLOOKUP($A374,Register!$B$3:$E$1409,6,FALSE)</f>
        <v>#REF!</v>
      </c>
      <c r="C374" s="32" t="e">
        <f>VLOOKUP($A374,Register!$B$3:$E$1409,7,FALSE)</f>
        <v>#REF!</v>
      </c>
      <c r="D374" s="32" t="e">
        <f>VLOOKUP($A374,Register!$B$3:$E$1409,8,FALSE)</f>
        <v>#REF!</v>
      </c>
      <c r="E374" s="34" t="s">
        <v>148</v>
      </c>
    </row>
    <row r="375" spans="1:9" x14ac:dyDescent="0.25">
      <c r="A375" s="33" t="str" cm="1">
        <f t="array" ref="A375">IFERROR(INDEX(Register!$B$3:$B$1409,ROW(),0), "")</f>
        <v>Mektronics Australia Pty Ltd</v>
      </c>
      <c r="B375" s="32" t="e">
        <f>VLOOKUP($A375,Register!$B$3:$E$1409,6,FALSE)</f>
        <v>#REF!</v>
      </c>
      <c r="C375" s="32" t="e">
        <f>VLOOKUP($A375,Register!$B$3:$E$1409,7,FALSE)</f>
        <v>#REF!</v>
      </c>
      <c r="D375" s="32" t="e">
        <f>VLOOKUP($A375,Register!$B$3:$E$1409,8,FALSE)</f>
        <v>#REF!</v>
      </c>
      <c r="E375" s="34" t="s">
        <v>148</v>
      </c>
    </row>
    <row r="376" spans="1:9" x14ac:dyDescent="0.25">
      <c r="A376" s="33" t="str" cm="1">
        <f t="array" ref="A376">IFERROR(INDEX(Register!$B$3:$B$1409,ROW(),0), "")</f>
        <v>R.S. HUGHES (US)</v>
      </c>
      <c r="B376" s="32" t="e">
        <f>VLOOKUP($A376,Register!$B$3:$E$1409,6,FALSE)</f>
        <v>#REF!</v>
      </c>
      <c r="C376" s="32" t="e">
        <f>VLOOKUP($A376,Register!$B$3:$E$1409,7,FALSE)</f>
        <v>#REF!</v>
      </c>
      <c r="D376" s="32" t="e">
        <f>VLOOKUP($A376,Register!$B$3:$E$1409,8,FALSE)</f>
        <v>#REF!</v>
      </c>
      <c r="E376" s="34" t="s">
        <v>148</v>
      </c>
    </row>
    <row r="377" spans="1:9" x14ac:dyDescent="0.25">
      <c r="A377" s="33" t="str" cm="1">
        <f t="array" ref="A377">IFERROR(INDEX(Register!$B$3:$B$1409,ROW(),0), "")</f>
        <v>Gordo Sales, Inc</v>
      </c>
      <c r="B377" s="32" t="e">
        <f>VLOOKUP($A377,Register!$B$3:$E$1409,6,FALSE)</f>
        <v>#REF!</v>
      </c>
      <c r="C377" s="32" t="e">
        <f>VLOOKUP($A377,Register!$B$3:$E$1409,7,FALSE)</f>
        <v>#REF!</v>
      </c>
      <c r="D377" s="32" t="e">
        <f>VLOOKUP($A377,Register!$B$3:$E$1409,8,FALSE)</f>
        <v>#REF!</v>
      </c>
      <c r="E377" s="34" t="s">
        <v>148</v>
      </c>
    </row>
    <row r="378" spans="1:9" x14ac:dyDescent="0.25">
      <c r="A378" s="33" t="str" cm="1">
        <f t="array" ref="A378">IFERROR(INDEX(Register!$B$3:$B$1409,ROW(),0), "")</f>
        <v>Industrial &amp; Bearing Supplies (Naada Pty Ltd)</v>
      </c>
      <c r="B378" s="32" t="e">
        <f>VLOOKUP($A378,Register!$B$3:$E$1409,6,FALSE)</f>
        <v>#REF!</v>
      </c>
      <c r="C378" s="32" t="e">
        <f>VLOOKUP($A378,Register!$B$3:$E$1409,7,FALSE)</f>
        <v>#REF!</v>
      </c>
      <c r="D378" s="32" t="e">
        <f>VLOOKUP($A378,Register!$B$3:$E$1409,8,FALSE)</f>
        <v>#REF!</v>
      </c>
      <c r="E378" s="34" t="s">
        <v>148</v>
      </c>
    </row>
    <row r="379" spans="1:9" x14ac:dyDescent="0.25">
      <c r="A379" s="33" t="str" cm="1">
        <f t="array" ref="A379">IFERROR(INDEX(Register!$B$3:$B$1409,ROW(),0), "")</f>
        <v>NPA Pty Ltd</v>
      </c>
      <c r="B379" s="32" t="e">
        <f>VLOOKUP($A379,Register!$B$3:$E$1409,6,FALSE)</f>
        <v>#REF!</v>
      </c>
      <c r="C379" s="32" t="e">
        <f>VLOOKUP($A379,Register!$B$3:$E$1409,7,FALSE)</f>
        <v>#REF!</v>
      </c>
      <c r="D379" s="32" t="e">
        <f>VLOOKUP($A379,Register!$B$3:$E$1409,8,FALSE)</f>
        <v>#REF!</v>
      </c>
      <c r="E379" s="34" t="s">
        <v>5271</v>
      </c>
      <c r="F379" s="34" t="s">
        <v>5272</v>
      </c>
      <c r="G379" s="34" t="s">
        <v>5273</v>
      </c>
      <c r="H379" s="34" t="s">
        <v>5274</v>
      </c>
      <c r="I379" s="34" t="s">
        <v>5275</v>
      </c>
    </row>
    <row r="380" spans="1:9" x14ac:dyDescent="0.25">
      <c r="A380" s="33" t="str" cm="1">
        <f t="array" ref="A380">IFERROR(INDEX(Register!$B$3:$B$1409,ROW(),0), "")</f>
        <v>Webforge Locker (The Mesh Store)</v>
      </c>
      <c r="B380" s="32" t="e">
        <f>VLOOKUP($A380,Register!$B$3:$E$1409,6,FALSE)</f>
        <v>#REF!</v>
      </c>
      <c r="C380" s="32" t="e">
        <f>VLOOKUP($A380,Register!$B$3:$E$1409,7,FALSE)</f>
        <v>#REF!</v>
      </c>
      <c r="D380" s="32" t="e">
        <f>VLOOKUP($A380,Register!$B$3:$E$1409,8,FALSE)</f>
        <v>#REF!</v>
      </c>
      <c r="E380" s="34" t="s">
        <v>4825</v>
      </c>
      <c r="F380" s="34" t="s">
        <v>4955</v>
      </c>
      <c r="G380" s="34" t="s">
        <v>4956</v>
      </c>
    </row>
    <row r="381" spans="1:9" x14ac:dyDescent="0.25">
      <c r="A381" s="33" t="str" cm="1">
        <f t="array" ref="A381">IFERROR(INDEX(Register!$B$3:$B$1409,ROW(),0), "")</f>
        <v>Trinity International Industries</v>
      </c>
      <c r="B381" s="32" t="e">
        <f>VLOOKUP($A381,Register!$B$3:$E$1409,6,FALSE)</f>
        <v>#REF!</v>
      </c>
      <c r="C381" s="32" t="e">
        <f>VLOOKUP($A381,Register!$B$3:$E$1409,7,FALSE)</f>
        <v>#REF!</v>
      </c>
      <c r="D381" s="32" t="e">
        <f>VLOOKUP($A381,Register!$B$3:$E$1409,8,FALSE)</f>
        <v>#REF!</v>
      </c>
      <c r="E381" s="34" t="s">
        <v>148</v>
      </c>
    </row>
    <row r="382" spans="1:9" x14ac:dyDescent="0.25">
      <c r="A382" s="33" t="str" cm="1">
        <f t="array" ref="A382">IFERROR(INDEX(Register!$B$3:$B$1409,ROW(),0), "")</f>
        <v>BISCO INDUSTRIES</v>
      </c>
      <c r="B382" s="32" t="e">
        <f>VLOOKUP($A382,Register!$B$3:$E$1409,6,FALSE)</f>
        <v>#REF!</v>
      </c>
      <c r="C382" s="32" t="e">
        <f>VLOOKUP($A382,Register!$B$3:$E$1409,7,FALSE)</f>
        <v>#REF!</v>
      </c>
      <c r="D382" s="32" t="e">
        <f>VLOOKUP($A382,Register!$B$3:$E$1409,8,FALSE)</f>
        <v>#REF!</v>
      </c>
      <c r="E382" s="34" t="s">
        <v>148</v>
      </c>
    </row>
    <row r="383" spans="1:9" x14ac:dyDescent="0.25">
      <c r="A383" s="33" t="str" cm="1">
        <f t="array" ref="A383">IFERROR(INDEX(Register!$B$3:$B$1409,ROW(),0), "")</f>
        <v>UES International Pty Ltd</v>
      </c>
      <c r="B383" s="32" t="e">
        <f>VLOOKUP($A383,Register!$B$3:$E$1409,6,FALSE)</f>
        <v>#REF!</v>
      </c>
      <c r="C383" s="32" t="e">
        <f>VLOOKUP($A383,Register!$B$3:$E$1409,7,FALSE)</f>
        <v>#REF!</v>
      </c>
      <c r="D383" s="32" t="e">
        <f>VLOOKUP($A383,Register!$B$3:$E$1409,8,FALSE)</f>
        <v>#REF!</v>
      </c>
      <c r="E383" s="34" t="s">
        <v>148</v>
      </c>
    </row>
    <row r="384" spans="1:9" x14ac:dyDescent="0.25">
      <c r="A384" s="33" t="str" cm="1">
        <f t="array" ref="A384">IFERROR(INDEX(Register!$B$3:$B$1409,ROW(),0), "")</f>
        <v>HMS Industrial Networks Pty Ltd</v>
      </c>
      <c r="B384" s="32" t="e">
        <f>VLOOKUP($A384,Register!$B$3:$E$1409,6,FALSE)</f>
        <v>#REF!</v>
      </c>
      <c r="C384" s="32" t="e">
        <f>VLOOKUP($A384,Register!$B$3:$E$1409,7,FALSE)</f>
        <v>#REF!</v>
      </c>
      <c r="D384" s="32" t="e">
        <f>VLOOKUP($A384,Register!$B$3:$E$1409,8,FALSE)</f>
        <v>#REF!</v>
      </c>
      <c r="E384" s="34" t="s">
        <v>148</v>
      </c>
    </row>
    <row r="385" spans="1:5" x14ac:dyDescent="0.25">
      <c r="A385" s="33" t="str" cm="1">
        <f t="array" ref="A385">IFERROR(INDEX(Register!$B$3:$B$1409,ROW(),0), "")</f>
        <v>HMS Networks Inc (HMS Industrial Networks Inc)</v>
      </c>
      <c r="B385" s="32" t="e">
        <f>VLOOKUP($A385,Register!$B$3:$E$1409,6,FALSE)</f>
        <v>#REF!</v>
      </c>
      <c r="C385" s="32" t="e">
        <f>VLOOKUP($A385,Register!$B$3:$E$1409,7,FALSE)</f>
        <v>#REF!</v>
      </c>
      <c r="D385" s="32" t="e">
        <f>VLOOKUP($A385,Register!$B$3:$E$1409,8,FALSE)</f>
        <v>#REF!</v>
      </c>
      <c r="E385" s="34" t="s">
        <v>148</v>
      </c>
    </row>
    <row r="386" spans="1:5" x14ac:dyDescent="0.25">
      <c r="A386" s="33" t="str" cm="1">
        <f t="array" ref="A386">IFERROR(INDEX(Register!$B$3:$B$1409,ROW(),0), "")</f>
        <v>HMS Technology (HMS Networks)</v>
      </c>
      <c r="B386" s="32" t="e">
        <f>VLOOKUP($A386,Register!$B$3:$E$1409,6,FALSE)</f>
        <v>#REF!</v>
      </c>
      <c r="C386" s="32" t="e">
        <f>VLOOKUP($A386,Register!$B$3:$E$1409,7,FALSE)</f>
        <v>#REF!</v>
      </c>
      <c r="D386" s="32" t="e">
        <f>VLOOKUP($A386,Register!$B$3:$E$1409,8,FALSE)</f>
        <v>#REF!</v>
      </c>
      <c r="E386" s="34" t="s">
        <v>148</v>
      </c>
    </row>
    <row r="387" spans="1:5" x14ac:dyDescent="0.25">
      <c r="A387" s="33" t="str" cm="1">
        <f t="array" ref="A387">IFERROR(INDEX(Register!$B$3:$B$1409,ROW(),0), "")</f>
        <v>ADM Instrument Engineering</v>
      </c>
      <c r="B387" s="32" t="e">
        <f>VLOOKUP($A387,Register!$B$3:$E$1409,6,FALSE)</f>
        <v>#REF!</v>
      </c>
      <c r="C387" s="32" t="e">
        <f>VLOOKUP($A387,Register!$B$3:$E$1409,7,FALSE)</f>
        <v>#REF!</v>
      </c>
      <c r="D387" s="32" t="e">
        <f>VLOOKUP($A387,Register!$B$3:$E$1409,8,FALSE)</f>
        <v>#REF!</v>
      </c>
      <c r="E387" s="34" t="s">
        <v>148</v>
      </c>
    </row>
    <row r="388" spans="1:5" x14ac:dyDescent="0.25">
      <c r="A388" s="33" t="str" cm="1">
        <f t="array" ref="A388">IFERROR(INDEX(Register!$B$3:$B$1409,ROW(),0), "")</f>
        <v>Viair Corporation</v>
      </c>
      <c r="B388" s="32" t="e">
        <f>VLOOKUP($A388,Register!$B$3:$E$1409,6,FALSE)</f>
        <v>#REF!</v>
      </c>
      <c r="C388" s="32" t="e">
        <f>VLOOKUP($A388,Register!$B$3:$E$1409,7,FALSE)</f>
        <v>#REF!</v>
      </c>
      <c r="D388" s="32" t="e">
        <f>VLOOKUP($A388,Register!$B$3:$E$1409,8,FALSE)</f>
        <v>#REF!</v>
      </c>
      <c r="E388" s="34" t="s">
        <v>148</v>
      </c>
    </row>
    <row r="389" spans="1:5" x14ac:dyDescent="0.25">
      <c r="A389" s="33" t="str" cm="1">
        <f t="array" ref="A389">IFERROR(INDEX(Register!$B$3:$B$1409,ROW(),0), "")</f>
        <v>VORTEX INDUSTRIES</v>
      </c>
      <c r="B389" s="32" t="e">
        <f>VLOOKUP($A389,Register!$B$3:$E$1409,6,FALSE)</f>
        <v>#REF!</v>
      </c>
      <c r="C389" s="32" t="e">
        <f>VLOOKUP($A389,Register!$B$3:$E$1409,7,FALSE)</f>
        <v>#REF!</v>
      </c>
      <c r="D389" s="32" t="e">
        <f>VLOOKUP($A389,Register!$B$3:$E$1409,8,FALSE)</f>
        <v>#REF!</v>
      </c>
      <c r="E389" s="34" t="s">
        <v>148</v>
      </c>
    </row>
    <row r="390" spans="1:5" x14ac:dyDescent="0.25">
      <c r="A390" s="33" t="str" cm="1">
        <f t="array" ref="A390">IFERROR(INDEX(Register!$B$3:$B$1409,ROW(),0), "")</f>
        <v>DYNATECT EQUIPMENT PROTECTION</v>
      </c>
      <c r="B390" s="32" t="e">
        <f>VLOOKUP($A390,Register!$B$3:$E$1409,6,FALSE)</f>
        <v>#REF!</v>
      </c>
      <c r="C390" s="32" t="e">
        <f>VLOOKUP($A390,Register!$B$3:$E$1409,7,FALSE)</f>
        <v>#REF!</v>
      </c>
      <c r="D390" s="32" t="e">
        <f>VLOOKUP($A390,Register!$B$3:$E$1409,8,FALSE)</f>
        <v>#REF!</v>
      </c>
      <c r="E390" s="34" t="s">
        <v>148</v>
      </c>
    </row>
    <row r="391" spans="1:5" x14ac:dyDescent="0.25">
      <c r="A391" s="33" t="str" cm="1">
        <f t="array" ref="A391">IFERROR(INDEX(Register!$B$3:$B$1409,ROW(),0), "")</f>
        <v>Panasonic Electronic Devices</v>
      </c>
      <c r="B391" s="32" t="e">
        <f>VLOOKUP($A391,Register!$B$3:$E$1409,6,FALSE)</f>
        <v>#REF!</v>
      </c>
      <c r="C391" s="32" t="e">
        <f>VLOOKUP($A391,Register!$B$3:$E$1409,7,FALSE)</f>
        <v>#REF!</v>
      </c>
      <c r="D391" s="32" t="e">
        <f>VLOOKUP($A391,Register!$B$3:$E$1409,8,FALSE)</f>
        <v>#REF!</v>
      </c>
      <c r="E391" s="34" t="s">
        <v>5164</v>
      </c>
    </row>
    <row r="392" spans="1:5" x14ac:dyDescent="0.25">
      <c r="A392" s="33" t="str" cm="1">
        <f t="array" ref="A392">IFERROR(INDEX(Register!$B$3:$B$1409,ROW(),0), "")</f>
        <v>FASTENAL (AU)</v>
      </c>
      <c r="B392" s="32" t="e">
        <f>VLOOKUP($A392,Register!$B$3:$E$1409,6,FALSE)</f>
        <v>#REF!</v>
      </c>
      <c r="C392" s="32" t="e">
        <f>VLOOKUP($A392,Register!$B$3:$E$1409,7,FALSE)</f>
        <v>#REF!</v>
      </c>
      <c r="D392" s="32" t="e">
        <f>VLOOKUP($A392,Register!$B$3:$E$1409,8,FALSE)</f>
        <v>#REF!</v>
      </c>
      <c r="E392" s="34" t="s">
        <v>148</v>
      </c>
    </row>
    <row r="393" spans="1:5" x14ac:dyDescent="0.25">
      <c r="A393" s="33" t="str" cm="1">
        <f t="array" ref="A393">IFERROR(INDEX(Register!$B$3:$B$1409,ROW(),0), "")</f>
        <v>Barcodes Inc</v>
      </c>
      <c r="B393" s="32" t="e">
        <f>VLOOKUP($A393,Register!$B$3:$E$1409,6,FALSE)</f>
        <v>#REF!</v>
      </c>
      <c r="C393" s="32" t="e">
        <f>VLOOKUP($A393,Register!$B$3:$E$1409,7,FALSE)</f>
        <v>#REF!</v>
      </c>
      <c r="D393" s="32" t="e">
        <f>VLOOKUP($A393,Register!$B$3:$E$1409,8,FALSE)</f>
        <v>#REF!</v>
      </c>
      <c r="E393" s="34" t="s">
        <v>148</v>
      </c>
    </row>
    <row r="394" spans="1:5" x14ac:dyDescent="0.25">
      <c r="A394" s="33" t="str" cm="1">
        <f t="array" ref="A394">IFERROR(INDEX(Register!$B$3:$B$1409,ROW(),0), "")</f>
        <v>Blackwoods  (J. Blackwood &amp; Son Pty. Ltd)</v>
      </c>
      <c r="B394" s="32" t="e">
        <f>VLOOKUP($A394,Register!$B$3:$E$1409,6,FALSE)</f>
        <v>#REF!</v>
      </c>
      <c r="C394" s="32" t="e">
        <f>VLOOKUP($A394,Register!$B$3:$E$1409,7,FALSE)</f>
        <v>#REF!</v>
      </c>
      <c r="D394" s="32" t="e">
        <f>VLOOKUP($A394,Register!$B$3:$E$1409,8,FALSE)</f>
        <v>#REF!</v>
      </c>
      <c r="E394" s="34" t="s">
        <v>148</v>
      </c>
    </row>
    <row r="395" spans="1:5" x14ac:dyDescent="0.25">
      <c r="A395" s="33" t="str" cm="1">
        <f t="array" ref="A395">IFERROR(INDEX(Register!$B$3:$B$1409,ROW(),0), "")</f>
        <v>Clarion Safety Systems, LLC</v>
      </c>
      <c r="B395" s="32" t="e">
        <f>VLOOKUP($A395,Register!$B$3:$E$1409,6,FALSE)</f>
        <v>#REF!</v>
      </c>
      <c r="C395" s="32" t="e">
        <f>VLOOKUP($A395,Register!$B$3:$E$1409,7,FALSE)</f>
        <v>#REF!</v>
      </c>
      <c r="D395" s="32" t="e">
        <f>VLOOKUP($A395,Register!$B$3:$E$1409,8,FALSE)</f>
        <v>#REF!</v>
      </c>
      <c r="E395" s="34" t="s">
        <v>148</v>
      </c>
    </row>
    <row r="396" spans="1:5" x14ac:dyDescent="0.25">
      <c r="A396" s="33" t="str" cm="1">
        <f t="array" ref="A396">IFERROR(INDEX(Register!$B$3:$B$1409,ROW(),0), "")</f>
        <v>Control Logic Pty Ltd</v>
      </c>
      <c r="B396" s="32" t="e">
        <f>VLOOKUP($A396,Register!$B$3:$E$1409,6,FALSE)</f>
        <v>#REF!</v>
      </c>
      <c r="C396" s="32" t="e">
        <f>VLOOKUP($A396,Register!$B$3:$E$1409,7,FALSE)</f>
        <v>#REF!</v>
      </c>
      <c r="D396" s="32" t="e">
        <f>VLOOKUP($A396,Register!$B$3:$E$1409,8,FALSE)</f>
        <v>#REF!</v>
      </c>
      <c r="E396" s="34" t="s">
        <v>5276</v>
      </c>
    </row>
    <row r="397" spans="1:5" x14ac:dyDescent="0.25">
      <c r="A397" s="33" t="str" cm="1">
        <f t="array" ref="A397">IFERROR(INDEX(Register!$B$3:$B$1409,ROW(),0), "")</f>
        <v>GRAINGER</v>
      </c>
      <c r="B397" s="32" t="e">
        <f>VLOOKUP($A397,Register!$B$3:$E$1409,6,FALSE)</f>
        <v>#REF!</v>
      </c>
      <c r="C397" s="32" t="e">
        <f>VLOOKUP($A397,Register!$B$3:$E$1409,7,FALSE)</f>
        <v>#REF!</v>
      </c>
      <c r="D397" s="32" t="e">
        <f>VLOOKUP($A397,Register!$B$3:$E$1409,8,FALSE)</f>
        <v>#REF!</v>
      </c>
      <c r="E397" s="34" t="s">
        <v>148</v>
      </c>
    </row>
    <row r="398" spans="1:5" x14ac:dyDescent="0.25">
      <c r="A398" s="33" t="str" cm="1">
        <f t="array" ref="A398">IFERROR(INDEX(Register!$B$3:$B$1409,ROW(),0), "")</f>
        <v>HISCO / ALL-SPEC INDUSTRIES</v>
      </c>
      <c r="B398" s="32" t="e">
        <f>VLOOKUP($A398,Register!$B$3:$E$1409,6,FALSE)</f>
        <v>#REF!</v>
      </c>
      <c r="C398" s="32" t="e">
        <f>VLOOKUP($A398,Register!$B$3:$E$1409,7,FALSE)</f>
        <v>#REF!</v>
      </c>
      <c r="D398" s="32" t="e">
        <f>VLOOKUP($A398,Register!$B$3:$E$1409,8,FALSE)</f>
        <v>#REF!</v>
      </c>
      <c r="E398" s="34" t="s">
        <v>148</v>
      </c>
    </row>
    <row r="399" spans="1:5" x14ac:dyDescent="0.25">
      <c r="A399" s="33" t="str" cm="1">
        <f t="array" ref="A399">IFERROR(INDEX(Register!$B$3:$B$1409,ROW(),0), "")</f>
        <v>J.W. Winco Inc</v>
      </c>
      <c r="B399" s="32" t="e">
        <f>VLOOKUP($A399,Register!$B$3:$E$1409,6,FALSE)</f>
        <v>#REF!</v>
      </c>
      <c r="C399" s="32" t="e">
        <f>VLOOKUP($A399,Register!$B$3:$E$1409,7,FALSE)</f>
        <v>#REF!</v>
      </c>
      <c r="D399" s="32" t="e">
        <f>VLOOKUP($A399,Register!$B$3:$E$1409,8,FALSE)</f>
        <v>#REF!</v>
      </c>
      <c r="E399" s="34" t="s">
        <v>148</v>
      </c>
    </row>
    <row r="400" spans="1:5" x14ac:dyDescent="0.25">
      <c r="A400" s="33" t="str" cm="1">
        <f t="array" ref="A400">IFERROR(INDEX(Register!$B$3:$B$1409,ROW(),0), "")</f>
        <v>Refast Pty Ltd</v>
      </c>
      <c r="B400" s="32" t="e">
        <f>VLOOKUP($A400,Register!$B$3:$E$1409,6,FALSE)</f>
        <v>#REF!</v>
      </c>
      <c r="C400" s="32" t="e">
        <f>VLOOKUP($A400,Register!$B$3:$E$1409,7,FALSE)</f>
        <v>#REF!</v>
      </c>
      <c r="D400" s="32" t="e">
        <f>VLOOKUP($A400,Register!$B$3:$E$1409,8,FALSE)</f>
        <v>#REF!</v>
      </c>
      <c r="E400" s="34" t="s">
        <v>148</v>
      </c>
    </row>
    <row r="401" spans="1:11" x14ac:dyDescent="0.25">
      <c r="A401" s="33" t="str" cm="1">
        <f t="array" ref="A401">IFERROR(INDEX(Register!$B$3:$B$1409,ROW(),0), "")</f>
        <v>Remtron Pty Ltd</v>
      </c>
      <c r="B401" s="32" t="e">
        <f>VLOOKUP($A401,Register!$B$3:$E$1409,6,FALSE)</f>
        <v>#REF!</v>
      </c>
      <c r="C401" s="32" t="e">
        <f>VLOOKUP($A401,Register!$B$3:$E$1409,7,FALSE)</f>
        <v>#REF!</v>
      </c>
      <c r="D401" s="32" t="e">
        <f>VLOOKUP($A401,Register!$B$3:$E$1409,8,FALSE)</f>
        <v>#REF!</v>
      </c>
      <c r="E401" s="34" t="s">
        <v>148</v>
      </c>
    </row>
    <row r="402" spans="1:11" x14ac:dyDescent="0.25">
      <c r="A402" s="33" t="str" cm="1">
        <f t="array" ref="A402">IFERROR(INDEX(Register!$B$3:$B$1409,ROW(),0), "")</f>
        <v>McNaughtans Pty Ltd</v>
      </c>
      <c r="B402" s="32" t="e">
        <f>VLOOKUP($A402,Register!$B$3:$E$1409,6,FALSE)</f>
        <v>#REF!</v>
      </c>
      <c r="C402" s="32" t="e">
        <f>VLOOKUP($A402,Register!$B$3:$E$1409,7,FALSE)</f>
        <v>#REF!</v>
      </c>
      <c r="D402" s="32" t="e">
        <f>VLOOKUP($A402,Register!$B$3:$E$1409,8,FALSE)</f>
        <v>#REF!</v>
      </c>
      <c r="E402" s="34" t="s">
        <v>148</v>
      </c>
    </row>
    <row r="403" spans="1:11" x14ac:dyDescent="0.25">
      <c r="A403" s="33" t="str" cm="1">
        <f t="array" ref="A403">IFERROR(INDEX(Register!$B$3:$B$1409,ROW(),0), "")</f>
        <v>MSC INDUSTRIAL SUPPLY</v>
      </c>
      <c r="B403" s="32" t="e">
        <f>VLOOKUP($A403,Register!$B$3:$E$1409,6,FALSE)</f>
        <v>#REF!</v>
      </c>
      <c r="C403" s="32" t="e">
        <f>VLOOKUP($A403,Register!$B$3:$E$1409,7,FALSE)</f>
        <v>#REF!</v>
      </c>
      <c r="D403" s="32" t="e">
        <f>VLOOKUP($A403,Register!$B$3:$E$1409,8,FALSE)</f>
        <v>#REF!</v>
      </c>
      <c r="E403" s="34" t="s">
        <v>148</v>
      </c>
    </row>
    <row r="404" spans="1:11" x14ac:dyDescent="0.25">
      <c r="A404" s="33" t="str" cm="1">
        <f t="array" ref="A404">IFERROR(INDEX(Register!$B$3:$B$1409,ROW(),0), "")</f>
        <v>RCS Products Pty Ltd</v>
      </c>
      <c r="B404" s="32" t="e">
        <f>VLOOKUP($A404,Register!$B$3:$E$1409,6,FALSE)</f>
        <v>#REF!</v>
      </c>
      <c r="C404" s="32" t="e">
        <f>VLOOKUP($A404,Register!$B$3:$E$1409,7,FALSE)</f>
        <v>#REF!</v>
      </c>
      <c r="D404" s="32" t="e">
        <f>VLOOKUP($A404,Register!$B$3:$E$1409,8,FALSE)</f>
        <v>#REF!</v>
      </c>
      <c r="E404" s="34" t="s">
        <v>148</v>
      </c>
    </row>
    <row r="405" spans="1:11" x14ac:dyDescent="0.25">
      <c r="A405" s="33" t="str" cm="1">
        <f t="array" ref="A405">IFERROR(INDEX(Register!$B$3:$B$1409,ROW(),0), "")</f>
        <v>Richmond Wheel &amp; Castor Co</v>
      </c>
      <c r="B405" s="32" t="e">
        <f>VLOOKUP($A405,Register!$B$3:$E$1409,6,FALSE)</f>
        <v>#REF!</v>
      </c>
      <c r="C405" s="32" t="e">
        <f>VLOOKUP($A405,Register!$B$3:$E$1409,7,FALSE)</f>
        <v>#REF!</v>
      </c>
      <c r="D405" s="32" t="e">
        <f>VLOOKUP($A405,Register!$B$3:$E$1409,8,FALSE)</f>
        <v>#REF!</v>
      </c>
      <c r="E405" s="34" t="s">
        <v>148</v>
      </c>
    </row>
    <row r="406" spans="1:11" x14ac:dyDescent="0.25">
      <c r="A406" s="33" t="str" cm="1">
        <f t="array" ref="A406">IFERROR(INDEX(Register!$B$3:$B$1409,ROW(),0), "")</f>
        <v>Grizzly Industrial Inc.</v>
      </c>
      <c r="B406" s="32" t="e">
        <f>VLOOKUP($A406,Register!$B$3:$E$1409,6,FALSE)</f>
        <v>#REF!</v>
      </c>
      <c r="C406" s="32" t="e">
        <f>VLOOKUP($A406,Register!$B$3:$E$1409,7,FALSE)</f>
        <v>#REF!</v>
      </c>
      <c r="D406" s="32" t="e">
        <f>VLOOKUP($A406,Register!$B$3:$E$1409,8,FALSE)</f>
        <v>#REF!</v>
      </c>
      <c r="E406" s="34" t="s">
        <v>148</v>
      </c>
    </row>
    <row r="407" spans="1:11" x14ac:dyDescent="0.25">
      <c r="A407" s="33" t="str" cm="1">
        <f t="array" ref="A407">IFERROR(INDEX(Register!$B$3:$B$1409,ROW(),0), "")</f>
        <v>Guhring Pty Ltd</v>
      </c>
      <c r="B407" s="32" t="e">
        <f>VLOOKUP($A407,Register!$B$3:$E$1409,6,FALSE)</f>
        <v>#REF!</v>
      </c>
      <c r="C407" s="32" t="e">
        <f>VLOOKUP($A407,Register!$B$3:$E$1409,7,FALSE)</f>
        <v>#REF!</v>
      </c>
      <c r="D407" s="32" t="e">
        <f>VLOOKUP($A407,Register!$B$3:$E$1409,8,FALSE)</f>
        <v>#REF!</v>
      </c>
      <c r="E407" s="34" t="s">
        <v>148</v>
      </c>
    </row>
    <row r="408" spans="1:11" x14ac:dyDescent="0.25">
      <c r="A408" s="33" t="str" cm="1">
        <f t="array" ref="A408">IFERROR(INDEX(Register!$B$3:$B$1409,ROW(),0), "")</f>
        <v>Oritech Pty Ltd</v>
      </c>
      <c r="B408" s="32" t="e">
        <f>VLOOKUP($A408,Register!$B$3:$E$1409,6,FALSE)</f>
        <v>#REF!</v>
      </c>
      <c r="C408" s="32" t="e">
        <f>VLOOKUP($A408,Register!$B$3:$E$1409,7,FALSE)</f>
        <v>#REF!</v>
      </c>
      <c r="D408" s="32" t="e">
        <f>VLOOKUP($A408,Register!$B$3:$E$1409,8,FALSE)</f>
        <v>#REF!</v>
      </c>
      <c r="E408" s="34" t="s">
        <v>148</v>
      </c>
    </row>
    <row r="409" spans="1:11" x14ac:dyDescent="0.25">
      <c r="A409" s="33" t="str" cm="1">
        <f t="array" ref="A409">IFERROR(INDEX(Register!$B$3:$B$1409,ROW(),0), "")</f>
        <v>Quador (Aust) Pty Ltd</v>
      </c>
      <c r="B409" s="32" t="e">
        <f>VLOOKUP($A409,Register!$B$3:$E$1409,6,FALSE)</f>
        <v>#REF!</v>
      </c>
      <c r="C409" s="32" t="e">
        <f>VLOOKUP($A409,Register!$B$3:$E$1409,7,FALSE)</f>
        <v>#REF!</v>
      </c>
      <c r="D409" s="32" t="e">
        <f>VLOOKUP($A409,Register!$B$3:$E$1409,8,FALSE)</f>
        <v>#REF!</v>
      </c>
      <c r="E409" s="34" t="s">
        <v>148</v>
      </c>
    </row>
    <row r="410" spans="1:11" x14ac:dyDescent="0.25">
      <c r="A410" s="33" t="str" cm="1">
        <f t="array" ref="A410">IFERROR(INDEX(Register!$B$3:$B$1409,ROW(),0), "")</f>
        <v>Swift Supplies Online Pty Ltd</v>
      </c>
      <c r="B410" s="32" t="e">
        <f>VLOOKUP($A410,Register!$B$3:$E$1409,6,FALSE)</f>
        <v>#REF!</v>
      </c>
      <c r="C410" s="32" t="e">
        <f>VLOOKUP($A410,Register!$B$3:$E$1409,7,FALSE)</f>
        <v>#REF!</v>
      </c>
      <c r="D410" s="32" t="e">
        <f>VLOOKUP($A410,Register!$B$3:$E$1409,8,FALSE)</f>
        <v>#REF!</v>
      </c>
      <c r="E410" s="34" t="s">
        <v>148</v>
      </c>
    </row>
    <row r="411" spans="1:11" x14ac:dyDescent="0.25">
      <c r="A411" s="33" t="str" cm="1">
        <f t="array" ref="A411">IFERROR(INDEX(Register!$B$3:$B$1409,ROW(),0), "")</f>
        <v>Wurth Electronics Australia Pty Ltd</v>
      </c>
      <c r="B411" s="32" t="e">
        <f>VLOOKUP($A411,Register!$B$3:$E$1409,6,FALSE)</f>
        <v>#REF!</v>
      </c>
      <c r="C411" s="32" t="e">
        <f>VLOOKUP($A411,Register!$B$3:$E$1409,7,FALSE)</f>
        <v>#REF!</v>
      </c>
      <c r="D411" s="32" t="e">
        <f>VLOOKUP($A411,Register!$B$3:$E$1409,8,FALSE)</f>
        <v>#REF!</v>
      </c>
      <c r="E411" s="34" t="s">
        <v>148</v>
      </c>
    </row>
    <row r="412" spans="1:11" x14ac:dyDescent="0.25">
      <c r="A412" s="33" t="str" cm="1">
        <f t="array" ref="A412">IFERROR(INDEX(Register!$B$3:$B$1409,ROW(),0), "")</f>
        <v>Wurth Service Supply</v>
      </c>
      <c r="B412" s="32" t="e">
        <f>VLOOKUP($A412,Register!$B$3:$E$1409,6,FALSE)</f>
        <v>#REF!</v>
      </c>
      <c r="C412" s="32" t="e">
        <f>VLOOKUP($A412,Register!$B$3:$E$1409,7,FALSE)</f>
        <v>#REF!</v>
      </c>
      <c r="D412" s="32" t="e">
        <f>VLOOKUP($A412,Register!$B$3:$E$1409,8,FALSE)</f>
        <v>#REF!</v>
      </c>
      <c r="E412" s="34" t="s">
        <v>148</v>
      </c>
    </row>
    <row r="413" spans="1:11" x14ac:dyDescent="0.25">
      <c r="A413" s="33" t="str" cm="1">
        <f t="array" ref="A413">IFERROR(INDEX(Register!$B$3:$B$1409,ROW(),0), "")</f>
        <v>Solder Master Supply Co.</v>
      </c>
      <c r="B413" s="32" t="e">
        <f>VLOOKUP($A413,Register!$B$3:$E$1409,6,FALSE)</f>
        <v>#REF!</v>
      </c>
      <c r="C413" s="32" t="e">
        <f>VLOOKUP($A413,Register!$B$3:$E$1409,7,FALSE)</f>
        <v>#REF!</v>
      </c>
      <c r="D413" s="32" t="e">
        <f>VLOOKUP($A413,Register!$B$3:$E$1409,8,FALSE)</f>
        <v>#REF!</v>
      </c>
      <c r="E413" s="34" t="s">
        <v>2381</v>
      </c>
    </row>
    <row r="414" spans="1:11" x14ac:dyDescent="0.25">
      <c r="A414" s="33" t="str" cm="1">
        <f t="array" ref="A414">IFERROR(INDEX(Register!$B$3:$B$1409,ROW(),0), "")</f>
        <v>Stelvio Kontek</v>
      </c>
      <c r="B414" s="32" t="e">
        <f>VLOOKUP($A414,Register!$B$3:$E$1409,6,FALSE)</f>
        <v>#REF!</v>
      </c>
      <c r="C414" s="32" t="e">
        <f>VLOOKUP($A414,Register!$B$3:$E$1409,7,FALSE)</f>
        <v>#REF!</v>
      </c>
      <c r="D414" s="32" t="e">
        <f>VLOOKUP($A414,Register!$B$3:$E$1409,8,FALSE)</f>
        <v>#REF!</v>
      </c>
      <c r="E414" s="34" t="s">
        <v>5277</v>
      </c>
      <c r="F414" s="34" t="s">
        <v>5278</v>
      </c>
      <c r="G414" s="34" t="s">
        <v>5279</v>
      </c>
      <c r="H414" s="34" t="s">
        <v>5280</v>
      </c>
      <c r="I414" s="34" t="s">
        <v>4445</v>
      </c>
      <c r="J414" s="34" t="s">
        <v>5281</v>
      </c>
      <c r="K414" s="34" t="s">
        <v>4448</v>
      </c>
    </row>
    <row r="415" spans="1:11" x14ac:dyDescent="0.25">
      <c r="A415" s="33" t="str" cm="1">
        <f t="array" ref="A415">IFERROR(INDEX(Register!$B$3:$B$1409,ROW(),0), "")</f>
        <v>Wurth Electronics (Singapore)</v>
      </c>
      <c r="B415" s="32" t="e">
        <f>VLOOKUP($A415,Register!$B$3:$E$1409,6,FALSE)</f>
        <v>#REF!</v>
      </c>
      <c r="C415" s="32" t="e">
        <f>VLOOKUP($A415,Register!$B$3:$E$1409,7,FALSE)</f>
        <v>#REF!</v>
      </c>
      <c r="D415" s="32" t="e">
        <f>VLOOKUP($A415,Register!$B$3:$E$1409,8,FALSE)</f>
        <v>#REF!</v>
      </c>
      <c r="E415" s="34" t="s">
        <v>148</v>
      </c>
    </row>
    <row r="416" spans="1:11" x14ac:dyDescent="0.25">
      <c r="A416" s="33" t="str" cm="1">
        <f t="array" ref="A416">IFERROR(INDEX(Register!$B$3:$B$1409,ROW(),0), "")</f>
        <v>WURTH ELEKTRONICS MIDCOM, INC.</v>
      </c>
      <c r="B416" s="32" t="e">
        <f>VLOOKUP($A416,Register!$B$3:$E$1409,6,FALSE)</f>
        <v>#REF!</v>
      </c>
      <c r="C416" s="32" t="e">
        <f>VLOOKUP($A416,Register!$B$3:$E$1409,7,FALSE)</f>
        <v>#REF!</v>
      </c>
      <c r="D416" s="32" t="e">
        <f>VLOOKUP($A416,Register!$B$3:$E$1409,8,FALSE)</f>
        <v>#REF!</v>
      </c>
      <c r="E416" s="34" t="s">
        <v>5282</v>
      </c>
    </row>
    <row r="417" spans="1:5" x14ac:dyDescent="0.25">
      <c r="A417" s="33" t="str" cm="1">
        <f t="array" ref="A417">IFERROR(INDEX(Register!$B$3:$B$1409,ROW(),0), "")</f>
        <v>Ortech Inc</v>
      </c>
      <c r="B417" s="32" t="e">
        <f>VLOOKUP($A417,Register!$B$3:$E$1409,6,FALSE)</f>
        <v>#REF!</v>
      </c>
      <c r="C417" s="32" t="e">
        <f>VLOOKUP($A417,Register!$B$3:$E$1409,7,FALSE)</f>
        <v>#REF!</v>
      </c>
      <c r="D417" s="32" t="e">
        <f>VLOOKUP($A417,Register!$B$3:$E$1409,8,FALSE)</f>
        <v>#REF!</v>
      </c>
      <c r="E417" s="34" t="s">
        <v>4637</v>
      </c>
    </row>
    <row r="418" spans="1:5" x14ac:dyDescent="0.25">
      <c r="A418" s="33" t="str" cm="1">
        <f t="array" ref="A418">IFERROR(INDEX(Register!$B$3:$B$1409,ROW(),0), "")</f>
        <v>ADLINK Technology, Inc.</v>
      </c>
      <c r="B418" s="32" t="e">
        <f>VLOOKUP($A418,Register!$B$3:$E$1409,6,FALSE)</f>
        <v>#REF!</v>
      </c>
      <c r="C418" s="32" t="e">
        <f>VLOOKUP($A418,Register!$B$3:$E$1409,7,FALSE)</f>
        <v>#REF!</v>
      </c>
      <c r="D418" s="32" t="e">
        <f>VLOOKUP($A418,Register!$B$3:$E$1409,8,FALSE)</f>
        <v>#REF!</v>
      </c>
      <c r="E418" s="34" t="s">
        <v>148</v>
      </c>
    </row>
    <row r="419" spans="1:5" x14ac:dyDescent="0.25">
      <c r="A419" s="33" t="str" cm="1">
        <f t="array" ref="A419">IFERROR(INDEX(Register!$B$3:$B$1409,ROW(),0), "")</f>
        <v>AWS (Amazon Web Services)</v>
      </c>
      <c r="B419" s="32" t="e">
        <f>VLOOKUP($A419,Register!$B$3:$E$1409,6,FALSE)</f>
        <v>#REF!</v>
      </c>
      <c r="C419" s="32" t="e">
        <f>VLOOKUP($A419,Register!$B$3:$E$1409,7,FALSE)</f>
        <v>#REF!</v>
      </c>
      <c r="D419" s="32" t="e">
        <f>VLOOKUP($A419,Register!$B$3:$E$1409,8,FALSE)</f>
        <v>#REF!</v>
      </c>
      <c r="E419" s="34" t="s">
        <v>148</v>
      </c>
    </row>
    <row r="420" spans="1:5" x14ac:dyDescent="0.25">
      <c r="A420" s="33" t="str" cm="1">
        <f t="array" ref="A420">IFERROR(INDEX(Register!$B$3:$B$1409,ROW(),0), "")</f>
        <v>Azure (Microsoft Azure)</v>
      </c>
      <c r="B420" s="32" t="e">
        <f>VLOOKUP($A420,Register!$B$3:$E$1409,6,FALSE)</f>
        <v>#REF!</v>
      </c>
      <c r="C420" s="32" t="e">
        <f>VLOOKUP($A420,Register!$B$3:$E$1409,7,FALSE)</f>
        <v>#REF!</v>
      </c>
      <c r="D420" s="32" t="e">
        <f>VLOOKUP($A420,Register!$B$3:$E$1409,8,FALSE)</f>
        <v>#REF!</v>
      </c>
      <c r="E420" s="34" t="s">
        <v>148</v>
      </c>
    </row>
    <row r="421" spans="1:5" x14ac:dyDescent="0.25">
      <c r="A421" s="33" t="str" cm="1">
        <f t="array" ref="A421">IFERROR(INDEX(Register!$B$3:$B$1409,ROW(),0), "")</f>
        <v>Blackberry</v>
      </c>
      <c r="B421" s="32" t="e">
        <f>VLOOKUP($A421,Register!$B$3:$E$1409,6,FALSE)</f>
        <v>#REF!</v>
      </c>
      <c r="C421" s="32" t="e">
        <f>VLOOKUP($A421,Register!$B$3:$E$1409,7,FALSE)</f>
        <v>#REF!</v>
      </c>
      <c r="D421" s="32" t="e">
        <f>VLOOKUP($A421,Register!$B$3:$E$1409,8,FALSE)</f>
        <v>#REF!</v>
      </c>
      <c r="E421" s="34" t="s">
        <v>148</v>
      </c>
    </row>
    <row r="422" spans="1:5" x14ac:dyDescent="0.25">
      <c r="A422" s="33" t="str" cm="1">
        <f t="array" ref="A422">IFERROR(INDEX(Register!$B$3:$B$1409,ROW(),0), "")</f>
        <v>CTRL Group</v>
      </c>
      <c r="B422" s="32" t="e">
        <f>VLOOKUP($A422,Register!$B$3:$E$1409,6,FALSE)</f>
        <v>#REF!</v>
      </c>
      <c r="C422" s="32" t="e">
        <f>VLOOKUP($A422,Register!$B$3:$E$1409,7,FALSE)</f>
        <v>#REF!</v>
      </c>
      <c r="D422" s="32" t="e">
        <f>VLOOKUP($A422,Register!$B$3:$E$1409,8,FALSE)</f>
        <v>#REF!</v>
      </c>
      <c r="E422" s="34" t="s">
        <v>148</v>
      </c>
    </row>
    <row r="423" spans="1:5" x14ac:dyDescent="0.25">
      <c r="A423" s="33" t="str" cm="1">
        <f t="array" ref="A423">IFERROR(INDEX(Register!$B$3:$B$1409,ROW(),0), "")</f>
        <v>Culture Amp</v>
      </c>
      <c r="B423" s="32" t="e">
        <f>VLOOKUP($A423,Register!$B$3:$E$1409,6,FALSE)</f>
        <v>#REF!</v>
      </c>
      <c r="C423" s="32" t="e">
        <f>VLOOKUP($A423,Register!$B$3:$E$1409,7,FALSE)</f>
        <v>#REF!</v>
      </c>
      <c r="D423" s="32" t="e">
        <f>VLOOKUP($A423,Register!$B$3:$E$1409,8,FALSE)</f>
        <v>#REF!</v>
      </c>
      <c r="E423" s="34" t="s">
        <v>148</v>
      </c>
    </row>
    <row r="424" spans="1:5" x14ac:dyDescent="0.25">
      <c r="A424" s="33" t="str" cm="1">
        <f t="array" ref="A424">IFERROR(INDEX(Register!$B$3:$B$1409,ROW(),0), "")</f>
        <v>CyberCX Pty Ltd</v>
      </c>
      <c r="B424" s="32" t="e">
        <f>VLOOKUP($A424,Register!$B$3:$E$1409,6,FALSE)</f>
        <v>#REF!</v>
      </c>
      <c r="C424" s="32" t="e">
        <f>VLOOKUP($A424,Register!$B$3:$E$1409,7,FALSE)</f>
        <v>#REF!</v>
      </c>
      <c r="D424" s="32" t="e">
        <f>VLOOKUP($A424,Register!$B$3:$E$1409,8,FALSE)</f>
        <v>#REF!</v>
      </c>
      <c r="E424" s="34" t="s">
        <v>148</v>
      </c>
    </row>
    <row r="425" spans="1:5" x14ac:dyDescent="0.25">
      <c r="A425" s="33" t="str" cm="1">
        <f t="array" ref="A425">IFERROR(INDEX(Register!$B$3:$B$1409,ROW(),0), "")</f>
        <v>Definium Technologies Pty Ltd</v>
      </c>
      <c r="B425" s="32" t="e">
        <f>VLOOKUP($A425,Register!$B$3:$E$1409,6,FALSE)</f>
        <v>#REF!</v>
      </c>
      <c r="C425" s="32" t="e">
        <f>VLOOKUP($A425,Register!$B$3:$E$1409,7,FALSE)</f>
        <v>#REF!</v>
      </c>
      <c r="D425" s="32" t="e">
        <f>VLOOKUP($A425,Register!$B$3:$E$1409,8,FALSE)</f>
        <v>#REF!</v>
      </c>
      <c r="E425" s="34" t="s">
        <v>148</v>
      </c>
    </row>
    <row r="426" spans="1:5" x14ac:dyDescent="0.25">
      <c r="A426" s="33" t="str" cm="1">
        <f t="array" ref="A426">IFERROR(INDEX(Register!$B$3:$B$1409,ROW(),0), "")</f>
        <v>Fedevel s.r.o</v>
      </c>
      <c r="B426" s="32" t="e">
        <f>VLOOKUP($A426,Register!$B$3:$E$1409,6,FALSE)</f>
        <v>#REF!</v>
      </c>
      <c r="C426" s="32" t="e">
        <f>VLOOKUP($A426,Register!$B$3:$E$1409,7,FALSE)</f>
        <v>#REF!</v>
      </c>
      <c r="D426" s="32" t="e">
        <f>VLOOKUP($A426,Register!$B$3:$E$1409,8,FALSE)</f>
        <v>#REF!</v>
      </c>
      <c r="E426" s="34" t="s">
        <v>148</v>
      </c>
    </row>
    <row r="427" spans="1:5" x14ac:dyDescent="0.25">
      <c r="A427" s="33" t="str" cm="1">
        <f t="array" ref="A427">IFERROR(INDEX(Register!$B$3:$B$1409,ROW(),0), "")</f>
        <v>4Cabling Pty Ltd</v>
      </c>
      <c r="B427" s="32" t="e">
        <f>VLOOKUP($A427,Register!$B$3:$E$1409,6,FALSE)</f>
        <v>#REF!</v>
      </c>
      <c r="C427" s="32" t="e">
        <f>VLOOKUP($A427,Register!$B$3:$E$1409,7,FALSE)</f>
        <v>#REF!</v>
      </c>
      <c r="D427" s="32" t="e">
        <f>VLOOKUP($A427,Register!$B$3:$E$1409,8,FALSE)</f>
        <v>#REF!</v>
      </c>
      <c r="E427" s="34" t="s">
        <v>148</v>
      </c>
    </row>
    <row r="428" spans="1:5" x14ac:dyDescent="0.25">
      <c r="A428" s="33" t="str" cm="1">
        <f t="array" ref="A428">IFERROR(INDEX(Register!$B$3:$B$1409,ROW(),0), "")</f>
        <v>Advantech Australia &amp; New Zealand</v>
      </c>
      <c r="B428" s="32" t="e">
        <f>VLOOKUP($A428,Register!$B$3:$E$1409,6,FALSE)</f>
        <v>#REF!</v>
      </c>
      <c r="C428" s="32" t="e">
        <f>VLOOKUP($A428,Register!$B$3:$E$1409,7,FALSE)</f>
        <v>#REF!</v>
      </c>
      <c r="D428" s="32" t="e">
        <f>VLOOKUP($A428,Register!$B$3:$E$1409,8,FALSE)</f>
        <v>#REF!</v>
      </c>
      <c r="E428" s="34" t="s">
        <v>5164</v>
      </c>
    </row>
    <row r="429" spans="1:5" x14ac:dyDescent="0.25">
      <c r="A429" s="33" t="str" cm="1">
        <f t="array" ref="A429">IFERROR(INDEX(Register!$B$3:$B$1409,ROW(),0), "")</f>
        <v>Amazon</v>
      </c>
      <c r="B429" s="32" t="e">
        <f>VLOOKUP($A429,Register!$B$3:$E$1409,6,FALSE)</f>
        <v>#REF!</v>
      </c>
      <c r="C429" s="32" t="e">
        <f>VLOOKUP($A429,Register!$B$3:$E$1409,7,FALSE)</f>
        <v>#REF!</v>
      </c>
      <c r="D429" s="32" t="e">
        <f>VLOOKUP($A429,Register!$B$3:$E$1409,8,FALSE)</f>
        <v>#REF!</v>
      </c>
      <c r="E429" s="34" t="s">
        <v>148</v>
      </c>
    </row>
    <row r="430" spans="1:5" x14ac:dyDescent="0.25">
      <c r="A430" s="33" t="str" cm="1">
        <f t="array" ref="A430">IFERROR(INDEX(Register!$B$3:$B$1409,ROW(),0), "")</f>
        <v>AMAZON.COM</v>
      </c>
      <c r="B430" s="32" t="e">
        <f>VLOOKUP($A430,Register!$B$3:$E$1409,6,FALSE)</f>
        <v>#REF!</v>
      </c>
      <c r="C430" s="32" t="e">
        <f>VLOOKUP($A430,Register!$B$3:$E$1409,7,FALSE)</f>
        <v>#REF!</v>
      </c>
      <c r="D430" s="32" t="e">
        <f>VLOOKUP($A430,Register!$B$3:$E$1409,8,FALSE)</f>
        <v>#REF!</v>
      </c>
      <c r="E430" s="34" t="s">
        <v>148</v>
      </c>
    </row>
    <row r="431" spans="1:5" x14ac:dyDescent="0.25">
      <c r="A431" s="33" t="str" cm="1">
        <f t="array" ref="A431">IFERROR(INDEX(Register!$B$3:$B$1409,ROW(),0), "")</f>
        <v>Antaira Technologies Co Ltd</v>
      </c>
      <c r="B431" s="32" t="e">
        <f>VLOOKUP($A431,Register!$B$3:$E$1409,6,FALSE)</f>
        <v>#REF!</v>
      </c>
      <c r="C431" s="32" t="e">
        <f>VLOOKUP($A431,Register!$B$3:$E$1409,7,FALSE)</f>
        <v>#REF!</v>
      </c>
      <c r="D431" s="32" t="e">
        <f>VLOOKUP($A431,Register!$B$3:$E$1409,8,FALSE)</f>
        <v>#REF!</v>
      </c>
      <c r="E431" s="34" t="s">
        <v>148</v>
      </c>
    </row>
    <row r="432" spans="1:5" x14ac:dyDescent="0.25">
      <c r="A432" s="33" t="str" cm="1">
        <f t="array" ref="A432">IFERROR(INDEX(Register!$B$3:$B$1409,ROW(),0), "")</f>
        <v>Aspen Systems Inc</v>
      </c>
      <c r="B432" s="32" t="e">
        <f>VLOOKUP($A432,Register!$B$3:$E$1409,6,FALSE)</f>
        <v>#REF!</v>
      </c>
      <c r="C432" s="32" t="e">
        <f>VLOOKUP($A432,Register!$B$3:$E$1409,7,FALSE)</f>
        <v>#REF!</v>
      </c>
      <c r="D432" s="32" t="e">
        <f>VLOOKUP($A432,Register!$B$3:$E$1409,8,FALSE)</f>
        <v>#REF!</v>
      </c>
      <c r="E432" s="34" t="s">
        <v>148</v>
      </c>
    </row>
    <row r="433" spans="1:5" x14ac:dyDescent="0.25">
      <c r="A433" s="33" t="str" cm="1">
        <f t="array" ref="A433">IFERROR(INDEX(Register!$B$3:$B$1409,ROW(),0), "")</f>
        <v>Avalue Technology Inc</v>
      </c>
      <c r="B433" s="32" t="e">
        <f>VLOOKUP($A433,Register!$B$3:$E$1409,6,FALSE)</f>
        <v>#REF!</v>
      </c>
      <c r="C433" s="32" t="e">
        <f>VLOOKUP($A433,Register!$B$3:$E$1409,7,FALSE)</f>
        <v>#REF!</v>
      </c>
      <c r="D433" s="32" t="e">
        <f>VLOOKUP($A433,Register!$B$3:$E$1409,8,FALSE)</f>
        <v>#REF!</v>
      </c>
      <c r="E433" s="34" t="s">
        <v>148</v>
      </c>
    </row>
    <row r="434" spans="1:5" x14ac:dyDescent="0.25">
      <c r="A434" s="33" t="str" cm="1">
        <f t="array" ref="A434">IFERROR(INDEX(Register!$B$3:$B$1409,ROW(),0), "")</f>
        <v>BitFenix</v>
      </c>
      <c r="B434" s="32" t="e">
        <f>VLOOKUP($A434,Register!$B$3:$E$1409,6,FALSE)</f>
        <v>#REF!</v>
      </c>
      <c r="C434" s="32" t="e">
        <f>VLOOKUP($A434,Register!$B$3:$E$1409,7,FALSE)</f>
        <v>#REF!</v>
      </c>
      <c r="D434" s="32" t="e">
        <f>VLOOKUP($A434,Register!$B$3:$E$1409,8,FALSE)</f>
        <v>#REF!</v>
      </c>
      <c r="E434" s="34" t="s">
        <v>148</v>
      </c>
    </row>
    <row r="435" spans="1:5" x14ac:dyDescent="0.25">
      <c r="A435" s="33" t="str" cm="1">
        <f t="array" ref="A435">IFERROR(INDEX(Register!$B$3:$B$1409,ROW(),0), "")</f>
        <v>Budget PC</v>
      </c>
      <c r="B435" s="32" t="e">
        <f>VLOOKUP($A435,Register!$B$3:$E$1409,6,FALSE)</f>
        <v>#REF!</v>
      </c>
      <c r="C435" s="32" t="e">
        <f>VLOOKUP($A435,Register!$B$3:$E$1409,7,FALSE)</f>
        <v>#REF!</v>
      </c>
      <c r="D435" s="32" t="e">
        <f>VLOOKUP($A435,Register!$B$3:$E$1409,8,FALSE)</f>
        <v>#REF!</v>
      </c>
      <c r="E435" s="34" t="s">
        <v>148</v>
      </c>
    </row>
    <row r="436" spans="1:5" x14ac:dyDescent="0.25">
      <c r="A436" s="33" t="str" cm="1">
        <f t="array" ref="A436">IFERROR(INDEX(Register!$B$3:$B$1409,ROW(),0), "")</f>
        <v>CDW Direct</v>
      </c>
      <c r="B436" s="32" t="e">
        <f>VLOOKUP($A436,Register!$B$3:$E$1409,6,FALSE)</f>
        <v>#REF!</v>
      </c>
      <c r="C436" s="32" t="e">
        <f>VLOOKUP($A436,Register!$B$3:$E$1409,7,FALSE)</f>
        <v>#REF!</v>
      </c>
      <c r="D436" s="32" t="e">
        <f>VLOOKUP($A436,Register!$B$3:$E$1409,8,FALSE)</f>
        <v>#REF!</v>
      </c>
      <c r="E436" s="34" t="s">
        <v>148</v>
      </c>
    </row>
    <row r="437" spans="1:5" x14ac:dyDescent="0.25">
      <c r="A437" s="33" t="str" cm="1">
        <f t="array" ref="A437">IFERROR(INDEX(Register!$B$3:$B$1409,ROW(),0), "")</f>
        <v>Centre Com Sunshine Pty Ltd</v>
      </c>
      <c r="B437" s="32" t="e">
        <f>VLOOKUP($A437,Register!$B$3:$E$1409,6,FALSE)</f>
        <v>#REF!</v>
      </c>
      <c r="C437" s="32" t="e">
        <f>VLOOKUP($A437,Register!$B$3:$E$1409,7,FALSE)</f>
        <v>#REF!</v>
      </c>
      <c r="D437" s="32" t="e">
        <f>VLOOKUP($A437,Register!$B$3:$E$1409,8,FALSE)</f>
        <v>#REF!</v>
      </c>
      <c r="E437" s="34" t="s">
        <v>148</v>
      </c>
    </row>
    <row r="438" spans="1:5" x14ac:dyDescent="0.25">
      <c r="A438" s="33" t="str" cm="1">
        <f t="array" ref="A438">IFERROR(INDEX(Register!$B$3:$B$1409,ROW(),0), "")</f>
        <v>Dell Australia</v>
      </c>
      <c r="B438" s="32" t="e">
        <f>VLOOKUP($A438,Register!$B$3:$E$1409,6,FALSE)</f>
        <v>#REF!</v>
      </c>
      <c r="C438" s="32" t="e">
        <f>VLOOKUP($A438,Register!$B$3:$E$1409,7,FALSE)</f>
        <v>#REF!</v>
      </c>
      <c r="D438" s="32" t="e">
        <f>VLOOKUP($A438,Register!$B$3:$E$1409,8,FALSE)</f>
        <v>#REF!</v>
      </c>
      <c r="E438" s="34" t="s">
        <v>148</v>
      </c>
    </row>
    <row r="439" spans="1:5" x14ac:dyDescent="0.25">
      <c r="A439" s="33" t="str" cm="1">
        <f t="array" ref="A439">IFERROR(INDEX(Register!$B$3:$B$1409,ROW(),0), "")</f>
        <v>Dell Marketing L.P.</v>
      </c>
      <c r="B439" s="32" t="e">
        <f>VLOOKUP($A439,Register!$B$3:$E$1409,6,FALSE)</f>
        <v>#REF!</v>
      </c>
      <c r="C439" s="32" t="e">
        <f>VLOOKUP($A439,Register!$B$3:$E$1409,7,FALSE)</f>
        <v>#REF!</v>
      </c>
      <c r="D439" s="32" t="e">
        <f>VLOOKUP($A439,Register!$B$3:$E$1409,8,FALSE)</f>
        <v>#REF!</v>
      </c>
      <c r="E439" s="34" t="s">
        <v>148</v>
      </c>
    </row>
    <row r="440" spans="1:5" x14ac:dyDescent="0.25">
      <c r="A440" s="33" t="str" cm="1">
        <f t="array" ref="A440">IFERROR(INDEX(Register!$B$3:$B$1409,ROW(),0), "")</f>
        <v>Flashbay Pty Ltd</v>
      </c>
      <c r="B440" s="32" t="e">
        <f>VLOOKUP($A440,Register!$B$3:$E$1409,6,FALSE)</f>
        <v>#REF!</v>
      </c>
      <c r="C440" s="32" t="e">
        <f>VLOOKUP($A440,Register!$B$3:$E$1409,7,FALSE)</f>
        <v>#REF!</v>
      </c>
      <c r="D440" s="32" t="e">
        <f>VLOOKUP($A440,Register!$B$3:$E$1409,8,FALSE)</f>
        <v>#REF!</v>
      </c>
      <c r="E440" s="34" t="s">
        <v>148</v>
      </c>
    </row>
    <row r="441" spans="1:5" x14ac:dyDescent="0.25">
      <c r="A441" s="33" t="str" cm="1">
        <f t="array" ref="A441">IFERROR(INDEX(Register!$B$3:$B$1409,ROW(),0), "")</f>
        <v>OnLogic Inc (Logic Supply Inc)</v>
      </c>
      <c r="B441" s="32" t="e">
        <f>VLOOKUP($A441,Register!$B$3:$E$1409,6,FALSE)</f>
        <v>#REF!</v>
      </c>
      <c r="C441" s="32" t="e">
        <f>VLOOKUP($A441,Register!$B$3:$E$1409,7,FALSE)</f>
        <v>#REF!</v>
      </c>
      <c r="D441" s="32" t="e">
        <f>VLOOKUP($A441,Register!$B$3:$E$1409,8,FALSE)</f>
        <v>#REF!</v>
      </c>
      <c r="E441" s="34" t="s">
        <v>148</v>
      </c>
    </row>
    <row r="442" spans="1:5" x14ac:dyDescent="0.25">
      <c r="A442" s="33" t="str" cm="1">
        <f t="array" ref="A442">IFERROR(INDEX(Register!$B$3:$B$1409,ROW(),0), "")</f>
        <v>Bright Point (Ingram) North America</v>
      </c>
      <c r="B442" s="32" t="e">
        <f>VLOOKUP($A442,Register!$B$3:$E$1409,6,FALSE)</f>
        <v>#REF!</v>
      </c>
      <c r="C442" s="32" t="e">
        <f>VLOOKUP($A442,Register!$B$3:$E$1409,7,FALSE)</f>
        <v>#REF!</v>
      </c>
      <c r="D442" s="32" t="e">
        <f>VLOOKUP($A442,Register!$B$3:$E$1409,8,FALSE)</f>
        <v>#REF!</v>
      </c>
      <c r="E442" s="34" t="s">
        <v>148</v>
      </c>
    </row>
    <row r="443" spans="1:5" x14ac:dyDescent="0.25">
      <c r="A443" s="33" t="str" cm="1">
        <f t="array" ref="A443">IFERROR(INDEX(Register!$B$3:$B$1409,ROW(),0), "")</f>
        <v>Iron Mountain Australia Group Pty Ltd</v>
      </c>
      <c r="B443" s="32" t="e">
        <f>VLOOKUP($A443,Register!$B$3:$E$1409,6,FALSE)</f>
        <v>#REF!</v>
      </c>
      <c r="C443" s="32" t="e">
        <f>VLOOKUP($A443,Register!$B$3:$E$1409,7,FALSE)</f>
        <v>#REF!</v>
      </c>
      <c r="D443" s="32" t="e">
        <f>VLOOKUP($A443,Register!$B$3:$E$1409,8,FALSE)</f>
        <v>#REF!</v>
      </c>
      <c r="E443" s="34" t="s">
        <v>148</v>
      </c>
    </row>
    <row r="444" spans="1:5" x14ac:dyDescent="0.25">
      <c r="A444" s="33" t="str" cm="1">
        <f t="array" ref="A444">IFERROR(INDEX(Register!$B$3:$B$1409,ROW(),0), "")</f>
        <v>Kontron America Inc</v>
      </c>
      <c r="B444" s="32" t="e">
        <f>VLOOKUP($A444,Register!$B$3:$E$1409,6,FALSE)</f>
        <v>#REF!</v>
      </c>
      <c r="C444" s="32" t="e">
        <f>VLOOKUP($A444,Register!$B$3:$E$1409,7,FALSE)</f>
        <v>#REF!</v>
      </c>
      <c r="D444" s="32" t="e">
        <f>VLOOKUP($A444,Register!$B$3:$E$1409,8,FALSE)</f>
        <v>#REF!</v>
      </c>
      <c r="E444" s="34" t="s">
        <v>148</v>
      </c>
    </row>
    <row r="445" spans="1:5" x14ac:dyDescent="0.25">
      <c r="A445" s="33" t="str" cm="1">
        <f t="array" ref="A445">IFERROR(INDEX(Register!$B$3:$B$1409,ROW(),0), "")</f>
        <v>Mwave</v>
      </c>
      <c r="B445" s="32" t="e">
        <f>VLOOKUP($A445,Register!$B$3:$E$1409,6,FALSE)</f>
        <v>#REF!</v>
      </c>
      <c r="C445" s="32" t="e">
        <f>VLOOKUP($A445,Register!$B$3:$E$1409,7,FALSE)</f>
        <v>#REF!</v>
      </c>
      <c r="D445" s="32" t="e">
        <f>VLOOKUP($A445,Register!$B$3:$E$1409,8,FALSE)</f>
        <v>#REF!</v>
      </c>
      <c r="E445" s="34" t="s">
        <v>148</v>
      </c>
    </row>
    <row r="446" spans="1:5" x14ac:dyDescent="0.25">
      <c r="A446" s="33" t="str" cm="1">
        <f t="array" ref="A446">IFERROR(INDEX(Register!$B$3:$B$1409,ROW(),0), "")</f>
        <v>NetworkTigers.com</v>
      </c>
      <c r="B446" s="32" t="e">
        <f>VLOOKUP($A446,Register!$B$3:$E$1409,6,FALSE)</f>
        <v>#REF!</v>
      </c>
      <c r="C446" s="32" t="e">
        <f>VLOOKUP($A446,Register!$B$3:$E$1409,7,FALSE)</f>
        <v>#REF!</v>
      </c>
      <c r="D446" s="32" t="e">
        <f>VLOOKUP($A446,Register!$B$3:$E$1409,8,FALSE)</f>
        <v>#REF!</v>
      </c>
      <c r="E446" s="34" t="s">
        <v>148</v>
      </c>
    </row>
    <row r="447" spans="1:5" x14ac:dyDescent="0.25">
      <c r="A447" s="33" t="str" cm="1">
        <f t="array" ref="A447">IFERROR(INDEX(Register!$B$3:$B$1409,ROW(),0), "")</f>
        <v>Parity Network Solutions, LLC</v>
      </c>
      <c r="B447" s="32" t="e">
        <f>VLOOKUP($A447,Register!$B$3:$E$1409,6,FALSE)</f>
        <v>#REF!</v>
      </c>
      <c r="C447" s="32" t="e">
        <f>VLOOKUP($A447,Register!$B$3:$E$1409,7,FALSE)</f>
        <v>#REF!</v>
      </c>
      <c r="D447" s="32" t="e">
        <f>VLOOKUP($A447,Register!$B$3:$E$1409,8,FALSE)</f>
        <v>#REF!</v>
      </c>
      <c r="E447" s="34" t="s">
        <v>148</v>
      </c>
    </row>
    <row r="448" spans="1:5" x14ac:dyDescent="0.25">
      <c r="A448" s="33" t="str" cm="1">
        <f t="array" ref="A448">IFERROR(INDEX(Register!$B$3:$B$1409,ROW(),0), "")</f>
        <v>Qnap Direct</v>
      </c>
      <c r="B448" s="32" t="e">
        <f>VLOOKUP($A448,Register!$B$3:$E$1409,6,FALSE)</f>
        <v>#REF!</v>
      </c>
      <c r="C448" s="32" t="e">
        <f>VLOOKUP($A448,Register!$B$3:$E$1409,7,FALSE)</f>
        <v>#REF!</v>
      </c>
      <c r="D448" s="32" t="e">
        <f>VLOOKUP($A448,Register!$B$3:$E$1409,8,FALSE)</f>
        <v>#REF!</v>
      </c>
      <c r="E448" s="34" t="s">
        <v>148</v>
      </c>
    </row>
    <row r="449" spans="1:7" x14ac:dyDescent="0.25">
      <c r="A449" s="33" t="str" cm="1">
        <f t="array" ref="A449">IFERROR(INDEX(Register!$B$3:$B$1409,ROW(),0), "")</f>
        <v>Scorptec Computers</v>
      </c>
      <c r="B449" s="32" t="e">
        <f>VLOOKUP($A449,Register!$B$3:$E$1409,6,FALSE)</f>
        <v>#REF!</v>
      </c>
      <c r="C449" s="32" t="e">
        <f>VLOOKUP($A449,Register!$B$3:$E$1409,7,FALSE)</f>
        <v>#REF!</v>
      </c>
      <c r="D449" s="32" t="e">
        <f>VLOOKUP($A449,Register!$B$3:$E$1409,8,FALSE)</f>
        <v>#REF!</v>
      </c>
      <c r="E449" s="34" t="s">
        <v>148</v>
      </c>
    </row>
    <row r="450" spans="1:7" x14ac:dyDescent="0.25">
      <c r="A450" s="33" t="str" cm="1">
        <f t="array" ref="A450">IFERROR(INDEX(Register!$B$3:$B$1409,ROW(),0), "")</f>
        <v>Syba Multimedia Inc</v>
      </c>
      <c r="B450" s="32" t="e">
        <f>VLOOKUP($A450,Register!$B$3:$E$1409,6,FALSE)</f>
        <v>#REF!</v>
      </c>
      <c r="C450" s="32" t="e">
        <f>VLOOKUP($A450,Register!$B$3:$E$1409,7,FALSE)</f>
        <v>#REF!</v>
      </c>
      <c r="D450" s="32" t="e">
        <f>VLOOKUP($A450,Register!$B$3:$E$1409,8,FALSE)</f>
        <v>#REF!</v>
      </c>
      <c r="E450" s="34" t="s">
        <v>148</v>
      </c>
    </row>
    <row r="451" spans="1:7" x14ac:dyDescent="0.25">
      <c r="A451" s="33" t="str" cm="1">
        <f t="array" ref="A451">IFERROR(INDEX(Register!$B$3:$B$1409,ROW(),0), "")</f>
        <v>Trenz Electronic GmbH</v>
      </c>
      <c r="B451" s="32" t="e">
        <f>VLOOKUP($A451,Register!$B$3:$E$1409,6,FALSE)</f>
        <v>#REF!</v>
      </c>
      <c r="C451" s="32" t="e">
        <f>VLOOKUP($A451,Register!$B$3:$E$1409,7,FALSE)</f>
        <v>#REF!</v>
      </c>
      <c r="D451" s="32" t="e">
        <f>VLOOKUP($A451,Register!$B$3:$E$1409,8,FALSE)</f>
        <v>#REF!</v>
      </c>
      <c r="E451" s="34" t="s">
        <v>148</v>
      </c>
    </row>
    <row r="452" spans="1:7" x14ac:dyDescent="0.25">
      <c r="A452" s="33" t="str" cm="1">
        <f t="array" ref="A452">IFERROR(INDEX(Register!$B$3:$B$1409,ROW(),0), "")</f>
        <v>Variscite Ltd</v>
      </c>
      <c r="B452" s="32" t="e">
        <f>VLOOKUP($A452,Register!$B$3:$E$1409,6,FALSE)</f>
        <v>#REF!</v>
      </c>
      <c r="C452" s="32" t="e">
        <f>VLOOKUP($A452,Register!$B$3:$E$1409,7,FALSE)</f>
        <v>#REF!</v>
      </c>
      <c r="D452" s="32" t="e">
        <f>VLOOKUP($A452,Register!$B$3:$E$1409,8,FALSE)</f>
        <v>#REF!</v>
      </c>
      <c r="E452" s="34" t="s">
        <v>148</v>
      </c>
    </row>
    <row r="453" spans="1:7" x14ac:dyDescent="0.25">
      <c r="A453" s="33" t="str" cm="1">
        <f t="array" ref="A453">IFERROR(INDEX(Register!$B$3:$B$1409,ROW(),0), "")</f>
        <v>VISITS</v>
      </c>
      <c r="B453" s="32" t="e">
        <f>VLOOKUP($A453,Register!$B$3:$E$1409,6,FALSE)</f>
        <v>#REF!</v>
      </c>
      <c r="C453" s="32" t="e">
        <f>VLOOKUP($A453,Register!$B$3:$E$1409,7,FALSE)</f>
        <v>#REF!</v>
      </c>
      <c r="D453" s="32" t="e">
        <f>VLOOKUP($A453,Register!$B$3:$E$1409,8,FALSE)</f>
        <v>#REF!</v>
      </c>
      <c r="E453" s="34" t="s">
        <v>3271</v>
      </c>
    </row>
    <row r="454" spans="1:7" x14ac:dyDescent="0.25">
      <c r="A454" s="33" t="str" cm="1">
        <f t="array" ref="A454">IFERROR(INDEX(Register!$B$3:$B$1409,ROW(),0), "")</f>
        <v>IPSec Pty Ltd</v>
      </c>
      <c r="B454" s="32" t="e">
        <f>VLOOKUP($A454,Register!$B$3:$E$1409,6,FALSE)</f>
        <v>#REF!</v>
      </c>
      <c r="C454" s="32" t="e">
        <f>VLOOKUP($A454,Register!$B$3:$E$1409,7,FALSE)</f>
        <v>#REF!</v>
      </c>
      <c r="D454" s="32" t="e">
        <f>VLOOKUP($A454,Register!$B$3:$E$1409,8,FALSE)</f>
        <v>#REF!</v>
      </c>
      <c r="E454" s="34" t="s">
        <v>148</v>
      </c>
    </row>
    <row r="455" spans="1:7" x14ac:dyDescent="0.25">
      <c r="A455" s="33" t="str" cm="1">
        <f t="array" ref="A455">IFERROR(INDEX(Register!$B$3:$B$1409,ROW(),0), "")</f>
        <v>Provantage LLC</v>
      </c>
      <c r="B455" s="32" t="e">
        <f>VLOOKUP($A455,Register!$B$3:$E$1409,6,FALSE)</f>
        <v>#REF!</v>
      </c>
      <c r="C455" s="32" t="e">
        <f>VLOOKUP($A455,Register!$B$3:$E$1409,7,FALSE)</f>
        <v>#REF!</v>
      </c>
      <c r="D455" s="32" t="e">
        <f>VLOOKUP($A455,Register!$B$3:$E$1409,8,FALSE)</f>
        <v>#REF!</v>
      </c>
      <c r="E455" s="34" t="s">
        <v>148</v>
      </c>
    </row>
    <row r="456" spans="1:7" x14ac:dyDescent="0.25">
      <c r="A456" s="33" t="str" cm="1">
        <f t="array" ref="A456">IFERROR(INDEX(Register!$B$3:$B$1409,ROW(),0), "")</f>
        <v>Simply NUC</v>
      </c>
      <c r="B456" s="32" t="e">
        <f>VLOOKUP($A456,Register!$B$3:$E$1409,6,FALSE)</f>
        <v>#REF!</v>
      </c>
      <c r="C456" s="32" t="e">
        <f>VLOOKUP($A456,Register!$B$3:$E$1409,7,FALSE)</f>
        <v>#REF!</v>
      </c>
      <c r="D456" s="32" t="e">
        <f>VLOOKUP($A456,Register!$B$3:$E$1409,8,FALSE)</f>
        <v>#REF!</v>
      </c>
      <c r="E456" s="34" t="s">
        <v>148</v>
      </c>
    </row>
    <row r="457" spans="1:7" x14ac:dyDescent="0.25">
      <c r="A457" s="33" t="str" cm="1">
        <f t="array" ref="A457">IFERROR(INDEX(Register!$B$3:$B$1409,ROW(),0), "")</f>
        <v>TIMG Databank Technologies</v>
      </c>
      <c r="B457" s="32" t="e">
        <f>VLOOKUP($A457,Register!$B$3:$E$1409,6,FALSE)</f>
        <v>#REF!</v>
      </c>
      <c r="C457" s="32" t="e">
        <f>VLOOKUP($A457,Register!$B$3:$E$1409,7,FALSE)</f>
        <v>#REF!</v>
      </c>
      <c r="D457" s="32" t="e">
        <f>VLOOKUP($A457,Register!$B$3:$E$1409,8,FALSE)</f>
        <v>#REF!</v>
      </c>
      <c r="E457" s="34" t="s">
        <v>4791</v>
      </c>
      <c r="F457" s="34" t="s">
        <v>4792</v>
      </c>
      <c r="G457" s="34" t="s">
        <v>4793</v>
      </c>
    </row>
    <row r="458" spans="1:7" x14ac:dyDescent="0.25">
      <c r="A458" s="33" t="str" cm="1">
        <f t="array" ref="A458">IFERROR(INDEX(Register!$B$3:$B$1409,ROW(),0), "")</f>
        <v>Volkis</v>
      </c>
      <c r="B458" s="32" t="e">
        <f>VLOOKUP($A458,Register!$B$3:$E$1409,6,FALSE)</f>
        <v>#REF!</v>
      </c>
      <c r="C458" s="32" t="e">
        <f>VLOOKUP($A458,Register!$B$3:$E$1409,7,FALSE)</f>
        <v>#REF!</v>
      </c>
      <c r="D458" s="32" t="e">
        <f>VLOOKUP($A458,Register!$B$3:$E$1409,8,FALSE)</f>
        <v>#REF!</v>
      </c>
      <c r="E458" s="34" t="s">
        <v>148</v>
      </c>
    </row>
    <row r="459" spans="1:7" x14ac:dyDescent="0.25">
      <c r="A459" s="33" t="str" cm="1">
        <f t="array" ref="A459">IFERROR(INDEX(Register!$B$3:$B$1409,ROW(),0), "")</f>
        <v>Wavelink LLC</v>
      </c>
      <c r="B459" s="32" t="e">
        <f>VLOOKUP($A459,Register!$B$3:$E$1409,6,FALSE)</f>
        <v>#REF!</v>
      </c>
      <c r="C459" s="32" t="e">
        <f>VLOOKUP($A459,Register!$B$3:$E$1409,7,FALSE)</f>
        <v>#REF!</v>
      </c>
      <c r="D459" s="32" t="e">
        <f>VLOOKUP($A459,Register!$B$3:$E$1409,8,FALSE)</f>
        <v>#REF!</v>
      </c>
      <c r="E459" s="34" t="s">
        <v>148</v>
      </c>
    </row>
    <row r="460" spans="1:7" x14ac:dyDescent="0.25">
      <c r="A460" s="33" t="str" cm="1">
        <f t="array" ref="A460">IFERROR(INDEX(Register!$B$3:$B$1409,ROW(),0), "")</f>
        <v>Zadarma</v>
      </c>
      <c r="B460" s="32" t="e">
        <f>VLOOKUP($A460,Register!$B$3:$E$1409,6,FALSE)</f>
        <v>#REF!</v>
      </c>
      <c r="C460" s="32" t="e">
        <f>VLOOKUP($A460,Register!$B$3:$E$1409,7,FALSE)</f>
        <v>#REF!</v>
      </c>
      <c r="D460" s="32" t="e">
        <f>VLOOKUP($A460,Register!$B$3:$E$1409,8,FALSE)</f>
        <v>#REF!</v>
      </c>
      <c r="E460" s="34" t="s">
        <v>148</v>
      </c>
    </row>
    <row r="461" spans="1:7" x14ac:dyDescent="0.25">
      <c r="A461" s="33" t="str" cm="1">
        <f t="array" ref="A461">IFERROR(INDEX(Register!$B$3:$B$1409,ROW(),0), "")</f>
        <v>Minaris Medical America, Inc</v>
      </c>
      <c r="B461" s="32" t="e">
        <f>VLOOKUP($A461,Register!$B$3:$E$1409,6,FALSE)</f>
        <v>#REF!</v>
      </c>
      <c r="C461" s="32" t="e">
        <f>VLOOKUP($A461,Register!$B$3:$E$1409,7,FALSE)</f>
        <v>#REF!</v>
      </c>
      <c r="D461" s="32" t="e">
        <f>VLOOKUP($A461,Register!$B$3:$E$1409,8,FALSE)</f>
        <v>#REF!</v>
      </c>
      <c r="E461" s="34" t="s">
        <v>148</v>
      </c>
    </row>
    <row r="462" spans="1:7" x14ac:dyDescent="0.25">
      <c r="A462" s="33" t="str" cm="1">
        <f t="array" ref="A462">IFERROR(INDEX(Register!$B$3:$B$1409,ROW(),0), "")</f>
        <v>IVF Australia</v>
      </c>
      <c r="B462" s="32" t="e">
        <f>VLOOKUP($A462,Register!$B$3:$E$1409,6,FALSE)</f>
        <v>#REF!</v>
      </c>
      <c r="C462" s="32" t="e">
        <f>VLOOKUP($A462,Register!$B$3:$E$1409,7,FALSE)</f>
        <v>#REF!</v>
      </c>
      <c r="D462" s="32" t="e">
        <f>VLOOKUP($A462,Register!$B$3:$E$1409,8,FALSE)</f>
        <v>#REF!</v>
      </c>
      <c r="E462" s="34" t="s">
        <v>148</v>
      </c>
    </row>
    <row r="463" spans="1:7" x14ac:dyDescent="0.25">
      <c r="A463" s="33" t="str" cm="1">
        <f t="array" ref="A463">IFERROR(INDEX(Register!$B$3:$B$1409,ROW(),0), "")</f>
        <v>Abacus dx Pty Ltd</v>
      </c>
      <c r="B463" s="32" t="e">
        <f>VLOOKUP($A463,Register!$B$3:$E$1409,6,FALSE)</f>
        <v>#REF!</v>
      </c>
      <c r="C463" s="32" t="e">
        <f>VLOOKUP($A463,Register!$B$3:$E$1409,7,FALSE)</f>
        <v>#REF!</v>
      </c>
      <c r="D463" s="32" t="e">
        <f>VLOOKUP($A463,Register!$B$3:$E$1409,8,FALSE)</f>
        <v>#REF!</v>
      </c>
      <c r="E463" s="34" t="s">
        <v>148</v>
      </c>
    </row>
    <row r="464" spans="1:7" x14ac:dyDescent="0.25">
      <c r="A464" s="33" t="str" cm="1">
        <f t="array" ref="A464">IFERROR(INDEX(Register!$B$3:$B$1409,ROW(),0), "")</f>
        <v>Amscope (United Scope)</v>
      </c>
      <c r="B464" s="32" t="e">
        <f>VLOOKUP($A464,Register!$B$3:$E$1409,6,FALSE)</f>
        <v>#REF!</v>
      </c>
      <c r="C464" s="32" t="e">
        <f>VLOOKUP($A464,Register!$B$3:$E$1409,7,FALSE)</f>
        <v>#REF!</v>
      </c>
      <c r="D464" s="32" t="e">
        <f>VLOOKUP($A464,Register!$B$3:$E$1409,8,FALSE)</f>
        <v>#REF!</v>
      </c>
      <c r="E464" s="34" t="s">
        <v>148</v>
      </c>
    </row>
    <row r="465" spans="1:6" x14ac:dyDescent="0.25">
      <c r="A465" s="33" t="str" cm="1">
        <f t="array" ref="A465">IFERROR(INDEX(Register!$B$3:$B$1409,ROW(),0), "")</f>
        <v>Clifford Hallam Healthcare</v>
      </c>
      <c r="B465" s="32" t="e">
        <f>VLOOKUP($A465,Register!$B$3:$E$1409,6,FALSE)</f>
        <v>#REF!</v>
      </c>
      <c r="C465" s="32" t="e">
        <f>VLOOKUP($A465,Register!$B$3:$E$1409,7,FALSE)</f>
        <v>#REF!</v>
      </c>
      <c r="D465" s="32" t="e">
        <f>VLOOKUP($A465,Register!$B$3:$E$1409,8,FALSE)</f>
        <v>#REF!</v>
      </c>
      <c r="E465" s="34" t="s">
        <v>148</v>
      </c>
    </row>
    <row r="466" spans="1:6" x14ac:dyDescent="0.25">
      <c r="A466" s="33" t="str" cm="1">
        <f t="array" ref="A466">IFERROR(INDEX(Register!$B$3:$B$1409,ROW(),0), "")</f>
        <v>Eppendorf South Pacific Pty Ltd</v>
      </c>
      <c r="B466" s="32" t="e">
        <f>VLOOKUP($A466,Register!$B$3:$E$1409,6,FALSE)</f>
        <v>#REF!</v>
      </c>
      <c r="C466" s="32" t="e">
        <f>VLOOKUP($A466,Register!$B$3:$E$1409,7,FALSE)</f>
        <v>#REF!</v>
      </c>
      <c r="D466" s="32" t="e">
        <f>VLOOKUP($A466,Register!$B$3:$E$1409,8,FALSE)</f>
        <v>#REF!</v>
      </c>
      <c r="E466" s="34" t="s">
        <v>148</v>
      </c>
    </row>
    <row r="467" spans="1:6" x14ac:dyDescent="0.25">
      <c r="A467" s="33" t="str" cm="1">
        <f t="array" ref="A467">IFERROR(INDEX(Register!$B$3:$B$1409,ROW(),0), "")</f>
        <v>Greiner Bio-One</v>
      </c>
      <c r="B467" s="32" t="e">
        <f>VLOOKUP($A467,Register!$B$3:$E$1409,6,FALSE)</f>
        <v>#REF!</v>
      </c>
      <c r="C467" s="32" t="e">
        <f>VLOOKUP($A467,Register!$B$3:$E$1409,7,FALSE)</f>
        <v>#REF!</v>
      </c>
      <c r="D467" s="32" t="e">
        <f>VLOOKUP($A467,Register!$B$3:$E$1409,8,FALSE)</f>
        <v>#REF!</v>
      </c>
      <c r="E467" s="34" t="s">
        <v>148</v>
      </c>
    </row>
    <row r="468" spans="1:6" x14ac:dyDescent="0.25">
      <c r="A468" s="33" t="str" cm="1">
        <f t="array" ref="A468">IFERROR(INDEX(Register!$B$3:$B$1409,ROW(),0), "")</f>
        <v>Adaptas Solutions LLC.</v>
      </c>
      <c r="B468" s="32" t="e">
        <f>VLOOKUP($A468,Register!$B$3:$E$1409,6,FALSE)</f>
        <v>#REF!</v>
      </c>
      <c r="C468" s="32" t="e">
        <f>VLOOKUP($A468,Register!$B$3:$E$1409,7,FALSE)</f>
        <v>#REF!</v>
      </c>
      <c r="D468" s="32" t="e">
        <f>VLOOKUP($A468,Register!$B$3:$E$1409,8,FALSE)</f>
        <v>#REF!</v>
      </c>
      <c r="E468" s="34" t="s">
        <v>148</v>
      </c>
    </row>
    <row r="469" spans="1:6" x14ac:dyDescent="0.25">
      <c r="A469" s="33" t="str" cm="1">
        <f t="array" ref="A469">IFERROR(INDEX(Register!$B$3:$B$1409,ROW(),0), "")</f>
        <v>AES Environmental (AMCCS)</v>
      </c>
      <c r="B469" s="32" t="e">
        <f>VLOOKUP($A469,Register!$B$3:$E$1409,6,FALSE)</f>
        <v>#REF!</v>
      </c>
      <c r="C469" s="32" t="e">
        <f>VLOOKUP($A469,Register!$B$3:$E$1409,7,FALSE)</f>
        <v>#REF!</v>
      </c>
      <c r="D469" s="32" t="e">
        <f>VLOOKUP($A469,Register!$B$3:$E$1409,8,FALSE)</f>
        <v>#REF!</v>
      </c>
      <c r="E469" s="34" t="s">
        <v>148</v>
      </c>
    </row>
    <row r="470" spans="1:6" x14ac:dyDescent="0.25">
      <c r="A470" s="33" t="str" cm="1">
        <f t="array" ref="A470">IFERROR(INDEX(Register!$B$3:$B$1409,ROW(),0), "")</f>
        <v>BioTools Pty Ltd</v>
      </c>
      <c r="B470" s="32" t="e">
        <f>VLOOKUP($A470,Register!$B$3:$E$1409,6,FALSE)</f>
        <v>#REF!</v>
      </c>
      <c r="C470" s="32" t="e">
        <f>VLOOKUP($A470,Register!$B$3:$E$1409,7,FALSE)</f>
        <v>#REF!</v>
      </c>
      <c r="D470" s="32" t="e">
        <f>VLOOKUP($A470,Register!$B$3:$E$1409,8,FALSE)</f>
        <v>#REF!</v>
      </c>
      <c r="E470" s="34" t="s">
        <v>148</v>
      </c>
    </row>
    <row r="471" spans="1:6" x14ac:dyDescent="0.25">
      <c r="A471" s="33" t="str" cm="1">
        <f t="array" ref="A471">IFERROR(INDEX(Register!$B$3:$B$1409,ROW(),0), "")</f>
        <v>C&amp;C Science Factory Pty Ltd (AMT Group Australasia)</v>
      </c>
      <c r="B471" s="32" t="e">
        <f>VLOOKUP($A471,Register!$B$3:$E$1409,6,FALSE)</f>
        <v>#REF!</v>
      </c>
      <c r="C471" s="32" t="e">
        <f>VLOOKUP($A471,Register!$B$3:$E$1409,7,FALSE)</f>
        <v>#REF!</v>
      </c>
      <c r="D471" s="32" t="e">
        <f>VLOOKUP($A471,Register!$B$3:$E$1409,8,FALSE)</f>
        <v>#REF!</v>
      </c>
      <c r="E471" s="34" t="s">
        <v>148</v>
      </c>
    </row>
    <row r="472" spans="1:6" x14ac:dyDescent="0.25">
      <c r="A472" s="33" t="str" cm="1">
        <f t="array" ref="A472">IFERROR(INDEX(Register!$B$3:$B$1409,ROW(),0), "")</f>
        <v>Clfford Hallam Healthcare</v>
      </c>
      <c r="B472" s="32" t="e">
        <f>VLOOKUP($A472,Register!$B$3:$E$1409,6,FALSE)</f>
        <v>#REF!</v>
      </c>
      <c r="C472" s="32" t="e">
        <f>VLOOKUP($A472,Register!$B$3:$E$1409,7,FALSE)</f>
        <v>#REF!</v>
      </c>
      <c r="D472" s="32" t="e">
        <f>VLOOKUP($A472,Register!$B$3:$E$1409,8,FALSE)</f>
        <v>#REF!</v>
      </c>
      <c r="E472" s="34" t="s">
        <v>148</v>
      </c>
    </row>
    <row r="473" spans="1:6" x14ac:dyDescent="0.25">
      <c r="A473" s="33" t="str" cm="1">
        <f t="array" ref="A473">IFERROR(INDEX(Register!$B$3:$B$1409,ROW(),0), "")</f>
        <v>COLE PARMER INSTRUMENT COMPANY</v>
      </c>
      <c r="B473" s="32" t="e">
        <f>VLOOKUP($A473,Register!$B$3:$E$1409,6,FALSE)</f>
        <v>#REF!</v>
      </c>
      <c r="C473" s="32" t="e">
        <f>VLOOKUP($A473,Register!$B$3:$E$1409,7,FALSE)</f>
        <v>#REF!</v>
      </c>
      <c r="D473" s="32" t="e">
        <f>VLOOKUP($A473,Register!$B$3:$E$1409,8,FALSE)</f>
        <v>#REF!</v>
      </c>
      <c r="E473" s="34" t="s">
        <v>148</v>
      </c>
    </row>
    <row r="474" spans="1:6" x14ac:dyDescent="0.25">
      <c r="A474" s="33" t="str" cm="1">
        <f t="array" ref="A474">IFERROR(INDEX(Register!$B$3:$B$1409,ROW(),0), "")</f>
        <v>Coregas Pty Ltd</v>
      </c>
      <c r="B474" s="32" t="e">
        <f>VLOOKUP($A474,Register!$B$3:$E$1409,6,FALSE)</f>
        <v>#REF!</v>
      </c>
      <c r="C474" s="32" t="e">
        <f>VLOOKUP($A474,Register!$B$3:$E$1409,7,FALSE)</f>
        <v>#REF!</v>
      </c>
      <c r="D474" s="32" t="e">
        <f>VLOOKUP($A474,Register!$B$3:$E$1409,8,FALSE)</f>
        <v>#REF!</v>
      </c>
      <c r="E474" s="34" t="s">
        <v>148</v>
      </c>
    </row>
    <row r="475" spans="1:6" x14ac:dyDescent="0.25">
      <c r="A475" s="33" t="str" cm="1">
        <f t="array" ref="A475">IFERROR(INDEX(Register!$B$3:$B$1409,ROW(),0), "")</f>
        <v>Fisher Biotech Australia</v>
      </c>
      <c r="B475" s="32" t="e">
        <f>VLOOKUP($A475,Register!$B$3:$E$1409,6,FALSE)</f>
        <v>#REF!</v>
      </c>
      <c r="C475" s="32" t="e">
        <f>VLOOKUP($A475,Register!$B$3:$E$1409,7,FALSE)</f>
        <v>#REF!</v>
      </c>
      <c r="D475" s="32" t="e">
        <f>VLOOKUP($A475,Register!$B$3:$E$1409,8,FALSE)</f>
        <v>#REF!</v>
      </c>
      <c r="E475" s="34" t="s">
        <v>148</v>
      </c>
    </row>
    <row r="476" spans="1:6" x14ac:dyDescent="0.25">
      <c r="A476" s="33" t="str" cm="1">
        <f t="array" ref="A476">IFERROR(INDEX(Register!$B$3:$B$1409,ROW(),0), "")</f>
        <v>FISHER SCIENTIFIC</v>
      </c>
      <c r="B476" s="32" t="e">
        <f>VLOOKUP($A476,Register!$B$3:$E$1409,6,FALSE)</f>
        <v>#REF!</v>
      </c>
      <c r="C476" s="32" t="e">
        <f>VLOOKUP($A476,Register!$B$3:$E$1409,7,FALSE)</f>
        <v>#REF!</v>
      </c>
      <c r="D476" s="32" t="e">
        <f>VLOOKUP($A476,Register!$B$3:$E$1409,8,FALSE)</f>
        <v>#REF!</v>
      </c>
      <c r="E476" s="34" t="s">
        <v>148</v>
      </c>
    </row>
    <row r="477" spans="1:6" x14ac:dyDescent="0.25">
      <c r="A477" s="33" t="str" cm="1">
        <f t="array" ref="A477">IFERROR(INDEX(Register!$B$3:$B$1409,ROW(),0), "")</f>
        <v>Formaspace</v>
      </c>
      <c r="B477" s="32" t="e">
        <f>VLOOKUP($A477,Register!$B$3:$E$1409,6,FALSE)</f>
        <v>#REF!</v>
      </c>
      <c r="C477" s="32" t="e">
        <f>VLOOKUP($A477,Register!$B$3:$E$1409,7,FALSE)</f>
        <v>#REF!</v>
      </c>
      <c r="D477" s="32" t="e">
        <f>VLOOKUP($A477,Register!$B$3:$E$1409,8,FALSE)</f>
        <v>#REF!</v>
      </c>
      <c r="E477" s="34" t="s">
        <v>148</v>
      </c>
    </row>
    <row r="478" spans="1:6" x14ac:dyDescent="0.25">
      <c r="A478" s="33" t="str" cm="1">
        <f t="array" ref="A478">IFERROR(INDEX(Register!$B$3:$B$1409,ROW(),0), "")</f>
        <v>Hettich Instruments, LP</v>
      </c>
      <c r="B478" s="32" t="e">
        <f>VLOOKUP($A478,Register!$B$3:$E$1409,6,FALSE)</f>
        <v>#REF!</v>
      </c>
      <c r="C478" s="32" t="e">
        <f>VLOOKUP($A478,Register!$B$3:$E$1409,7,FALSE)</f>
        <v>#REF!</v>
      </c>
      <c r="D478" s="32" t="e">
        <f>VLOOKUP($A478,Register!$B$3:$E$1409,8,FALSE)</f>
        <v>#REF!</v>
      </c>
      <c r="E478" s="34" t="s">
        <v>148</v>
      </c>
    </row>
    <row r="479" spans="1:6" x14ac:dyDescent="0.25">
      <c r="A479" s="33" t="str" cm="1">
        <f t="array" ref="A479">IFERROR(INDEX(Register!$B$3:$B$1409,ROW(),0), "")</f>
        <v>SCIENTIFIC NOTEBOOK COMPANY</v>
      </c>
      <c r="B479" s="32" t="e">
        <f>VLOOKUP($A479,Register!$B$3:$E$1409,6,FALSE)</f>
        <v>#REF!</v>
      </c>
      <c r="C479" s="32" t="e">
        <f>VLOOKUP($A479,Register!$B$3:$E$1409,7,FALSE)</f>
        <v>#REF!</v>
      </c>
      <c r="D479" s="32" t="e">
        <f>VLOOKUP($A479,Register!$B$3:$E$1409,8,FALSE)</f>
        <v>#REF!</v>
      </c>
      <c r="E479" s="34" t="s">
        <v>5114</v>
      </c>
      <c r="F479" s="34" t="s">
        <v>5283</v>
      </c>
    </row>
    <row r="480" spans="1:6" x14ac:dyDescent="0.25">
      <c r="A480" s="33" t="str" cm="1">
        <f t="array" ref="A480">IFERROR(INDEX(Register!$B$3:$B$1409,ROW(),0), "")</f>
        <v>Sillikerr Australia Pty Ltd</v>
      </c>
      <c r="B480" s="32" t="e">
        <f>VLOOKUP($A480,Register!$B$3:$E$1409,6,FALSE)</f>
        <v>#REF!</v>
      </c>
      <c r="C480" s="32" t="e">
        <f>VLOOKUP($A480,Register!$B$3:$E$1409,7,FALSE)</f>
        <v>#REF!</v>
      </c>
      <c r="D480" s="32" t="e">
        <f>VLOOKUP($A480,Register!$B$3:$E$1409,8,FALSE)</f>
        <v>#REF!</v>
      </c>
      <c r="E480" s="34" t="s">
        <v>148</v>
      </c>
    </row>
    <row r="481" spans="1:7" x14ac:dyDescent="0.25">
      <c r="A481" s="33" t="str" cm="1">
        <f t="array" ref="A481">IFERROR(INDEX(Register!$B$3:$B$1409,ROW(),0), "")</f>
        <v>JEIO TECH INC.</v>
      </c>
      <c r="B481" s="32" t="e">
        <f>VLOOKUP($A481,Register!$B$3:$E$1409,6,FALSE)</f>
        <v>#REF!</v>
      </c>
      <c r="C481" s="32" t="e">
        <f>VLOOKUP($A481,Register!$B$3:$E$1409,7,FALSE)</f>
        <v>#REF!</v>
      </c>
      <c r="D481" s="32" t="e">
        <f>VLOOKUP($A481,Register!$B$3:$E$1409,8,FALSE)</f>
        <v>#REF!</v>
      </c>
      <c r="E481" s="34" t="s">
        <v>148</v>
      </c>
    </row>
    <row r="482" spans="1:7" x14ac:dyDescent="0.25">
      <c r="A482" s="33" t="str" cm="1">
        <f t="array" ref="A482">IFERROR(INDEX(Register!$B$3:$B$1409,ROW(),0), "")</f>
        <v>Labec (Laboratory Equipment Pty Ltd)</v>
      </c>
      <c r="B482" s="32" t="e">
        <f>VLOOKUP($A482,Register!$B$3:$E$1409,6,FALSE)</f>
        <v>#REF!</v>
      </c>
      <c r="C482" s="32" t="e">
        <f>VLOOKUP($A482,Register!$B$3:$E$1409,7,FALSE)</f>
        <v>#REF!</v>
      </c>
      <c r="D482" s="32" t="e">
        <f>VLOOKUP($A482,Register!$B$3:$E$1409,8,FALSE)</f>
        <v>#REF!</v>
      </c>
      <c r="E482" s="34" t="s">
        <v>148</v>
      </c>
    </row>
    <row r="483" spans="1:7" x14ac:dyDescent="0.25">
      <c r="A483" s="33" t="str" cm="1">
        <f t="array" ref="A483">IFERROR(INDEX(Register!$B$3:$B$1409,ROW(),0), "")</f>
        <v>ProSciTech</v>
      </c>
      <c r="B483" s="32" t="e">
        <f>VLOOKUP($A483,Register!$B$3:$E$1409,6,FALSE)</f>
        <v>#REF!</v>
      </c>
      <c r="C483" s="32" t="e">
        <f>VLOOKUP($A483,Register!$B$3:$E$1409,7,FALSE)</f>
        <v>#REF!</v>
      </c>
      <c r="D483" s="32" t="e">
        <f>VLOOKUP($A483,Register!$B$3:$E$1409,8,FALSE)</f>
        <v>#REF!</v>
      </c>
      <c r="E483" s="34" t="s">
        <v>148</v>
      </c>
    </row>
    <row r="484" spans="1:7" x14ac:dyDescent="0.25">
      <c r="A484" s="33" t="str" cm="1">
        <f t="array" ref="A484">IFERROR(INDEX(Register!$B$3:$B$1409,ROW(),0), "")</f>
        <v>THERMO SCIENTIFIC</v>
      </c>
      <c r="B484" s="32" t="e">
        <f>VLOOKUP($A484,Register!$B$3:$E$1409,6,FALSE)</f>
        <v>#REF!</v>
      </c>
      <c r="C484" s="32" t="e">
        <f>VLOOKUP($A484,Register!$B$3:$E$1409,7,FALSE)</f>
        <v>#REF!</v>
      </c>
      <c r="D484" s="32" t="e">
        <f>VLOOKUP($A484,Register!$B$3:$E$1409,8,FALSE)</f>
        <v>#REF!</v>
      </c>
      <c r="E484" s="34" t="s">
        <v>4791</v>
      </c>
      <c r="F484" s="34" t="s">
        <v>4792</v>
      </c>
      <c r="G484" s="34" t="s">
        <v>4793</v>
      </c>
    </row>
    <row r="485" spans="1:7" x14ac:dyDescent="0.25">
      <c r="A485" s="33" t="str" cm="1">
        <f t="array" ref="A485">IFERROR(INDEX(Register!$B$3:$B$1409,ROW(),0), "")</f>
        <v>WHEATON INDUSTRIES, INC.</v>
      </c>
      <c r="B485" s="32" t="e">
        <f>VLOOKUP($A485,Register!$B$3:$E$1409,6,FALSE)</f>
        <v>#REF!</v>
      </c>
      <c r="C485" s="32" t="e">
        <f>VLOOKUP($A485,Register!$B$3:$E$1409,7,FALSE)</f>
        <v>#REF!</v>
      </c>
      <c r="D485" s="32" t="e">
        <f>VLOOKUP($A485,Register!$B$3:$E$1409,8,FALSE)</f>
        <v>#REF!</v>
      </c>
      <c r="E485" s="34" t="s">
        <v>148</v>
      </c>
    </row>
    <row r="486" spans="1:7" x14ac:dyDescent="0.25">
      <c r="A486" s="33" t="str" cm="1">
        <f t="array" ref="A486">IFERROR(INDEX(Register!$B$3:$B$1409,ROW(),0), "")</f>
        <v>Greiner Bio-One GmbH</v>
      </c>
      <c r="B486" s="32" t="e">
        <f>VLOOKUP($A486,Register!$B$3:$E$1409,6,FALSE)</f>
        <v>#REF!</v>
      </c>
      <c r="C486" s="32" t="e">
        <f>VLOOKUP($A486,Register!$B$3:$E$1409,7,FALSE)</f>
        <v>#REF!</v>
      </c>
      <c r="D486" s="32" t="e">
        <f>VLOOKUP($A486,Register!$B$3:$E$1409,8,FALSE)</f>
        <v>#REF!</v>
      </c>
      <c r="E486" s="34" t="s">
        <v>148</v>
      </c>
    </row>
    <row r="487" spans="1:7" x14ac:dyDescent="0.25">
      <c r="A487" s="33" t="str" cm="1">
        <f t="array" ref="A487">IFERROR(INDEX(Register!$B$3:$B$1409,ROW(),0), "")</f>
        <v>Astral Scientific P/L</v>
      </c>
      <c r="B487" s="32" t="e">
        <f>VLOOKUP($A487,Register!$B$3:$E$1409,6,FALSE)</f>
        <v>#REF!</v>
      </c>
      <c r="C487" s="32" t="e">
        <f>VLOOKUP($A487,Register!$B$3:$E$1409,7,FALSE)</f>
        <v>#REF!</v>
      </c>
      <c r="D487" s="32" t="e">
        <f>VLOOKUP($A487,Register!$B$3:$E$1409,8,FALSE)</f>
        <v>#REF!</v>
      </c>
      <c r="E487" s="34" t="s">
        <v>148</v>
      </c>
    </row>
    <row r="488" spans="1:7" x14ac:dyDescent="0.25">
      <c r="A488" s="33" t="str" cm="1">
        <f t="array" ref="A488">IFERROR(INDEX(Register!$B$3:$B$1409,ROW(),0), "")</f>
        <v>AMS Software &amp; Electronik GmBH</v>
      </c>
      <c r="B488" s="32" t="e">
        <f>VLOOKUP($A488,Register!$B$3:$E$1409,6,FALSE)</f>
        <v>#REF!</v>
      </c>
      <c r="C488" s="32" t="e">
        <f>VLOOKUP($A488,Register!$B$3:$E$1409,7,FALSE)</f>
        <v>#REF!</v>
      </c>
      <c r="D488" s="32" t="e">
        <f>VLOOKUP($A488,Register!$B$3:$E$1409,8,FALSE)</f>
        <v>#REF!</v>
      </c>
      <c r="E488" s="34" t="s">
        <v>148</v>
      </c>
    </row>
    <row r="489" spans="1:7" x14ac:dyDescent="0.25">
      <c r="A489" s="33" t="str" cm="1">
        <f t="array" ref="A489">IFERROR(INDEX(Register!$B$3:$B$1409,ROW(),0), "")</f>
        <v>BARCODES, INC. (US)</v>
      </c>
      <c r="B489" s="32" t="e">
        <f>VLOOKUP($A489,Register!$B$3:$E$1409,6,FALSE)</f>
        <v>#REF!</v>
      </c>
      <c r="C489" s="32" t="e">
        <f>VLOOKUP($A489,Register!$B$3:$E$1409,7,FALSE)</f>
        <v>#REF!</v>
      </c>
      <c r="D489" s="32" t="e">
        <f>VLOOKUP($A489,Register!$B$3:$E$1409,8,FALSE)</f>
        <v>#REF!</v>
      </c>
      <c r="E489" s="34" t="s">
        <v>148</v>
      </c>
    </row>
    <row r="490" spans="1:7" x14ac:dyDescent="0.25">
      <c r="A490" s="33" t="str" cm="1">
        <f t="array" ref="A490">IFERROR(INDEX(Register!$B$3:$B$1409,ROW(),0), "")</f>
        <v>BRADY WORLDWIDE, INC.</v>
      </c>
      <c r="B490" s="32" t="e">
        <f>VLOOKUP($A490,Register!$B$3:$E$1409,6,FALSE)</f>
        <v>#REF!</v>
      </c>
      <c r="C490" s="32" t="e">
        <f>VLOOKUP($A490,Register!$B$3:$E$1409,7,FALSE)</f>
        <v>#REF!</v>
      </c>
      <c r="D490" s="32" t="e">
        <f>VLOOKUP($A490,Register!$B$3:$E$1409,8,FALSE)</f>
        <v>#REF!</v>
      </c>
      <c r="E490" s="34" t="s">
        <v>3196</v>
      </c>
    </row>
    <row r="491" spans="1:7" x14ac:dyDescent="0.25">
      <c r="A491" s="33" t="str" cm="1">
        <f t="array" ref="A491">IFERROR(INDEX(Register!$B$3:$B$1409,ROW(),0), "")</f>
        <v>Dial A Label Pty Ltd</v>
      </c>
      <c r="B491" s="32" t="e">
        <f>VLOOKUP($A491,Register!$B$3:$E$1409,6,FALSE)</f>
        <v>#REF!</v>
      </c>
      <c r="C491" s="32" t="e">
        <f>VLOOKUP($A491,Register!$B$3:$E$1409,7,FALSE)</f>
        <v>#REF!</v>
      </c>
      <c r="D491" s="32" t="e">
        <f>VLOOKUP($A491,Register!$B$3:$E$1409,8,FALSE)</f>
        <v>#REF!</v>
      </c>
      <c r="E491" s="34" t="s">
        <v>3271</v>
      </c>
    </row>
    <row r="492" spans="1:7" x14ac:dyDescent="0.25">
      <c r="A492" s="33" t="str" cm="1">
        <f t="array" ref="A492">IFERROR(INDEX(Register!$B$3:$B$1409,ROW(),0), "")</f>
        <v>LabelLab (Smartsign Store)</v>
      </c>
      <c r="B492" s="32" t="e">
        <f>VLOOKUP($A492,Register!$B$3:$E$1409,6,FALSE)</f>
        <v>#REF!</v>
      </c>
      <c r="C492" s="32" t="e">
        <f>VLOOKUP($A492,Register!$B$3:$E$1409,7,FALSE)</f>
        <v>#REF!</v>
      </c>
      <c r="D492" s="32" t="e">
        <f>VLOOKUP($A492,Register!$B$3:$E$1409,8,FALSE)</f>
        <v>#REF!</v>
      </c>
      <c r="E492" s="34" t="s">
        <v>2381</v>
      </c>
    </row>
    <row r="493" spans="1:7" x14ac:dyDescent="0.25">
      <c r="A493" s="33" t="str" cm="1">
        <f t="array" ref="A493">IFERROR(INDEX(Register!$B$3:$B$1409,ROW(),0), "")</f>
        <v>MAVERICK LABEL.COM</v>
      </c>
      <c r="B493" s="32" t="e">
        <f>VLOOKUP($A493,Register!$B$3:$E$1409,6,FALSE)</f>
        <v>#REF!</v>
      </c>
      <c r="C493" s="32" t="e">
        <f>VLOOKUP($A493,Register!$B$3:$E$1409,7,FALSE)</f>
        <v>#REF!</v>
      </c>
      <c r="D493" s="32" t="e">
        <f>VLOOKUP($A493,Register!$B$3:$E$1409,8,FALSE)</f>
        <v>#REF!</v>
      </c>
      <c r="E493" s="34" t="s">
        <v>148</v>
      </c>
    </row>
    <row r="494" spans="1:7" x14ac:dyDescent="0.25">
      <c r="A494" s="33" t="str" cm="1">
        <f t="array" ref="A494">IFERROR(INDEX(Register!$B$3:$B$1409,ROW(),0), "")</f>
        <v>Peacock Bros. Pty Ltd</v>
      </c>
      <c r="B494" s="32" t="e">
        <f>VLOOKUP($A494,Register!$B$3:$E$1409,6,FALSE)</f>
        <v>#REF!</v>
      </c>
      <c r="C494" s="32" t="e">
        <f>VLOOKUP($A494,Register!$B$3:$E$1409,7,FALSE)</f>
        <v>#REF!</v>
      </c>
      <c r="D494" s="32" t="e">
        <f>VLOOKUP($A494,Register!$B$3:$E$1409,8,FALSE)</f>
        <v>#REF!</v>
      </c>
      <c r="E494" s="34" t="s">
        <v>148</v>
      </c>
    </row>
    <row r="495" spans="1:7" x14ac:dyDescent="0.25">
      <c r="A495" s="33" t="str" cm="1">
        <f t="array" ref="A495">IFERROR(INDEX(Register!$B$3:$B$1409,ROW(),0), "")</f>
        <v>Techiant LLC</v>
      </c>
      <c r="B495" s="32" t="e">
        <f>VLOOKUP($A495,Register!$B$3:$E$1409,6,FALSE)</f>
        <v>#REF!</v>
      </c>
      <c r="C495" s="32" t="e">
        <f>VLOOKUP($A495,Register!$B$3:$E$1409,7,FALSE)</f>
        <v>#REF!</v>
      </c>
      <c r="D495" s="32" t="e">
        <f>VLOOKUP($A495,Register!$B$3:$E$1409,8,FALSE)</f>
        <v>#REF!</v>
      </c>
      <c r="E495" s="34" t="s">
        <v>148</v>
      </c>
    </row>
    <row r="496" spans="1:7" x14ac:dyDescent="0.25">
      <c r="A496" s="33" t="str" cm="1">
        <f t="array" ref="A496">IFERROR(INDEX(Register!$B$3:$B$1409,ROW(),0), "")</f>
        <v>Snap Dandenong (GN Corporate Holdings Pty Ltd)</v>
      </c>
      <c r="B496" s="32" t="e">
        <f>VLOOKUP($A496,Register!$B$3:$E$1409,6,FALSE)</f>
        <v>#REF!</v>
      </c>
      <c r="C496" s="32" t="e">
        <f>VLOOKUP($A496,Register!$B$3:$E$1409,7,FALSE)</f>
        <v>#REF!</v>
      </c>
      <c r="D496" s="32" t="e">
        <f>VLOOKUP($A496,Register!$B$3:$E$1409,8,FALSE)</f>
        <v>#REF!</v>
      </c>
      <c r="E496" s="34" t="s">
        <v>148</v>
      </c>
    </row>
    <row r="497" spans="1:5" x14ac:dyDescent="0.25">
      <c r="A497" s="33" t="str" cm="1">
        <f t="array" ref="A497">IFERROR(INDEX(Register!$B$3:$B$1409,ROW(),0), "")</f>
        <v>Snap Box Hill</v>
      </c>
      <c r="B497" s="32" t="e">
        <f>VLOOKUP($A497,Register!$B$3:$E$1409,6,FALSE)</f>
        <v>#REF!</v>
      </c>
      <c r="C497" s="32" t="e">
        <f>VLOOKUP($A497,Register!$B$3:$E$1409,7,FALSE)</f>
        <v>#REF!</v>
      </c>
      <c r="D497" s="32" t="e">
        <f>VLOOKUP($A497,Register!$B$3:$E$1409,8,FALSE)</f>
        <v>#REF!</v>
      </c>
      <c r="E497" s="34" t="s">
        <v>148</v>
      </c>
    </row>
    <row r="498" spans="1:5" x14ac:dyDescent="0.25">
      <c r="A498" s="33" t="str" cm="1">
        <f t="array" ref="A498">IFERROR(INDEX(Register!$B$3:$B$1409,ROW(),0), "")</f>
        <v>Arrow Laser</v>
      </c>
      <c r="B498" s="32" t="e">
        <f>VLOOKUP($A498,Register!$B$3:$E$1409,6,FALSE)</f>
        <v>#REF!</v>
      </c>
      <c r="C498" s="32" t="e">
        <f>VLOOKUP($A498,Register!$B$3:$E$1409,7,FALSE)</f>
        <v>#REF!</v>
      </c>
      <c r="D498" s="32" t="e">
        <f>VLOOKUP($A498,Register!$B$3:$E$1409,8,FALSE)</f>
        <v>#REF!</v>
      </c>
      <c r="E498" s="34" t="s">
        <v>148</v>
      </c>
    </row>
    <row r="499" spans="1:5" x14ac:dyDescent="0.25">
      <c r="A499" s="33" t="str" cm="1">
        <f t="array" ref="A499">IFERROR(INDEX(Register!$B$3:$B$1409,ROW(),0), "")</f>
        <v>Lightning Bolt Laser</v>
      </c>
      <c r="B499" s="32" t="e">
        <f>VLOOKUP($A499,Register!$B$3:$E$1409,6,FALSE)</f>
        <v>#REF!</v>
      </c>
      <c r="C499" s="32" t="e">
        <f>VLOOKUP($A499,Register!$B$3:$E$1409,7,FALSE)</f>
        <v>#REF!</v>
      </c>
      <c r="D499" s="32" t="e">
        <f>VLOOKUP($A499,Register!$B$3:$E$1409,8,FALSE)</f>
        <v>#REF!</v>
      </c>
      <c r="E499" s="34" t="s">
        <v>148</v>
      </c>
    </row>
    <row r="500" spans="1:5" x14ac:dyDescent="0.25">
      <c r="A500" s="33" t="str" cm="1">
        <f t="array" ref="A500">IFERROR(INDEX(Register!$B$3:$B$1409,ROW(),0), "")</f>
        <v>New Touch Industries Pty Ltd</v>
      </c>
      <c r="B500" s="32" t="e">
        <f>VLOOKUP($A500,Register!$B$3:$E$1409,6,FALSE)</f>
        <v>#REF!</v>
      </c>
      <c r="C500" s="32" t="e">
        <f>VLOOKUP($A500,Register!$B$3:$E$1409,7,FALSE)</f>
        <v>#REF!</v>
      </c>
      <c r="D500" s="32" t="e">
        <f>VLOOKUP($A500,Register!$B$3:$E$1409,8,FALSE)</f>
        <v>#REF!</v>
      </c>
      <c r="E500" s="34" t="s">
        <v>148</v>
      </c>
    </row>
    <row r="501" spans="1:5" x14ac:dyDescent="0.25">
      <c r="A501" s="33" t="str" cm="1">
        <f t="array" ref="A501">IFERROR(INDEX(Register!$B$3:$B$1409,ROW(),0), "")</f>
        <v>RMS Laser Group</v>
      </c>
      <c r="B501" s="32" t="e">
        <f>VLOOKUP($A501,Register!$B$3:$E$1409,6,FALSE)</f>
        <v>#REF!</v>
      </c>
      <c r="C501" s="32" t="e">
        <f>VLOOKUP($A501,Register!$B$3:$E$1409,7,FALSE)</f>
        <v>#REF!</v>
      </c>
      <c r="D501" s="32" t="e">
        <f>VLOOKUP($A501,Register!$B$3:$E$1409,8,FALSE)</f>
        <v>#REF!</v>
      </c>
      <c r="E501" s="34" t="s">
        <v>148</v>
      </c>
    </row>
    <row r="502" spans="1:5" x14ac:dyDescent="0.25">
      <c r="A502" s="33" t="str" cm="1">
        <f t="array" ref="A502">IFERROR(INDEX(Register!$B$3:$B$1409,ROW(),0), "")</f>
        <v>Accu Limited (Accu Group)</v>
      </c>
      <c r="B502" s="32" t="e">
        <f>VLOOKUP($A502,Register!$B$3:$E$1409,6,FALSE)</f>
        <v>#REF!</v>
      </c>
      <c r="C502" s="32" t="e">
        <f>VLOOKUP($A502,Register!$B$3:$E$1409,7,FALSE)</f>
        <v>#REF!</v>
      </c>
      <c r="D502" s="32" t="e">
        <f>VLOOKUP($A502,Register!$B$3:$E$1409,8,FALSE)</f>
        <v>#REF!</v>
      </c>
      <c r="E502" s="34" t="s">
        <v>5284</v>
      </c>
    </row>
    <row r="503" spans="1:5" x14ac:dyDescent="0.25">
      <c r="A503" s="33" t="str" cm="1">
        <f t="array" ref="A503">IFERROR(INDEX(Register!$B$3:$B$1409,ROW(),0), "")</f>
        <v>Deminks Pty Ltd (T/A Mallard Signs and Engraving)</v>
      </c>
      <c r="B503" s="32" t="e">
        <f>VLOOKUP($A503,Register!$B$3:$E$1409,6,FALSE)</f>
        <v>#REF!</v>
      </c>
      <c r="C503" s="32" t="e">
        <f>VLOOKUP($A503,Register!$B$3:$E$1409,7,FALSE)</f>
        <v>#REF!</v>
      </c>
      <c r="D503" s="32" t="e">
        <f>VLOOKUP($A503,Register!$B$3:$E$1409,8,FALSE)</f>
        <v>#REF!</v>
      </c>
      <c r="E503" s="34" t="s">
        <v>148</v>
      </c>
    </row>
    <row r="504" spans="1:5" x14ac:dyDescent="0.25">
      <c r="A504" s="33" t="str" cm="1">
        <f t="array" ref="A504">IFERROR(INDEX(Register!$B$3:$B$1409,ROW(),0), "")</f>
        <v>Inscribe Australia Pty Ltd</v>
      </c>
      <c r="B504" s="32" t="e">
        <f>VLOOKUP($A504,Register!$B$3:$E$1409,6,FALSE)</f>
        <v>#REF!</v>
      </c>
      <c r="C504" s="32" t="e">
        <f>VLOOKUP($A504,Register!$B$3:$E$1409,7,FALSE)</f>
        <v>#REF!</v>
      </c>
      <c r="D504" s="32" t="e">
        <f>VLOOKUP($A504,Register!$B$3:$E$1409,8,FALSE)</f>
        <v>#REF!</v>
      </c>
      <c r="E504" s="34" t="s">
        <v>148</v>
      </c>
    </row>
    <row r="505" spans="1:5" x14ac:dyDescent="0.25">
      <c r="A505" s="33" t="str" cm="1">
        <f t="array" ref="A505">IFERROR(INDEX(Register!$B$3:$B$1409,ROW(),0), "")</f>
        <v>Laser Imaging Pty Ltd</v>
      </c>
      <c r="B505" s="32" t="e">
        <f>VLOOKUP($A505,Register!$B$3:$E$1409,6,FALSE)</f>
        <v>#REF!</v>
      </c>
      <c r="C505" s="32" t="e">
        <f>VLOOKUP($A505,Register!$B$3:$E$1409,7,FALSE)</f>
        <v>#REF!</v>
      </c>
      <c r="D505" s="32" t="e">
        <f>VLOOKUP($A505,Register!$B$3:$E$1409,8,FALSE)</f>
        <v>#REF!</v>
      </c>
      <c r="E505" s="34" t="s">
        <v>148</v>
      </c>
    </row>
    <row r="506" spans="1:5" x14ac:dyDescent="0.25">
      <c r="A506" s="33" t="str" cm="1">
        <f t="array" ref="A506">IFERROR(INDEX(Register!$B$3:$B$1409,ROW(),0), "")</f>
        <v>Luna Nameplate Industries Pty Ltd</v>
      </c>
      <c r="B506" s="32" t="e">
        <f>VLOOKUP($A506,Register!$B$3:$E$1409,6,FALSE)</f>
        <v>#REF!</v>
      </c>
      <c r="C506" s="32" t="e">
        <f>VLOOKUP($A506,Register!$B$3:$E$1409,7,FALSE)</f>
        <v>#REF!</v>
      </c>
      <c r="D506" s="32" t="e">
        <f>VLOOKUP($A506,Register!$B$3:$E$1409,8,FALSE)</f>
        <v>#REF!</v>
      </c>
      <c r="E506" s="34" t="s">
        <v>148</v>
      </c>
    </row>
    <row r="507" spans="1:5" x14ac:dyDescent="0.25">
      <c r="A507" s="33" t="str" cm="1">
        <f t="array" ref="A507">IFERROR(INDEX(Register!$B$3:$B$1409,ROW(),0), "")</f>
        <v>Mastercut Technologies Pty Ltd</v>
      </c>
      <c r="B507" s="32" t="e">
        <f>VLOOKUP($A507,Register!$B$3:$E$1409,6,FALSE)</f>
        <v>#REF!</v>
      </c>
      <c r="C507" s="32" t="e">
        <f>VLOOKUP($A507,Register!$B$3:$E$1409,7,FALSE)</f>
        <v>#REF!</v>
      </c>
      <c r="D507" s="32" t="e">
        <f>VLOOKUP($A507,Register!$B$3:$E$1409,8,FALSE)</f>
        <v>#REF!</v>
      </c>
      <c r="E507" s="34" t="s">
        <v>148</v>
      </c>
    </row>
    <row r="508" spans="1:5" x14ac:dyDescent="0.25">
      <c r="A508" s="33" t="str" cm="1">
        <f t="array" ref="A508">IFERROR(INDEX(Register!$B$3:$B$1409,ROW(),0), "")</f>
        <v>OptoTech Pty Ltd</v>
      </c>
      <c r="B508" s="32" t="e">
        <f>VLOOKUP($A508,Register!$B$3:$E$1409,6,FALSE)</f>
        <v>#REF!</v>
      </c>
      <c r="C508" s="32" t="e">
        <f>VLOOKUP($A508,Register!$B$3:$E$1409,7,FALSE)</f>
        <v>#REF!</v>
      </c>
      <c r="D508" s="32" t="e">
        <f>VLOOKUP($A508,Register!$B$3:$E$1409,8,FALSE)</f>
        <v>#REF!</v>
      </c>
      <c r="E508" s="34" t="s">
        <v>148</v>
      </c>
    </row>
    <row r="509" spans="1:5" x14ac:dyDescent="0.25">
      <c r="A509" s="33" t="str" cm="1">
        <f t="array" ref="A509">IFERROR(INDEX(Register!$B$3:$B$1409,ROW(),0), "")</f>
        <v>Egismos Technology Corp.</v>
      </c>
      <c r="B509" s="32" t="e">
        <f>VLOOKUP($A509,Register!$B$3:$E$1409,6,FALSE)</f>
        <v>#REF!</v>
      </c>
      <c r="C509" s="32" t="e">
        <f>VLOOKUP($A509,Register!$B$3:$E$1409,7,FALSE)</f>
        <v>#REF!</v>
      </c>
      <c r="D509" s="32" t="e">
        <f>VLOOKUP($A509,Register!$B$3:$E$1409,8,FALSE)</f>
        <v>#REF!</v>
      </c>
      <c r="E509" s="34" t="s">
        <v>5072</v>
      </c>
    </row>
    <row r="510" spans="1:5" x14ac:dyDescent="0.25">
      <c r="A510" s="33" t="str" cm="1">
        <f t="array" ref="A510">IFERROR(INDEX(Register!$B$3:$B$1409,ROW(),0), "")</f>
        <v>Oxxius</v>
      </c>
      <c r="B510" s="32" t="e">
        <f>VLOOKUP($A510,Register!$B$3:$E$1409,6,FALSE)</f>
        <v>#REF!</v>
      </c>
      <c r="C510" s="32" t="e">
        <f>VLOOKUP($A510,Register!$B$3:$E$1409,7,FALSE)</f>
        <v>#REF!</v>
      </c>
      <c r="D510" s="32" t="e">
        <f>VLOOKUP($A510,Register!$B$3:$E$1409,8,FALSE)</f>
        <v>#REF!</v>
      </c>
      <c r="E510" s="34" t="s">
        <v>148</v>
      </c>
    </row>
    <row r="511" spans="1:5" x14ac:dyDescent="0.25">
      <c r="A511" s="33" t="str" cm="1">
        <f t="array" ref="A511">IFERROR(INDEX(Register!$B$3:$B$1409,ROW(),0), "")</f>
        <v>RPMC Lasers</v>
      </c>
      <c r="B511" s="32" t="e">
        <f>VLOOKUP($A511,Register!$B$3:$E$1409,6,FALSE)</f>
        <v>#REF!</v>
      </c>
      <c r="C511" s="32" t="e">
        <f>VLOOKUP($A511,Register!$B$3:$E$1409,7,FALSE)</f>
        <v>#REF!</v>
      </c>
      <c r="D511" s="32" t="e">
        <f>VLOOKUP($A511,Register!$B$3:$E$1409,8,FALSE)</f>
        <v>#REF!</v>
      </c>
      <c r="E511" s="34" t="s">
        <v>148</v>
      </c>
    </row>
    <row r="512" spans="1:5" x14ac:dyDescent="0.25">
      <c r="A512" s="33" t="str" cm="1">
        <f t="array" ref="A512">IFERROR(INDEX(Register!$B$3:$B$1409,ROW(),0), "")</f>
        <v>ThingWell Electronics Company Limited</v>
      </c>
      <c r="B512" s="32" t="e">
        <f>VLOOKUP($A512,Register!$B$3:$E$1409,6,FALSE)</f>
        <v>#REF!</v>
      </c>
      <c r="C512" s="32" t="e">
        <f>VLOOKUP($A512,Register!$B$3:$E$1409,7,FALSE)</f>
        <v>#REF!</v>
      </c>
      <c r="D512" s="32" t="e">
        <f>VLOOKUP($A512,Register!$B$3:$E$1409,8,FALSE)</f>
        <v>#REF!</v>
      </c>
      <c r="E512" s="34" t="s">
        <v>148</v>
      </c>
    </row>
    <row r="513" spans="1:5" x14ac:dyDescent="0.25">
      <c r="A513" s="33" t="str" cm="1">
        <f t="array" ref="A513">IFERROR(INDEX(Register!$B$3:$B$1409,ROW(),0), "")</f>
        <v>VWR INTERNATIONAL</v>
      </c>
      <c r="B513" s="32" t="e">
        <f>VLOOKUP($A513,Register!$B$3:$E$1409,6,FALSE)</f>
        <v>#REF!</v>
      </c>
      <c r="C513" s="32" t="e">
        <f>VLOOKUP($A513,Register!$B$3:$E$1409,7,FALSE)</f>
        <v>#REF!</v>
      </c>
      <c r="D513" s="32" t="e">
        <f>VLOOKUP($A513,Register!$B$3:$E$1409,8,FALSE)</f>
        <v>#REF!</v>
      </c>
      <c r="E513" s="34" t="s">
        <v>148</v>
      </c>
    </row>
    <row r="514" spans="1:5" x14ac:dyDescent="0.25">
      <c r="A514" s="33" t="str" cm="1">
        <f t="array" ref="A514">IFERROR(INDEX(Register!$B$3:$B$1409,ROW(),0), "")</f>
        <v>MERIDIAN BIOSCIENCE, INC.</v>
      </c>
      <c r="B514" s="32" t="e">
        <f>VLOOKUP($A514,Register!$B$3:$E$1409,6,FALSE)</f>
        <v>#REF!</v>
      </c>
      <c r="C514" s="32" t="e">
        <f>VLOOKUP($A514,Register!$B$3:$E$1409,7,FALSE)</f>
        <v>#REF!</v>
      </c>
      <c r="D514" s="32" t="e">
        <f>VLOOKUP($A514,Register!$B$3:$E$1409,8,FALSE)</f>
        <v>#REF!</v>
      </c>
      <c r="E514" s="34" t="s">
        <v>148</v>
      </c>
    </row>
    <row r="515" spans="1:5" x14ac:dyDescent="0.25">
      <c r="A515" s="33" t="str" cm="1">
        <f t="array" ref="A515">IFERROR(INDEX(Register!$B$3:$B$1409,ROW(),0), "")</f>
        <v>Abcam Australia Pty Ltd</v>
      </c>
      <c r="B515" s="32" t="e">
        <f>VLOOKUP($A515,Register!$B$3:$E$1409,6,FALSE)</f>
        <v>#REF!</v>
      </c>
      <c r="C515" s="32" t="e">
        <f>VLOOKUP($A515,Register!$B$3:$E$1409,7,FALSE)</f>
        <v>#REF!</v>
      </c>
      <c r="D515" s="32" t="e">
        <f>VLOOKUP($A515,Register!$B$3:$E$1409,8,FALSE)</f>
        <v>#REF!</v>
      </c>
      <c r="E515" s="34" t="s">
        <v>148</v>
      </c>
    </row>
    <row r="516" spans="1:5" x14ac:dyDescent="0.25">
      <c r="A516" s="33" t="str" cm="1">
        <f t="array" ref="A516">IFERROR(INDEX(Register!$B$3:$B$1409,ROW(),0), "")</f>
        <v>AGENA BIOSCIENCE</v>
      </c>
      <c r="B516" s="32" t="e">
        <f>VLOOKUP($A516,Register!$B$3:$E$1409,6,FALSE)</f>
        <v>#REF!</v>
      </c>
      <c r="C516" s="32" t="e">
        <f>VLOOKUP($A516,Register!$B$3:$E$1409,7,FALSE)</f>
        <v>#REF!</v>
      </c>
      <c r="D516" s="32" t="e">
        <f>VLOOKUP($A516,Register!$B$3:$E$1409,8,FALSE)</f>
        <v>#REF!</v>
      </c>
      <c r="E516" s="34" t="s">
        <v>148</v>
      </c>
    </row>
    <row r="517" spans="1:5" x14ac:dyDescent="0.25">
      <c r="A517" s="33" t="str" cm="1">
        <f t="array" ref="A517">IFERROR(INDEX(Register!$B$3:$B$1409,ROW(),0), "")</f>
        <v>Anchor Molecular</v>
      </c>
      <c r="B517" s="32" t="e">
        <f>VLOOKUP($A517,Register!$B$3:$E$1409,6,FALSE)</f>
        <v>#REF!</v>
      </c>
      <c r="C517" s="32" t="e">
        <f>VLOOKUP($A517,Register!$B$3:$E$1409,7,FALSE)</f>
        <v>#REF!</v>
      </c>
      <c r="D517" s="32" t="e">
        <f>VLOOKUP($A517,Register!$B$3:$E$1409,8,FALSE)</f>
        <v>#REF!</v>
      </c>
      <c r="E517" s="34" t="s">
        <v>148</v>
      </c>
    </row>
    <row r="518" spans="1:5" x14ac:dyDescent="0.25">
      <c r="A518" s="33" t="str" cm="1">
        <f t="array" ref="A518">IFERROR(INDEX(Register!$B$3:$B$1409,ROW(),0), "")</f>
        <v>ANSTO Australian Nuclear Science and Technology Organisation</v>
      </c>
      <c r="B518" s="32" t="e">
        <f>VLOOKUP($A518,Register!$B$3:$E$1409,6,FALSE)</f>
        <v>#REF!</v>
      </c>
      <c r="C518" s="32" t="e">
        <f>VLOOKUP($A518,Register!$B$3:$E$1409,7,FALSE)</f>
        <v>#REF!</v>
      </c>
      <c r="D518" s="32" t="e">
        <f>VLOOKUP($A518,Register!$B$3:$E$1409,8,FALSE)</f>
        <v>#REF!</v>
      </c>
      <c r="E518" s="34" t="s">
        <v>148</v>
      </c>
    </row>
    <row r="519" spans="1:5" x14ac:dyDescent="0.25">
      <c r="A519" s="33" t="str" cm="1">
        <f t="array" ref="A519">IFERROR(INDEX(Register!$B$3:$B$1409,ROW(),0), "")</f>
        <v>Assay Matrix</v>
      </c>
      <c r="B519" s="32" t="e">
        <f>VLOOKUP($A519,Register!$B$3:$E$1409,6,FALSE)</f>
        <v>#REF!</v>
      </c>
      <c r="C519" s="32" t="e">
        <f>VLOOKUP($A519,Register!$B$3:$E$1409,7,FALSE)</f>
        <v>#REF!</v>
      </c>
      <c r="D519" s="32" t="e">
        <f>VLOOKUP($A519,Register!$B$3:$E$1409,8,FALSE)</f>
        <v>#REF!</v>
      </c>
      <c r="E519" s="34" t="s">
        <v>148</v>
      </c>
    </row>
    <row r="520" spans="1:5" x14ac:dyDescent="0.25">
      <c r="A520" s="33" t="str" cm="1">
        <f t="array" ref="A520">IFERROR(INDEX(Register!$B$3:$B$1409,ROW(),0), "")</f>
        <v>Biospacific</v>
      </c>
      <c r="B520" s="32" t="e">
        <f>VLOOKUP($A520,Register!$B$3:$E$1409,6,FALSE)</f>
        <v>#REF!</v>
      </c>
      <c r="C520" s="32" t="e">
        <f>VLOOKUP($A520,Register!$B$3:$E$1409,7,FALSE)</f>
        <v>#REF!</v>
      </c>
      <c r="D520" s="32" t="e">
        <f>VLOOKUP($A520,Register!$B$3:$E$1409,8,FALSE)</f>
        <v>#REF!</v>
      </c>
      <c r="E520" s="34" t="s">
        <v>148</v>
      </c>
    </row>
    <row r="521" spans="1:5" x14ac:dyDescent="0.25">
      <c r="A521" s="33" t="str" cm="1">
        <f t="array" ref="A521">IFERROR(INDEX(Register!$B$3:$B$1409,ROW(),0), "")</f>
        <v>DREW SCIENTIFIC/JAS DIAGNOSTIC</v>
      </c>
      <c r="B521" s="32" t="e">
        <f>VLOOKUP($A521,Register!$B$3:$E$1409,6,FALSE)</f>
        <v>#REF!</v>
      </c>
      <c r="C521" s="32" t="e">
        <f>VLOOKUP($A521,Register!$B$3:$E$1409,7,FALSE)</f>
        <v>#REF!</v>
      </c>
      <c r="D521" s="32" t="e">
        <f>VLOOKUP($A521,Register!$B$3:$E$1409,8,FALSE)</f>
        <v>#REF!</v>
      </c>
      <c r="E521" s="34" t="s">
        <v>148</v>
      </c>
    </row>
    <row r="522" spans="1:5" x14ac:dyDescent="0.25">
      <c r="A522" s="33" t="str" cm="1">
        <f t="array" ref="A522">IFERROR(INDEX(Register!$B$3:$B$1409,ROW(),0), "")</f>
        <v>East Coast Bio</v>
      </c>
      <c r="B522" s="32" t="e">
        <f>VLOOKUP($A522,Register!$B$3:$E$1409,6,FALSE)</f>
        <v>#REF!</v>
      </c>
      <c r="C522" s="32" t="e">
        <f>VLOOKUP($A522,Register!$B$3:$E$1409,7,FALSE)</f>
        <v>#REF!</v>
      </c>
      <c r="D522" s="32" t="e">
        <f>VLOOKUP($A522,Register!$B$3:$E$1409,8,FALSE)</f>
        <v>#REF!</v>
      </c>
      <c r="E522" s="34" t="s">
        <v>148</v>
      </c>
    </row>
    <row r="523" spans="1:5" x14ac:dyDescent="0.25">
      <c r="A523" s="33" t="str" cm="1">
        <f t="array" ref="A523">IFERROR(INDEX(Register!$B$3:$B$1409,ROW(),0), "")</f>
        <v>Embryotech Laboratories, Inc</v>
      </c>
      <c r="B523" s="32" t="e">
        <f>VLOOKUP($A523,Register!$B$3:$E$1409,6,FALSE)</f>
        <v>#REF!</v>
      </c>
      <c r="C523" s="32" t="e">
        <f>VLOOKUP($A523,Register!$B$3:$E$1409,7,FALSE)</f>
        <v>#REF!</v>
      </c>
      <c r="D523" s="32" t="e">
        <f>VLOOKUP($A523,Register!$B$3:$E$1409,8,FALSE)</f>
        <v>#REF!</v>
      </c>
      <c r="E523" s="34" t="s">
        <v>148</v>
      </c>
    </row>
    <row r="524" spans="1:5" x14ac:dyDescent="0.25">
      <c r="A524" s="33" t="str" cm="1">
        <f t="array" ref="A524">IFERROR(INDEX(Register!$B$3:$B$1409,ROW(),0), "")</f>
        <v>Gene Target Solutions Pty Ltd</v>
      </c>
      <c r="B524" s="32" t="e">
        <f>VLOOKUP($A524,Register!$B$3:$E$1409,6,FALSE)</f>
        <v>#REF!</v>
      </c>
      <c r="C524" s="32" t="e">
        <f>VLOOKUP($A524,Register!$B$3:$E$1409,7,FALSE)</f>
        <v>#REF!</v>
      </c>
      <c r="D524" s="32" t="e">
        <f>VLOOKUP($A524,Register!$B$3:$E$1409,8,FALSE)</f>
        <v>#REF!</v>
      </c>
      <c r="E524" s="34" t="s">
        <v>148</v>
      </c>
    </row>
    <row r="525" spans="1:5" x14ac:dyDescent="0.25">
      <c r="A525" s="33" t="str" cm="1">
        <f t="array" ref="A525">IFERROR(INDEX(Register!$B$3:$B$1409,ROW(),0), "")</f>
        <v>GEYER GMBH</v>
      </c>
      <c r="B525" s="32" t="e">
        <f>VLOOKUP($A525,Register!$B$3:$E$1409,6,FALSE)</f>
        <v>#REF!</v>
      </c>
      <c r="C525" s="32" t="e">
        <f>VLOOKUP($A525,Register!$B$3:$E$1409,7,FALSE)</f>
        <v>#REF!</v>
      </c>
      <c r="D525" s="32" t="e">
        <f>VLOOKUP($A525,Register!$B$3:$E$1409,8,FALSE)</f>
        <v>#REF!</v>
      </c>
      <c r="E525" s="34" t="s">
        <v>148</v>
      </c>
    </row>
    <row r="526" spans="1:5" x14ac:dyDescent="0.25">
      <c r="A526" s="33" t="str" cm="1">
        <f t="array" ref="A526">IFERROR(INDEX(Register!$B$3:$B$1409,ROW(),0), "")</f>
        <v>Akadeum LIfe Sciences Inc</v>
      </c>
      <c r="B526" s="32" t="e">
        <f>VLOOKUP($A526,Register!$B$3:$E$1409,6,FALSE)</f>
        <v>#REF!</v>
      </c>
      <c r="C526" s="32" t="e">
        <f>VLOOKUP($A526,Register!$B$3:$E$1409,7,FALSE)</f>
        <v>#REF!</v>
      </c>
      <c r="D526" s="32" t="e">
        <f>VLOOKUP($A526,Register!$B$3:$E$1409,8,FALSE)</f>
        <v>#REF!</v>
      </c>
      <c r="E526" s="34" t="s">
        <v>148</v>
      </c>
    </row>
    <row r="527" spans="1:5" x14ac:dyDescent="0.25">
      <c r="A527" s="33" t="str" cm="1">
        <f t="array" ref="A527">IFERROR(INDEX(Register!$B$3:$B$1409,ROW(),0), "")</f>
        <v>BBI Solutions OEM Ltd</v>
      </c>
      <c r="B527" s="32" t="e">
        <f>VLOOKUP($A527,Register!$B$3:$E$1409,6,FALSE)</f>
        <v>#REF!</v>
      </c>
      <c r="C527" s="32" t="e">
        <f>VLOOKUP($A527,Register!$B$3:$E$1409,7,FALSE)</f>
        <v>#REF!</v>
      </c>
      <c r="D527" s="32" t="e">
        <f>VLOOKUP($A527,Register!$B$3:$E$1409,8,FALSE)</f>
        <v>#REF!</v>
      </c>
      <c r="E527" s="34" t="s">
        <v>148</v>
      </c>
    </row>
    <row r="528" spans="1:5" x14ac:dyDescent="0.25">
      <c r="A528" s="33" t="str" cm="1">
        <f t="array" ref="A528">IFERROR(INDEX(Register!$B$3:$B$1409,ROW(),0), "")</f>
        <v>Eurofins AMS</v>
      </c>
      <c r="B528" s="32" t="e">
        <f>VLOOKUP($A528,Register!$B$3:$E$1409,6,FALSE)</f>
        <v>#REF!</v>
      </c>
      <c r="C528" s="32" t="e">
        <f>VLOOKUP($A528,Register!$B$3:$E$1409,7,FALSE)</f>
        <v>#REF!</v>
      </c>
      <c r="D528" s="32" t="e">
        <f>VLOOKUP($A528,Register!$B$3:$E$1409,8,FALSE)</f>
        <v>#REF!</v>
      </c>
      <c r="E528" s="34" t="s">
        <v>148</v>
      </c>
    </row>
    <row r="529" spans="1:6" x14ac:dyDescent="0.25">
      <c r="A529" s="33" t="str" cm="1">
        <f t="array" ref="A529">IFERROR(INDEX(Register!$B$3:$B$1409,ROW(),0), "")</f>
        <v>Kinematic Automation</v>
      </c>
      <c r="B529" s="32" t="e">
        <f>VLOOKUP($A529,Register!$B$3:$E$1409,6,FALSE)</f>
        <v>#REF!</v>
      </c>
      <c r="C529" s="32" t="e">
        <f>VLOOKUP($A529,Register!$B$3:$E$1409,7,FALSE)</f>
        <v>#REF!</v>
      </c>
      <c r="D529" s="32" t="e">
        <f>VLOOKUP($A529,Register!$B$3:$E$1409,8,FALSE)</f>
        <v>#REF!</v>
      </c>
      <c r="E529" s="34" t="s">
        <v>148</v>
      </c>
    </row>
    <row r="530" spans="1:6" x14ac:dyDescent="0.25">
      <c r="A530" s="33" t="str" cm="1">
        <f t="array" ref="A530">IFERROR(INDEX(Register!$B$3:$B$1409,ROW(),0), "")</f>
        <v>Merck Millipore</v>
      </c>
      <c r="B530" s="32" t="e">
        <f>VLOOKUP($A530,Register!$B$3:$E$1409,6,FALSE)</f>
        <v>#REF!</v>
      </c>
      <c r="C530" s="32" t="e">
        <f>VLOOKUP($A530,Register!$B$3:$E$1409,7,FALSE)</f>
        <v>#REF!</v>
      </c>
      <c r="D530" s="32" t="e">
        <f>VLOOKUP($A530,Register!$B$3:$E$1409,8,FALSE)</f>
        <v>#REF!</v>
      </c>
      <c r="E530" s="34" t="s">
        <v>5285</v>
      </c>
      <c r="F530" s="34" t="s">
        <v>5286</v>
      </c>
    </row>
    <row r="531" spans="1:6" x14ac:dyDescent="0.25">
      <c r="A531" s="33" t="str" cm="1">
        <f t="array" ref="A531">IFERROR(INDEX(Register!$B$3:$B$1409,ROW(),0), "")</f>
        <v>R&amp;D SYSTEMS, INC.</v>
      </c>
      <c r="B531" s="32" t="e">
        <f>VLOOKUP($A531,Register!$B$3:$E$1409,6,FALSE)</f>
        <v>#REF!</v>
      </c>
      <c r="C531" s="32" t="e">
        <f>VLOOKUP($A531,Register!$B$3:$E$1409,7,FALSE)</f>
        <v>#REF!</v>
      </c>
      <c r="D531" s="32" t="e">
        <f>VLOOKUP($A531,Register!$B$3:$E$1409,8,FALSE)</f>
        <v>#REF!</v>
      </c>
      <c r="E531" s="34" t="s">
        <v>148</v>
      </c>
    </row>
    <row r="532" spans="1:6" x14ac:dyDescent="0.25">
      <c r="A532" s="33" t="str" cm="1">
        <f t="array" ref="A532">IFERROR(INDEX(Register!$B$3:$B$1409,ROW(),0), "")</f>
        <v>Sartorius Australia Pty Ltd</v>
      </c>
      <c r="B532" s="32" t="e">
        <f>VLOOKUP($A532,Register!$B$3:$E$1409,6,FALSE)</f>
        <v>#REF!</v>
      </c>
      <c r="C532" s="32" t="e">
        <f>VLOOKUP($A532,Register!$B$3:$E$1409,7,FALSE)</f>
        <v>#REF!</v>
      </c>
      <c r="D532" s="32" t="e">
        <f>VLOOKUP($A532,Register!$B$3:$E$1409,8,FALSE)</f>
        <v>#REF!</v>
      </c>
      <c r="E532" s="34" t="s">
        <v>148</v>
      </c>
    </row>
    <row r="533" spans="1:6" x14ac:dyDescent="0.25">
      <c r="A533" s="33" t="str" cm="1">
        <f t="array" ref="A533">IFERROR(INDEX(Register!$B$3:$B$1409,ROW(),0), "")</f>
        <v>TIERS</v>
      </c>
      <c r="B533" s="32" t="e">
        <f>VLOOKUP($A533,Register!$B$3:$E$1409,6,FALSE)</f>
        <v>#REF!</v>
      </c>
      <c r="C533" s="32" t="e">
        <f>VLOOKUP($A533,Register!$B$3:$E$1409,7,FALSE)</f>
        <v>#REF!</v>
      </c>
      <c r="D533" s="32" t="e">
        <f>VLOOKUP($A533,Register!$B$3:$E$1409,8,FALSE)</f>
        <v>#REF!</v>
      </c>
      <c r="E533" s="34" t="s">
        <v>148</v>
      </c>
    </row>
    <row r="534" spans="1:6" x14ac:dyDescent="0.25">
      <c r="A534" s="33" t="str" cm="1">
        <f t="array" ref="A534">IFERROR(INDEX(Register!$B$3:$B$1409,ROW(),0), "")</f>
        <v>Millipore Sigma (EMD Millipore Corporation)</v>
      </c>
      <c r="B534" s="32" t="e">
        <f>VLOOKUP($A534,Register!$B$3:$E$1409,6,FALSE)</f>
        <v>#REF!</v>
      </c>
      <c r="C534" s="32" t="e">
        <f>VLOOKUP($A534,Register!$B$3:$E$1409,7,FALSE)</f>
        <v>#REF!</v>
      </c>
      <c r="D534" s="32" t="e">
        <f>VLOOKUP($A534,Register!$B$3:$E$1409,8,FALSE)</f>
        <v>#REF!</v>
      </c>
      <c r="E534" s="34" t="s">
        <v>148</v>
      </c>
    </row>
    <row r="535" spans="1:6" x14ac:dyDescent="0.25">
      <c r="A535" s="33" t="str" cm="1">
        <f t="array" ref="A535">IFERROR(INDEX(Register!$B$3:$B$1409,ROW(),0), "")</f>
        <v>New England Biolabs (Australia) Pty Ltd</v>
      </c>
      <c r="B535" s="32" t="e">
        <f>VLOOKUP($A535,Register!$B$3:$E$1409,6,FALSE)</f>
        <v>#REF!</v>
      </c>
      <c r="C535" s="32" t="e">
        <f>VLOOKUP($A535,Register!$B$3:$E$1409,7,FALSE)</f>
        <v>#REF!</v>
      </c>
      <c r="D535" s="32" t="e">
        <f>VLOOKUP($A535,Register!$B$3:$E$1409,8,FALSE)</f>
        <v>#REF!</v>
      </c>
      <c r="E535" s="34" t="s">
        <v>148</v>
      </c>
    </row>
    <row r="536" spans="1:6" x14ac:dyDescent="0.25">
      <c r="A536" s="33" t="str" cm="1">
        <f t="array" ref="A536">IFERROR(INDEX(Register!$B$3:$B$1409,ROW(),0), "")</f>
        <v>PharmaLex Pty Ltd</v>
      </c>
      <c r="B536" s="32" t="e">
        <f>VLOOKUP($A536,Register!$B$3:$E$1409,6,FALSE)</f>
        <v>#REF!</v>
      </c>
      <c r="C536" s="32" t="e">
        <f>VLOOKUP($A536,Register!$B$3:$E$1409,7,FALSE)</f>
        <v>#REF!</v>
      </c>
      <c r="D536" s="32" t="e">
        <f>VLOOKUP($A536,Register!$B$3:$E$1409,8,FALSE)</f>
        <v>#REF!</v>
      </c>
      <c r="E536" s="34" t="s">
        <v>148</v>
      </c>
    </row>
    <row r="537" spans="1:6" x14ac:dyDescent="0.25">
      <c r="A537" s="33" t="str" cm="1">
        <f t="array" ref="A537">IFERROR(INDEX(Register!$B$3:$B$1409,ROW(),0), "")</f>
        <v>Proteomics International Pty Ltd</v>
      </c>
      <c r="B537" s="32" t="e">
        <f>VLOOKUP($A537,Register!$B$3:$E$1409,6,FALSE)</f>
        <v>#REF!</v>
      </c>
      <c r="C537" s="32" t="e">
        <f>VLOOKUP($A537,Register!$B$3:$E$1409,7,FALSE)</f>
        <v>#REF!</v>
      </c>
      <c r="D537" s="32" t="e">
        <f>VLOOKUP($A537,Register!$B$3:$E$1409,8,FALSE)</f>
        <v>#REF!</v>
      </c>
      <c r="E537" s="34" t="s">
        <v>148</v>
      </c>
    </row>
    <row r="538" spans="1:6" x14ac:dyDescent="0.25">
      <c r="A538" s="33" t="str" cm="1">
        <f t="array" ref="A538">IFERROR(INDEX(Register!$B$3:$B$1409,ROW(),0), "")</f>
        <v>Resolving Images P/L</v>
      </c>
      <c r="B538" s="32" t="e">
        <f>VLOOKUP($A538,Register!$B$3:$E$1409,6,FALSE)</f>
        <v>#REF!</v>
      </c>
      <c r="C538" s="32" t="e">
        <f>VLOOKUP($A538,Register!$B$3:$E$1409,7,FALSE)</f>
        <v>#REF!</v>
      </c>
      <c r="D538" s="32" t="e">
        <f>VLOOKUP($A538,Register!$B$3:$E$1409,8,FALSE)</f>
        <v>#REF!</v>
      </c>
      <c r="E538" s="34" t="s">
        <v>148</v>
      </c>
    </row>
    <row r="539" spans="1:6" x14ac:dyDescent="0.25">
      <c r="A539" s="33" t="str" cm="1">
        <f t="array" ref="A539">IFERROR(INDEX(Register!$B$3:$B$1409,ROW(),0), "")</f>
        <v>Sapphire Bioscience Pty Ltd</v>
      </c>
      <c r="B539" s="32" t="e">
        <f>VLOOKUP($A539,Register!$B$3:$E$1409,6,FALSE)</f>
        <v>#REF!</v>
      </c>
      <c r="C539" s="32" t="e">
        <f>VLOOKUP($A539,Register!$B$3:$E$1409,7,FALSE)</f>
        <v>#REF!</v>
      </c>
      <c r="D539" s="32" t="e">
        <f>VLOOKUP($A539,Register!$B$3:$E$1409,8,FALSE)</f>
        <v>#REF!</v>
      </c>
      <c r="E539" s="34" t="s">
        <v>148</v>
      </c>
    </row>
    <row r="540" spans="1:6" x14ac:dyDescent="0.25">
      <c r="A540" s="33" t="str" cm="1">
        <f t="array" ref="A540">IFERROR(INDEX(Register!$B$3:$B$1409,ROW(),0), "")</f>
        <v>Allanson International Inc</v>
      </c>
      <c r="B540" s="32" t="e">
        <f>VLOOKUP($A540,Register!$B$3:$E$1409,6,FALSE)</f>
        <v>#REF!</v>
      </c>
      <c r="C540" s="32" t="e">
        <f>VLOOKUP($A540,Register!$B$3:$E$1409,7,FALSE)</f>
        <v>#REF!</v>
      </c>
      <c r="D540" s="32" t="e">
        <f>VLOOKUP($A540,Register!$B$3:$E$1409,8,FALSE)</f>
        <v>#REF!</v>
      </c>
      <c r="E540" s="34" t="s">
        <v>148</v>
      </c>
    </row>
    <row r="541" spans="1:6" x14ac:dyDescent="0.25">
      <c r="A541" s="33" t="str" cm="1">
        <f t="array" ref="A541">IFERROR(INDEX(Register!$B$3:$B$1409,ROW(),0), "")</f>
        <v>Bosco Lighting</v>
      </c>
      <c r="B541" s="32" t="e">
        <f>VLOOKUP($A541,Register!$B$3:$E$1409,6,FALSE)</f>
        <v>#REF!</v>
      </c>
      <c r="C541" s="32" t="e">
        <f>VLOOKUP($A541,Register!$B$3:$E$1409,7,FALSE)</f>
        <v>#REF!</v>
      </c>
      <c r="D541" s="32" t="e">
        <f>VLOOKUP($A541,Register!$B$3:$E$1409,8,FALSE)</f>
        <v>#REF!</v>
      </c>
      <c r="E541" s="34" t="s">
        <v>148</v>
      </c>
    </row>
    <row r="542" spans="1:6" x14ac:dyDescent="0.25">
      <c r="A542" s="33" t="str" cm="1">
        <f t="array" ref="A542">IFERROR(INDEX(Register!$B$3:$B$1409,ROW(),0), "")</f>
        <v>Shenzhen JLC Electronics Co., LTD.</v>
      </c>
      <c r="B542" s="32" t="e">
        <f>VLOOKUP($A542,Register!$B$3:$E$1409,6,FALSE)</f>
        <v>#REF!</v>
      </c>
      <c r="C542" s="32" t="e">
        <f>VLOOKUP($A542,Register!$B$3:$E$1409,7,FALSE)</f>
        <v>#REF!</v>
      </c>
      <c r="D542" s="32" t="e">
        <f>VLOOKUP($A542,Register!$B$3:$E$1409,8,FALSE)</f>
        <v>#REF!</v>
      </c>
      <c r="E542" s="34" t="s">
        <v>148</v>
      </c>
    </row>
    <row r="543" spans="1:6" x14ac:dyDescent="0.25">
      <c r="A543" s="33" t="str" cm="1">
        <f t="array" ref="A543">IFERROR(INDEX(Register!$B$3:$B$1409,ROW(),0), "")</f>
        <v>Lucky Light Electronics Asia Co Ltd</v>
      </c>
      <c r="B543" s="32" t="e">
        <f>VLOOKUP($A543,Register!$B$3:$E$1409,6,FALSE)</f>
        <v>#REF!</v>
      </c>
      <c r="C543" s="32" t="e">
        <f>VLOOKUP($A543,Register!$B$3:$E$1409,7,FALSE)</f>
        <v>#REF!</v>
      </c>
      <c r="D543" s="32" t="e">
        <f>VLOOKUP($A543,Register!$B$3:$E$1409,8,FALSE)</f>
        <v>#REF!</v>
      </c>
      <c r="E543" s="34" t="s">
        <v>148</v>
      </c>
    </row>
    <row r="544" spans="1:6" x14ac:dyDescent="0.25">
      <c r="A544" s="33" t="str" cm="1">
        <f t="array" ref="A544">IFERROR(INDEX(Register!$B$3:$B$1409,ROW(),0), "")</f>
        <v>Luxeon Star LEDs</v>
      </c>
      <c r="B544" s="32" t="e">
        <f>VLOOKUP($A544,Register!$B$3:$E$1409,6,FALSE)</f>
        <v>#REF!</v>
      </c>
      <c r="C544" s="32" t="e">
        <f>VLOOKUP($A544,Register!$B$3:$E$1409,7,FALSE)</f>
        <v>#REF!</v>
      </c>
      <c r="D544" s="32" t="e">
        <f>VLOOKUP($A544,Register!$B$3:$E$1409,8,FALSE)</f>
        <v>#REF!</v>
      </c>
      <c r="E544" s="34" t="s">
        <v>148</v>
      </c>
    </row>
    <row r="545" spans="1:7" x14ac:dyDescent="0.25">
      <c r="A545" s="33" t="str" cm="1">
        <f t="array" ref="A545">IFERROR(INDEX(Register!$B$3:$B$1409,ROW(),0), "")</f>
        <v>LED Shop Australia</v>
      </c>
      <c r="B545" s="32" t="e">
        <f>VLOOKUP($A545,Register!$B$3:$E$1409,6,FALSE)</f>
        <v>#REF!</v>
      </c>
      <c r="C545" s="32" t="e">
        <f>VLOOKUP($A545,Register!$B$3:$E$1409,7,FALSE)</f>
        <v>#REF!</v>
      </c>
      <c r="D545" s="32" t="e">
        <f>VLOOKUP($A545,Register!$B$3:$E$1409,8,FALSE)</f>
        <v>#REF!</v>
      </c>
      <c r="E545" s="34" t="s">
        <v>5186</v>
      </c>
    </row>
    <row r="546" spans="1:7" x14ac:dyDescent="0.25">
      <c r="A546" s="33" t="str" cm="1">
        <f t="array" ref="A546">IFERROR(INDEX(Register!$B$3:$B$1409,ROW(),0), "")</f>
        <v>Lock Focus (Safecorp Financial Services)</v>
      </c>
      <c r="B546" s="32" t="e">
        <f>VLOOKUP($A546,Register!$B$3:$E$1409,6,FALSE)</f>
        <v>#REF!</v>
      </c>
      <c r="C546" s="32" t="e">
        <f>VLOOKUP($A546,Register!$B$3:$E$1409,7,FALSE)</f>
        <v>#REF!</v>
      </c>
      <c r="D546" s="32" t="e">
        <f>VLOOKUP($A546,Register!$B$3:$E$1409,8,FALSE)</f>
        <v>#REF!</v>
      </c>
      <c r="E546" s="34" t="s">
        <v>148</v>
      </c>
    </row>
    <row r="547" spans="1:7" x14ac:dyDescent="0.25">
      <c r="A547" s="33" t="str" cm="1">
        <f t="array" ref="A547">IFERROR(INDEX(Register!$B$3:$B$1409,ROW(),0), "")</f>
        <v>Saleae Inc</v>
      </c>
      <c r="B547" s="32" t="e">
        <f>VLOOKUP($A547,Register!$B$3:$E$1409,6,FALSE)</f>
        <v>#REF!</v>
      </c>
      <c r="C547" s="32" t="e">
        <f>VLOOKUP($A547,Register!$B$3:$E$1409,7,FALSE)</f>
        <v>#REF!</v>
      </c>
      <c r="D547" s="32" t="e">
        <f>VLOOKUP($A547,Register!$B$3:$E$1409,8,FALSE)</f>
        <v>#REF!</v>
      </c>
      <c r="E547" s="34" t="s">
        <v>148</v>
      </c>
    </row>
    <row r="548" spans="1:7" x14ac:dyDescent="0.25">
      <c r="A548" s="33" t="str" cm="1">
        <f t="array" ref="A548">IFERROR(INDEX(Register!$B$3:$B$1409,ROW(),0), "")</f>
        <v>Able Electronics Inc.</v>
      </c>
      <c r="B548" s="32" t="e">
        <f>VLOOKUP($A548,Register!$B$3:$E$1409,6,FALSE)</f>
        <v>#REF!</v>
      </c>
      <c r="C548" s="32" t="e">
        <f>VLOOKUP($A548,Register!$B$3:$E$1409,7,FALSE)</f>
        <v>#REF!</v>
      </c>
      <c r="D548" s="32" t="e">
        <f>VLOOKUP($A548,Register!$B$3:$E$1409,8,FALSE)</f>
        <v>#REF!</v>
      </c>
      <c r="E548" s="34" t="s">
        <v>148</v>
      </c>
    </row>
    <row r="549" spans="1:7" x14ac:dyDescent="0.25">
      <c r="A549" s="33" t="str" cm="1">
        <f t="array" ref="A549">IFERROR(INDEX(Register!$B$3:$B$1409,ROW(),0), "")</f>
        <v>888freight.net Pty Ltd</v>
      </c>
      <c r="B549" s="32" t="e">
        <f>VLOOKUP($A549,Register!$B$3:$E$1409,6,FALSE)</f>
        <v>#REF!</v>
      </c>
      <c r="C549" s="32" t="e">
        <f>VLOOKUP($A549,Register!$B$3:$E$1409,7,FALSE)</f>
        <v>#REF!</v>
      </c>
      <c r="D549" s="32" t="e">
        <f>VLOOKUP($A549,Register!$B$3:$E$1409,8,FALSE)</f>
        <v>#REF!</v>
      </c>
      <c r="E549" s="34" t="s">
        <v>2381</v>
      </c>
    </row>
    <row r="550" spans="1:7" x14ac:dyDescent="0.25">
      <c r="A550" s="33" t="str" cm="1">
        <f t="array" ref="A550">IFERROR(INDEX(Register!$B$3:$B$1409,ROW(),0), "")</f>
        <v>DHL Global Forwarding (Australia)</v>
      </c>
      <c r="B550" s="32" t="e">
        <f>VLOOKUP($A550,Register!$B$3:$E$1409,6,FALSE)</f>
        <v>#REF!</v>
      </c>
      <c r="C550" s="32" t="e">
        <f>VLOOKUP($A550,Register!$B$3:$E$1409,7,FALSE)</f>
        <v>#REF!</v>
      </c>
      <c r="D550" s="32" t="e">
        <f>VLOOKUP($A550,Register!$B$3:$E$1409,8,FALSE)</f>
        <v>#REF!</v>
      </c>
      <c r="E550" s="34" t="s">
        <v>148</v>
      </c>
    </row>
    <row r="551" spans="1:7" x14ac:dyDescent="0.25">
      <c r="A551" s="33" t="str" cm="1">
        <f t="array" ref="A551">IFERROR(INDEX(Register!$B$3:$B$1409,ROW(),0), "")</f>
        <v>FS.com Inc.</v>
      </c>
      <c r="B551" s="32" t="e">
        <f>VLOOKUP($A551,Register!$B$3:$E$1409,6,FALSE)</f>
        <v>#REF!</v>
      </c>
      <c r="C551" s="32" t="e">
        <f>VLOOKUP($A551,Register!$B$3:$E$1409,7,FALSE)</f>
        <v>#REF!</v>
      </c>
      <c r="D551" s="32" t="e">
        <f>VLOOKUP($A551,Register!$B$3:$E$1409,8,FALSE)</f>
        <v>#REF!</v>
      </c>
      <c r="E551" s="34" t="s">
        <v>148</v>
      </c>
    </row>
    <row r="552" spans="1:7" x14ac:dyDescent="0.25">
      <c r="A552" s="33" t="str" cm="1">
        <f t="array" ref="A552">IFERROR(INDEX(Register!$B$3:$B$1409,ROW(),0), "")</f>
        <v>Jet Couriers Pty Ltd</v>
      </c>
      <c r="B552" s="32" t="e">
        <f>VLOOKUP($A552,Register!$B$3:$E$1409,6,FALSE)</f>
        <v>#REF!</v>
      </c>
      <c r="C552" s="32" t="e">
        <f>VLOOKUP($A552,Register!$B$3:$E$1409,7,FALSE)</f>
        <v>#REF!</v>
      </c>
      <c r="D552" s="32" t="e">
        <f>VLOOKUP($A552,Register!$B$3:$E$1409,8,FALSE)</f>
        <v>#REF!</v>
      </c>
      <c r="E552" s="34" t="s">
        <v>148</v>
      </c>
    </row>
    <row r="553" spans="1:7" x14ac:dyDescent="0.25">
      <c r="A553" s="33" t="str" cm="1">
        <f t="array" ref="A553">IFERROR(INDEX(Register!$B$3:$B$1409,ROW(),0), "")</f>
        <v>Kerry Logistics Ocenania Pty Ltd</v>
      </c>
      <c r="B553" s="32" t="e">
        <f>VLOOKUP($A553,Register!$B$3:$E$1409,6,FALSE)</f>
        <v>#REF!</v>
      </c>
      <c r="C553" s="32" t="e">
        <f>VLOOKUP($A553,Register!$B$3:$E$1409,7,FALSE)</f>
        <v>#REF!</v>
      </c>
      <c r="D553" s="32" t="e">
        <f>VLOOKUP($A553,Register!$B$3:$E$1409,8,FALSE)</f>
        <v>#REF!</v>
      </c>
      <c r="E553" s="34" t="s">
        <v>148</v>
      </c>
    </row>
    <row r="554" spans="1:7" x14ac:dyDescent="0.25">
      <c r="A554" s="33" t="str" cm="1">
        <f t="array" ref="A554">IFERROR(INDEX(Register!$B$3:$B$1409,ROW(),0), "")</f>
        <v>King Van &amp; Storage</v>
      </c>
      <c r="B554" s="32" t="e">
        <f>VLOOKUP($A554,Register!$B$3:$E$1409,6,FALSE)</f>
        <v>#REF!</v>
      </c>
      <c r="C554" s="32" t="e">
        <f>VLOOKUP($A554,Register!$B$3:$E$1409,7,FALSE)</f>
        <v>#REF!</v>
      </c>
      <c r="D554" s="32" t="e">
        <f>VLOOKUP($A554,Register!$B$3:$E$1409,8,FALSE)</f>
        <v>#REF!</v>
      </c>
      <c r="E554" s="34" t="s">
        <v>148</v>
      </c>
    </row>
    <row r="555" spans="1:7" x14ac:dyDescent="0.25">
      <c r="A555" s="33" t="str" cm="1">
        <f t="array" ref="A555">IFERROR(INDEX(Register!$B$3:$B$1409,ROW(),0), "")</f>
        <v>Locke Logistics Pty Ltd</v>
      </c>
      <c r="B555" s="32" t="e">
        <f>VLOOKUP($A555,Register!$B$3:$E$1409,6,FALSE)</f>
        <v>#REF!</v>
      </c>
      <c r="C555" s="32" t="e">
        <f>VLOOKUP($A555,Register!$B$3:$E$1409,7,FALSE)</f>
        <v>#REF!</v>
      </c>
      <c r="D555" s="32" t="e">
        <f>VLOOKUP($A555,Register!$B$3:$E$1409,8,FALSE)</f>
        <v>#REF!</v>
      </c>
      <c r="E555" s="34" t="s">
        <v>148</v>
      </c>
    </row>
    <row r="556" spans="1:7" x14ac:dyDescent="0.25">
      <c r="A556" s="33" t="str" cm="1">
        <f t="array" ref="A556">IFERROR(INDEX(Register!$B$3:$B$1409,ROW(),0), "")</f>
        <v>SATURN FREIGHT SYSTEMS INC.</v>
      </c>
      <c r="B556" s="32" t="e">
        <f>VLOOKUP($A556,Register!$B$3:$E$1409,6,FALSE)</f>
        <v>#REF!</v>
      </c>
      <c r="C556" s="32" t="e">
        <f>VLOOKUP($A556,Register!$B$3:$E$1409,7,FALSE)</f>
        <v>#REF!</v>
      </c>
      <c r="D556" s="32" t="e">
        <f>VLOOKUP($A556,Register!$B$3:$E$1409,8,FALSE)</f>
        <v>#REF!</v>
      </c>
      <c r="E556" s="34" t="s">
        <v>1774</v>
      </c>
      <c r="F556" s="34" t="s">
        <v>5287</v>
      </c>
    </row>
    <row r="557" spans="1:7" x14ac:dyDescent="0.25">
      <c r="A557" s="33" t="str" cm="1">
        <f t="array" ref="A557">IFERROR(INDEX(Register!$B$3:$B$1409,ROW(),0), "")</f>
        <v>Kluber Lubrication Australia Pty Ltd</v>
      </c>
      <c r="B557" s="32" t="e">
        <f>VLOOKUP($A557,Register!$B$3:$E$1409,6,FALSE)</f>
        <v>#REF!</v>
      </c>
      <c r="C557" s="32" t="e">
        <f>VLOOKUP($A557,Register!$B$3:$E$1409,7,FALSE)</f>
        <v>#REF!</v>
      </c>
      <c r="D557" s="32" t="e">
        <f>VLOOKUP($A557,Register!$B$3:$E$1409,8,FALSE)</f>
        <v>#REF!</v>
      </c>
      <c r="E557" s="34" t="s">
        <v>148</v>
      </c>
    </row>
    <row r="558" spans="1:7" x14ac:dyDescent="0.25">
      <c r="A558" s="33" t="str" cm="1">
        <f t="array" ref="A558">IFERROR(INDEX(Register!$B$3:$B$1409,ROW(),0), "")</f>
        <v>Atlas Tooling Pty Ltd</v>
      </c>
      <c r="B558" s="32" t="e">
        <f>VLOOKUP($A558,Register!$B$3:$E$1409,6,FALSE)</f>
        <v>#REF!</v>
      </c>
      <c r="C558" s="32" t="e">
        <f>VLOOKUP($A558,Register!$B$3:$E$1409,7,FALSE)</f>
        <v>#REF!</v>
      </c>
      <c r="D558" s="32" t="e">
        <f>VLOOKUP($A558,Register!$B$3:$E$1409,8,FALSE)</f>
        <v>#REF!</v>
      </c>
      <c r="E558" s="34" t="s">
        <v>148</v>
      </c>
    </row>
    <row r="559" spans="1:7" x14ac:dyDescent="0.25">
      <c r="A559" s="33" t="str" cm="1">
        <f t="array" ref="A559">IFERROR(INDEX(Register!$B$3:$B$1409,ROW(),0), "")</f>
        <v>Campbell Engineering</v>
      </c>
      <c r="B559" s="32" t="e">
        <f>VLOOKUP($A559,Register!$B$3:$E$1409,6,FALSE)</f>
        <v>#REF!</v>
      </c>
      <c r="C559" s="32" t="e">
        <f>VLOOKUP($A559,Register!$B$3:$E$1409,7,FALSE)</f>
        <v>#REF!</v>
      </c>
      <c r="D559" s="32" t="e">
        <f>VLOOKUP($A559,Register!$B$3:$E$1409,8,FALSE)</f>
        <v>#REF!</v>
      </c>
      <c r="E559" s="34" t="s">
        <v>4791</v>
      </c>
      <c r="F559" s="34" t="s">
        <v>4792</v>
      </c>
      <c r="G559" s="34" t="s">
        <v>4793</v>
      </c>
    </row>
    <row r="560" spans="1:7" x14ac:dyDescent="0.25">
      <c r="A560" s="33" t="str" cm="1">
        <f t="array" ref="A560">IFERROR(INDEX(Register!$B$3:$B$1409,ROW(),0), "")</f>
        <v>Global Hi-Tek Precision (Tunxon)</v>
      </c>
      <c r="B560" s="32" t="e">
        <f>VLOOKUP($A560,Register!$B$3:$E$1409,6,FALSE)</f>
        <v>#REF!</v>
      </c>
      <c r="C560" s="32" t="e">
        <f>VLOOKUP($A560,Register!$B$3:$E$1409,7,FALSE)</f>
        <v>#REF!</v>
      </c>
      <c r="D560" s="32" t="e">
        <f>VLOOKUP($A560,Register!$B$3:$E$1409,8,FALSE)</f>
        <v>#REF!</v>
      </c>
      <c r="E560" s="34" t="s">
        <v>148</v>
      </c>
    </row>
    <row r="561" spans="1:10" x14ac:dyDescent="0.25">
      <c r="A561" s="33" t="str" cm="1">
        <f t="array" ref="A561">IFERROR(INDEX(Register!$B$3:$B$1409,ROW(),0), "")</f>
        <v>Mason Machine &amp; Tool</v>
      </c>
      <c r="B561" s="32" t="e">
        <f>VLOOKUP($A561,Register!$B$3:$E$1409,6,FALSE)</f>
        <v>#REF!</v>
      </c>
      <c r="C561" s="32" t="e">
        <f>VLOOKUP($A561,Register!$B$3:$E$1409,7,FALSE)</f>
        <v>#REF!</v>
      </c>
      <c r="D561" s="32" t="e">
        <f>VLOOKUP($A561,Register!$B$3:$E$1409,8,FALSE)</f>
        <v>#REF!</v>
      </c>
      <c r="E561" s="34" t="s">
        <v>148</v>
      </c>
    </row>
    <row r="562" spans="1:10" x14ac:dyDescent="0.25">
      <c r="A562" s="33" t="str" cm="1">
        <f t="array" ref="A562">IFERROR(INDEX(Register!$B$3:$B$1409,ROW(),0), "")</f>
        <v>MRG Tool and Die Corp.</v>
      </c>
      <c r="B562" s="32" t="e">
        <f>VLOOKUP($A562,Register!$B$3:$E$1409,6,FALSE)</f>
        <v>#REF!</v>
      </c>
      <c r="C562" s="32" t="e">
        <f>VLOOKUP($A562,Register!$B$3:$E$1409,7,FALSE)</f>
        <v>#REF!</v>
      </c>
      <c r="D562" s="32" t="e">
        <f>VLOOKUP($A562,Register!$B$3:$E$1409,8,FALSE)</f>
        <v>#REF!</v>
      </c>
      <c r="E562" s="34" t="s">
        <v>148</v>
      </c>
    </row>
    <row r="563" spans="1:10" x14ac:dyDescent="0.25">
      <c r="A563" s="33" t="str" cm="1">
        <f t="array" ref="A563">IFERROR(INDEX(Register!$B$3:$B$1409,ROW(),0), "")</f>
        <v>Plethora Corp</v>
      </c>
      <c r="B563" s="32" t="e">
        <f>VLOOKUP($A563,Register!$B$3:$E$1409,6,FALSE)</f>
        <v>#REF!</v>
      </c>
      <c r="C563" s="32" t="e">
        <f>VLOOKUP($A563,Register!$B$3:$E$1409,7,FALSE)</f>
        <v>#REF!</v>
      </c>
      <c r="D563" s="32" t="e">
        <f>VLOOKUP($A563,Register!$B$3:$E$1409,8,FALSE)</f>
        <v>#REF!</v>
      </c>
      <c r="E563" s="34" t="s">
        <v>148</v>
      </c>
    </row>
    <row r="564" spans="1:10" x14ac:dyDescent="0.25">
      <c r="A564" s="33" t="str" cm="1">
        <f t="array" ref="A564">IFERROR(INDEX(Register!$B$3:$B$1409,ROW(),0), "")</f>
        <v>AFAB Precision Machining</v>
      </c>
      <c r="B564" s="32" t="e">
        <f>VLOOKUP($A564,Register!$B$3:$E$1409,6,FALSE)</f>
        <v>#REF!</v>
      </c>
      <c r="C564" s="32" t="e">
        <f>VLOOKUP($A564,Register!$B$3:$E$1409,7,FALSE)</f>
        <v>#REF!</v>
      </c>
      <c r="D564" s="32" t="e">
        <f>VLOOKUP($A564,Register!$B$3:$E$1409,8,FALSE)</f>
        <v>#REF!</v>
      </c>
      <c r="E564" s="34" t="s">
        <v>148</v>
      </c>
    </row>
    <row r="565" spans="1:10" x14ac:dyDescent="0.25">
      <c r="A565" s="33" t="str" cm="1">
        <f t="array" ref="A565">IFERROR(INDEX(Register!$B$3:$B$1409,ROW(),0), "")</f>
        <v>AHG Enterprises Pty Ltd</v>
      </c>
      <c r="B565" s="32" t="e">
        <f>VLOOKUP($A565,Register!$B$3:$E$1409,6,FALSE)</f>
        <v>#REF!</v>
      </c>
      <c r="C565" s="32" t="e">
        <f>VLOOKUP($A565,Register!$B$3:$E$1409,7,FALSE)</f>
        <v>#REF!</v>
      </c>
      <c r="D565" s="32" t="e">
        <f>VLOOKUP($A565,Register!$B$3:$E$1409,8,FALSE)</f>
        <v>#REF!</v>
      </c>
      <c r="E565" s="34" t="s">
        <v>148</v>
      </c>
    </row>
    <row r="566" spans="1:10" x14ac:dyDescent="0.25">
      <c r="A566" s="33" t="str" cm="1">
        <f t="array" ref="A566">IFERROR(INDEX(Register!$B$3:$B$1409,ROW(),0), "")</f>
        <v>Alpha Omega Swiss Inc.</v>
      </c>
      <c r="B566" s="32" t="e">
        <f>VLOOKUP($A566,Register!$B$3:$E$1409,6,FALSE)</f>
        <v>#REF!</v>
      </c>
      <c r="C566" s="32" t="e">
        <f>VLOOKUP($A566,Register!$B$3:$E$1409,7,FALSE)</f>
        <v>#REF!</v>
      </c>
      <c r="D566" s="32" t="e">
        <f>VLOOKUP($A566,Register!$B$3:$E$1409,8,FALSE)</f>
        <v>#REF!</v>
      </c>
      <c r="E566" s="34" t="s">
        <v>148</v>
      </c>
    </row>
    <row r="567" spans="1:10" x14ac:dyDescent="0.25">
      <c r="A567" s="33" t="str" cm="1">
        <f t="array" ref="A567">IFERROR(INDEX(Register!$B$3:$B$1409,ROW(),0), "")</f>
        <v>Australian Precision Technologies Pty Ltd</v>
      </c>
      <c r="B567" s="32" t="e">
        <f>VLOOKUP($A567,Register!$B$3:$E$1409,6,FALSE)</f>
        <v>#REF!</v>
      </c>
      <c r="C567" s="32" t="e">
        <f>VLOOKUP($A567,Register!$B$3:$E$1409,7,FALSE)</f>
        <v>#REF!</v>
      </c>
      <c r="D567" s="32" t="e">
        <f>VLOOKUP($A567,Register!$B$3:$E$1409,8,FALSE)</f>
        <v>#REF!</v>
      </c>
      <c r="E567" s="34" t="s">
        <v>5288</v>
      </c>
      <c r="F567" s="34" t="s">
        <v>5289</v>
      </c>
      <c r="G567" s="34" t="s">
        <v>5290</v>
      </c>
      <c r="H567" s="34" t="s">
        <v>5291</v>
      </c>
      <c r="I567" s="34" t="s">
        <v>5292</v>
      </c>
      <c r="J567" s="34" t="s">
        <v>716</v>
      </c>
    </row>
    <row r="568" spans="1:10" x14ac:dyDescent="0.25">
      <c r="A568" s="33" t="str" cm="1">
        <f t="array" ref="A568">IFERROR(INDEX(Register!$B$3:$B$1409,ROW(),0), "")</f>
        <v>Campagno Engineering</v>
      </c>
      <c r="B568" s="32" t="e">
        <f>VLOOKUP($A568,Register!$B$3:$E$1409,6,FALSE)</f>
        <v>#REF!</v>
      </c>
      <c r="C568" s="32" t="e">
        <f>VLOOKUP($A568,Register!$B$3:$E$1409,7,FALSE)</f>
        <v>#REF!</v>
      </c>
      <c r="D568" s="32" t="e">
        <f>VLOOKUP($A568,Register!$B$3:$E$1409,8,FALSE)</f>
        <v>#REF!</v>
      </c>
      <c r="E568" s="34" t="s">
        <v>148</v>
      </c>
    </row>
    <row r="569" spans="1:10" x14ac:dyDescent="0.25">
      <c r="A569" s="33" t="str" cm="1">
        <f t="array" ref="A569">IFERROR(INDEX(Register!$B$3:$B$1409,ROW(),0), "")</f>
        <v>DESIGN SOLUTION &amp; MACHINING</v>
      </c>
      <c r="B569" s="32" t="e">
        <f>VLOOKUP($A569,Register!$B$3:$E$1409,6,FALSE)</f>
        <v>#REF!</v>
      </c>
      <c r="C569" s="32" t="e">
        <f>VLOOKUP($A569,Register!$B$3:$E$1409,7,FALSE)</f>
        <v>#REF!</v>
      </c>
      <c r="D569" s="32" t="e">
        <f>VLOOKUP($A569,Register!$B$3:$E$1409,8,FALSE)</f>
        <v>#REF!</v>
      </c>
      <c r="E569" s="34" t="s">
        <v>148</v>
      </c>
    </row>
    <row r="570" spans="1:10" x14ac:dyDescent="0.25">
      <c r="A570" s="33" t="str" cm="1">
        <f t="array" ref="A570">IFERROR(INDEX(Register!$B$3:$B$1409,ROW(),0), "")</f>
        <v>S&amp;S PRECISION MFG,INC</v>
      </c>
      <c r="B570" s="32" t="e">
        <f>VLOOKUP($A570,Register!$B$3:$E$1409,6,FALSE)</f>
        <v>#REF!</v>
      </c>
      <c r="C570" s="32" t="e">
        <f>VLOOKUP($A570,Register!$B$3:$E$1409,7,FALSE)</f>
        <v>#REF!</v>
      </c>
      <c r="D570" s="32" t="e">
        <f>VLOOKUP($A570,Register!$B$3:$E$1409,8,FALSE)</f>
        <v>#REF!</v>
      </c>
      <c r="E570" s="34" t="s">
        <v>148</v>
      </c>
    </row>
    <row r="571" spans="1:10" x14ac:dyDescent="0.25">
      <c r="A571" s="33" t="str" cm="1">
        <f t="array" ref="A571">IFERROR(INDEX(Register!$B$3:$B$1409,ROW(),0), "")</f>
        <v>SCH Engineering (Harrison Engineering)</v>
      </c>
      <c r="B571" s="32" t="e">
        <f>VLOOKUP($A571,Register!$B$3:$E$1409,6,FALSE)</f>
        <v>#REF!</v>
      </c>
      <c r="C571" s="32" t="e">
        <f>VLOOKUP($A571,Register!$B$3:$E$1409,7,FALSE)</f>
        <v>#REF!</v>
      </c>
      <c r="D571" s="32" t="e">
        <f>VLOOKUP($A571,Register!$B$3:$E$1409,8,FALSE)</f>
        <v>#REF!</v>
      </c>
      <c r="E571" s="34" t="s">
        <v>5164</v>
      </c>
    </row>
    <row r="572" spans="1:10" x14ac:dyDescent="0.25">
      <c r="A572" s="33" t="str" cm="1">
        <f t="array" ref="A572">IFERROR(INDEX(Register!$B$3:$B$1409,ROW(),0), "")</f>
        <v>Hilltop Technology Laboratory</v>
      </c>
      <c r="B572" s="32" t="e">
        <f>VLOOKUP($A572,Register!$B$3:$E$1409,6,FALSE)</f>
        <v>#REF!</v>
      </c>
      <c r="C572" s="32" t="e">
        <f>VLOOKUP($A572,Register!$B$3:$E$1409,7,FALSE)</f>
        <v>#REF!</v>
      </c>
      <c r="D572" s="32" t="e">
        <f>VLOOKUP($A572,Register!$B$3:$E$1409,8,FALSE)</f>
        <v>#REF!</v>
      </c>
      <c r="E572" s="34" t="s">
        <v>148</v>
      </c>
    </row>
    <row r="573" spans="1:10" x14ac:dyDescent="0.25">
      <c r="A573" s="33" t="str" cm="1">
        <f t="array" ref="A573">IFERROR(INDEX(Register!$B$3:$B$1409,ROW(),0), "")</f>
        <v>Sedyme t/a Leopoldo Victoriano Valencia</v>
      </c>
      <c r="B573" s="32" t="e">
        <f>VLOOKUP($A573,Register!$B$3:$E$1409,6,FALSE)</f>
        <v>#REF!</v>
      </c>
      <c r="C573" s="32" t="e">
        <f>VLOOKUP($A573,Register!$B$3:$E$1409,7,FALSE)</f>
        <v>#REF!</v>
      </c>
      <c r="D573" s="32" t="e">
        <f>VLOOKUP($A573,Register!$B$3:$E$1409,8,FALSE)</f>
        <v>#REF!</v>
      </c>
      <c r="E573" s="34" t="s">
        <v>148</v>
      </c>
    </row>
    <row r="574" spans="1:10" x14ac:dyDescent="0.25">
      <c r="A574" s="33" t="str" cm="1">
        <f t="array" ref="A574">IFERROR(INDEX(Register!$B$3:$B$1409,ROW(),0), "")</f>
        <v>Hoffman Engineering</v>
      </c>
      <c r="B574" s="32" t="e">
        <f>VLOOKUP($A574,Register!$B$3:$E$1409,6,FALSE)</f>
        <v>#REF!</v>
      </c>
      <c r="C574" s="32" t="e">
        <f>VLOOKUP($A574,Register!$B$3:$E$1409,7,FALSE)</f>
        <v>#REF!</v>
      </c>
      <c r="D574" s="32" t="e">
        <f>VLOOKUP($A574,Register!$B$3:$E$1409,8,FALSE)</f>
        <v>#REF!</v>
      </c>
      <c r="E574" s="34" t="s">
        <v>5293</v>
      </c>
    </row>
    <row r="575" spans="1:10" x14ac:dyDescent="0.25">
      <c r="A575" s="33" t="str" cm="1">
        <f t="array" ref="A575">IFERROR(INDEX(Register!$B$3:$B$1409,ROW(),0), "")</f>
        <v>IMI Australia Pty Ltd</v>
      </c>
      <c r="B575" s="32" t="e">
        <f>VLOOKUP($A575,Register!$B$3:$E$1409,6,FALSE)</f>
        <v>#REF!</v>
      </c>
      <c r="C575" s="32" t="e">
        <f>VLOOKUP($A575,Register!$B$3:$E$1409,7,FALSE)</f>
        <v>#REF!</v>
      </c>
      <c r="D575" s="32" t="e">
        <f>VLOOKUP($A575,Register!$B$3:$E$1409,8,FALSE)</f>
        <v>#REF!</v>
      </c>
      <c r="E575" s="34" t="s">
        <v>148</v>
      </c>
    </row>
    <row r="576" spans="1:10" x14ac:dyDescent="0.25">
      <c r="A576" s="33" t="str" cm="1">
        <f t="array" ref="A576">IFERROR(INDEX(Register!$B$3:$B$1409,ROW(),0), "")</f>
        <v>Kewder Engineering</v>
      </c>
      <c r="B576" s="32" t="e">
        <f>VLOOKUP($A576,Register!$B$3:$E$1409,6,FALSE)</f>
        <v>#REF!</v>
      </c>
      <c r="C576" s="32" t="e">
        <f>VLOOKUP($A576,Register!$B$3:$E$1409,7,FALSE)</f>
        <v>#REF!</v>
      </c>
      <c r="D576" s="32" t="e">
        <f>VLOOKUP($A576,Register!$B$3:$E$1409,8,FALSE)</f>
        <v>#REF!</v>
      </c>
      <c r="E576" s="34" t="s">
        <v>148</v>
      </c>
    </row>
    <row r="577" spans="1:5" x14ac:dyDescent="0.25">
      <c r="A577" s="33" t="str" cm="1">
        <f t="array" ref="A577">IFERROR(INDEX(Register!$B$3:$B$1409,ROW(),0), "")</f>
        <v>Metal Fab Services Industries INC.</v>
      </c>
      <c r="B577" s="32" t="e">
        <f>VLOOKUP($A577,Register!$B$3:$E$1409,6,FALSE)</f>
        <v>#REF!</v>
      </c>
      <c r="C577" s="32" t="e">
        <f>VLOOKUP($A577,Register!$B$3:$E$1409,7,FALSE)</f>
        <v>#REF!</v>
      </c>
      <c r="D577" s="32" t="e">
        <f>VLOOKUP($A577,Register!$B$3:$E$1409,8,FALSE)</f>
        <v>#REF!</v>
      </c>
      <c r="E577" s="34" t="s">
        <v>148</v>
      </c>
    </row>
    <row r="578" spans="1:5" x14ac:dyDescent="0.25">
      <c r="A578" s="33" t="str" cm="1">
        <f t="array" ref="A578">IFERROR(INDEX(Register!$B$3:$B$1409,ROW(),0), "")</f>
        <v>New England Small Tube Corporation</v>
      </c>
      <c r="B578" s="32" t="e">
        <f>VLOOKUP($A578,Register!$B$3:$E$1409,6,FALSE)</f>
        <v>#REF!</v>
      </c>
      <c r="C578" s="32" t="e">
        <f>VLOOKUP($A578,Register!$B$3:$E$1409,7,FALSE)</f>
        <v>#REF!</v>
      </c>
      <c r="D578" s="32" t="e">
        <f>VLOOKUP($A578,Register!$B$3:$E$1409,8,FALSE)</f>
        <v>#REF!</v>
      </c>
      <c r="E578" s="34" t="s">
        <v>148</v>
      </c>
    </row>
    <row r="579" spans="1:5" x14ac:dyDescent="0.25">
      <c r="A579" s="33" t="str" cm="1">
        <f t="array" ref="A579">IFERROR(INDEX(Register!$B$3:$B$1409,ROW(),0), "")</f>
        <v>Total Precision Pty Ltd</v>
      </c>
      <c r="B579" s="32" t="e">
        <f>VLOOKUP($A579,Register!$B$3:$E$1409,6,FALSE)</f>
        <v>#REF!</v>
      </c>
      <c r="C579" s="32" t="e">
        <f>VLOOKUP($A579,Register!$B$3:$E$1409,7,FALSE)</f>
        <v>#REF!</v>
      </c>
      <c r="D579" s="32" t="e">
        <f>VLOOKUP($A579,Register!$B$3:$E$1409,8,FALSE)</f>
        <v>#REF!</v>
      </c>
      <c r="E579" s="34" t="s">
        <v>148</v>
      </c>
    </row>
    <row r="580" spans="1:5" x14ac:dyDescent="0.25">
      <c r="A580" s="33" t="str" cm="1">
        <f t="array" ref="A580">IFERROR(INDEX(Register!$B$3:$B$1409,ROW(),0), "")</f>
        <v>Ningbo Incote Precision Machinery Co Ltd</v>
      </c>
      <c r="B580" s="32" t="e">
        <f>VLOOKUP($A580,Register!$B$3:$E$1409,6,FALSE)</f>
        <v>#REF!</v>
      </c>
      <c r="C580" s="32" t="e">
        <f>VLOOKUP($A580,Register!$B$3:$E$1409,7,FALSE)</f>
        <v>#REF!</v>
      </c>
      <c r="D580" s="32" t="e">
        <f>VLOOKUP($A580,Register!$B$3:$E$1409,8,FALSE)</f>
        <v>#REF!</v>
      </c>
      <c r="E580" s="34" t="s">
        <v>148</v>
      </c>
    </row>
    <row r="581" spans="1:5" x14ac:dyDescent="0.25">
      <c r="A581" s="33" t="str" cm="1">
        <f t="array" ref="A581">IFERROR(INDEX(Register!$B$3:$B$1409,ROW(),0), "")</f>
        <v>Planetary Machine &amp; Engineering,Inc</v>
      </c>
      <c r="B581" s="32" t="e">
        <f>VLOOKUP($A581,Register!$B$3:$E$1409,6,FALSE)</f>
        <v>#REF!</v>
      </c>
      <c r="C581" s="32" t="e">
        <f>VLOOKUP($A581,Register!$B$3:$E$1409,7,FALSE)</f>
        <v>#REF!</v>
      </c>
      <c r="D581" s="32" t="e">
        <f>VLOOKUP($A581,Register!$B$3:$E$1409,8,FALSE)</f>
        <v>#REF!</v>
      </c>
      <c r="E581" s="34" t="s">
        <v>148</v>
      </c>
    </row>
    <row r="582" spans="1:5" x14ac:dyDescent="0.25">
      <c r="A582" s="33" t="str" cm="1">
        <f t="array" ref="A582">IFERROR(INDEX(Register!$B$3:$B$1409,ROW(),0), "")</f>
        <v>PLC Industries Pte Ltd</v>
      </c>
      <c r="B582" s="32" t="e">
        <f>VLOOKUP($A582,Register!$B$3:$E$1409,6,FALSE)</f>
        <v>#REF!</v>
      </c>
      <c r="C582" s="32" t="e">
        <f>VLOOKUP($A582,Register!$B$3:$E$1409,7,FALSE)</f>
        <v>#REF!</v>
      </c>
      <c r="D582" s="32" t="e">
        <f>VLOOKUP($A582,Register!$B$3:$E$1409,8,FALSE)</f>
        <v>#REF!</v>
      </c>
      <c r="E582" s="34" t="s">
        <v>148</v>
      </c>
    </row>
    <row r="583" spans="1:5" x14ac:dyDescent="0.25">
      <c r="A583" s="33" t="str" cm="1">
        <f t="array" ref="A583">IFERROR(INDEX(Register!$B$3:$B$1409,ROW(),0), "")</f>
        <v>Pro Cut Engineering Pty Ltd</v>
      </c>
      <c r="B583" s="32" t="e">
        <f>VLOOKUP($A583,Register!$B$3:$E$1409,6,FALSE)</f>
        <v>#REF!</v>
      </c>
      <c r="C583" s="32" t="e">
        <f>VLOOKUP($A583,Register!$B$3:$E$1409,7,FALSE)</f>
        <v>#REF!</v>
      </c>
      <c r="D583" s="32" t="e">
        <f>VLOOKUP($A583,Register!$B$3:$E$1409,8,FALSE)</f>
        <v>#REF!</v>
      </c>
      <c r="E583" s="34" t="s">
        <v>148</v>
      </c>
    </row>
    <row r="584" spans="1:5" x14ac:dyDescent="0.25">
      <c r="A584" s="33" t="str" cm="1">
        <f t="array" ref="A584">IFERROR(INDEX(Register!$B$3:$B$1409,ROW(),0), "")</f>
        <v>Pyramid Precision Machine Inc.</v>
      </c>
      <c r="B584" s="32" t="e">
        <f>VLOOKUP($A584,Register!$B$3:$E$1409,6,FALSE)</f>
        <v>#REF!</v>
      </c>
      <c r="C584" s="32" t="e">
        <f>VLOOKUP($A584,Register!$B$3:$E$1409,7,FALSE)</f>
        <v>#REF!</v>
      </c>
      <c r="D584" s="32" t="e">
        <f>VLOOKUP($A584,Register!$B$3:$E$1409,8,FALSE)</f>
        <v>#REF!</v>
      </c>
      <c r="E584" s="34" t="s">
        <v>148</v>
      </c>
    </row>
    <row r="585" spans="1:5" x14ac:dyDescent="0.25">
      <c r="A585" s="33" t="str" cm="1">
        <f t="array" ref="A585">IFERROR(INDEX(Register!$B$3:$B$1409,ROW(),0), "")</f>
        <v>Yann Engineering Pty Ltd</v>
      </c>
      <c r="B585" s="32" t="e">
        <f>VLOOKUP($A585,Register!$B$3:$E$1409,6,FALSE)</f>
        <v>#REF!</v>
      </c>
      <c r="C585" s="32" t="e">
        <f>VLOOKUP($A585,Register!$B$3:$E$1409,7,FALSE)</f>
        <v>#REF!</v>
      </c>
      <c r="D585" s="32" t="e">
        <f>VLOOKUP($A585,Register!$B$3:$E$1409,8,FALSE)</f>
        <v>#REF!</v>
      </c>
      <c r="E585" s="34" t="s">
        <v>148</v>
      </c>
    </row>
    <row r="586" spans="1:5" x14ac:dyDescent="0.25">
      <c r="A586" s="33" t="str" cm="1">
        <f t="array" ref="A586">IFERROR(INDEX(Register!$B$3:$B$1409,ROW(),0), "")</f>
        <v>Queen Screw &amp; Mfg Inc</v>
      </c>
      <c r="B586" s="32" t="e">
        <f>VLOOKUP($A586,Register!$B$3:$E$1409,6,FALSE)</f>
        <v>#REF!</v>
      </c>
      <c r="C586" s="32" t="e">
        <f>VLOOKUP($A586,Register!$B$3:$E$1409,7,FALSE)</f>
        <v>#REF!</v>
      </c>
      <c r="D586" s="32" t="e">
        <f>VLOOKUP($A586,Register!$B$3:$E$1409,8,FALSE)</f>
        <v>#REF!</v>
      </c>
      <c r="E586" s="34" t="s">
        <v>148</v>
      </c>
    </row>
    <row r="587" spans="1:5" x14ac:dyDescent="0.25">
      <c r="A587" s="33" t="str" cm="1">
        <f t="array" ref="A587">IFERROR(INDEX(Register!$B$3:$B$1409,ROW(),0), "")</f>
        <v>R&amp;I Instrument &amp; Gear</v>
      </c>
      <c r="B587" s="32" t="e">
        <f>VLOOKUP($A587,Register!$B$3:$E$1409,6,FALSE)</f>
        <v>#REF!</v>
      </c>
      <c r="C587" s="32" t="e">
        <f>VLOOKUP($A587,Register!$B$3:$E$1409,7,FALSE)</f>
        <v>#REF!</v>
      </c>
      <c r="D587" s="32" t="e">
        <f>VLOOKUP($A587,Register!$B$3:$E$1409,8,FALSE)</f>
        <v>#REF!</v>
      </c>
      <c r="E587" s="34" t="s">
        <v>148</v>
      </c>
    </row>
    <row r="588" spans="1:5" x14ac:dyDescent="0.25">
      <c r="A588" s="33" t="str" cm="1">
        <f t="array" ref="A588">IFERROR(INDEX(Register!$B$3:$B$1409,ROW(),0), "")</f>
        <v>Semtool Engineering Pty Ltd</v>
      </c>
      <c r="B588" s="32" t="e">
        <f>VLOOKUP($A588,Register!$B$3:$E$1409,6,FALSE)</f>
        <v>#REF!</v>
      </c>
      <c r="C588" s="32" t="e">
        <f>VLOOKUP($A588,Register!$B$3:$E$1409,7,FALSE)</f>
        <v>#REF!</v>
      </c>
      <c r="D588" s="32" t="e">
        <f>VLOOKUP($A588,Register!$B$3:$E$1409,8,FALSE)</f>
        <v>#REF!</v>
      </c>
      <c r="E588" s="34" t="s">
        <v>148</v>
      </c>
    </row>
    <row r="589" spans="1:5" x14ac:dyDescent="0.25">
      <c r="A589" s="33" t="str" cm="1">
        <f t="array" ref="A589">IFERROR(INDEX(Register!$B$3:$B$1409,ROW(),0), "")</f>
        <v>Stug Australia</v>
      </c>
      <c r="B589" s="32" t="e">
        <f>VLOOKUP($A589,Register!$B$3:$E$1409,6,FALSE)</f>
        <v>#REF!</v>
      </c>
      <c r="C589" s="32" t="e">
        <f>VLOOKUP($A589,Register!$B$3:$E$1409,7,FALSE)</f>
        <v>#REF!</v>
      </c>
      <c r="D589" s="32" t="e">
        <f>VLOOKUP($A589,Register!$B$3:$E$1409,8,FALSE)</f>
        <v>#REF!</v>
      </c>
      <c r="E589" s="34" t="s">
        <v>148</v>
      </c>
    </row>
    <row r="590" spans="1:5" x14ac:dyDescent="0.25">
      <c r="A590" s="33" t="str" cm="1">
        <f t="array" ref="A590">IFERROR(INDEX(Register!$B$3:$B$1409,ROW(),0), "")</f>
        <v>Team-Metal (S) Pte Ltd</v>
      </c>
      <c r="B590" s="32" t="e">
        <f>VLOOKUP($A590,Register!$B$3:$E$1409,6,FALSE)</f>
        <v>#REF!</v>
      </c>
      <c r="C590" s="32" t="e">
        <f>VLOOKUP($A590,Register!$B$3:$E$1409,7,FALSE)</f>
        <v>#REF!</v>
      </c>
      <c r="D590" s="32" t="e">
        <f>VLOOKUP($A590,Register!$B$3:$E$1409,8,FALSE)</f>
        <v>#REF!</v>
      </c>
      <c r="E590" s="34" t="s">
        <v>148</v>
      </c>
    </row>
    <row r="591" spans="1:5" x14ac:dyDescent="0.25">
      <c r="A591" s="33" t="str" cm="1">
        <f t="array" ref="A591">IFERROR(INDEX(Register!$B$3:$B$1409,ROW(),0), "")</f>
        <v>Team-Metal (SuZhou) Co., Ltd.</v>
      </c>
      <c r="B591" s="32" t="e">
        <f>VLOOKUP($A591,Register!$B$3:$E$1409,6,FALSE)</f>
        <v>#REF!</v>
      </c>
      <c r="C591" s="32" t="e">
        <f>VLOOKUP($A591,Register!$B$3:$E$1409,7,FALSE)</f>
        <v>#REF!</v>
      </c>
      <c r="D591" s="32" t="e">
        <f>VLOOKUP($A591,Register!$B$3:$E$1409,8,FALSE)</f>
        <v>#REF!</v>
      </c>
      <c r="E591" s="34" t="s">
        <v>148</v>
      </c>
    </row>
    <row r="592" spans="1:5" x14ac:dyDescent="0.25">
      <c r="A592" s="33" t="str" cm="1">
        <f t="array" ref="A592">IFERROR(INDEX(Register!$B$3:$B$1409,ROW(),0), "")</f>
        <v>Total Tooling Co Pty Ltd</v>
      </c>
      <c r="B592" s="32" t="e">
        <f>VLOOKUP($A592,Register!$B$3:$E$1409,6,FALSE)</f>
        <v>#REF!</v>
      </c>
      <c r="C592" s="32" t="e">
        <f>VLOOKUP($A592,Register!$B$3:$E$1409,7,FALSE)</f>
        <v>#REF!</v>
      </c>
      <c r="D592" s="32" t="e">
        <f>VLOOKUP($A592,Register!$B$3:$E$1409,8,FALSE)</f>
        <v>#REF!</v>
      </c>
      <c r="E592" s="34" t="s">
        <v>5294</v>
      </c>
    </row>
    <row r="593" spans="1:5" x14ac:dyDescent="0.25">
      <c r="A593" s="33" t="str" cm="1">
        <f t="array" ref="A593">IFERROR(INDEX(Register!$B$3:$B$1409,ROW(),0), "")</f>
        <v>Valley Precise Global Pty Ltd</v>
      </c>
      <c r="B593" s="32" t="e">
        <f>VLOOKUP($A593,Register!$B$3:$E$1409,6,FALSE)</f>
        <v>#REF!</v>
      </c>
      <c r="C593" s="32" t="e">
        <f>VLOOKUP($A593,Register!$B$3:$E$1409,7,FALSE)</f>
        <v>#REF!</v>
      </c>
      <c r="D593" s="32" t="e">
        <f>VLOOKUP($A593,Register!$B$3:$E$1409,8,FALSE)</f>
        <v>#REF!</v>
      </c>
      <c r="E593" s="34" t="s">
        <v>148</v>
      </c>
    </row>
    <row r="594" spans="1:5" x14ac:dyDescent="0.25">
      <c r="A594" s="33" t="str" cm="1">
        <f t="array" ref="A594">IFERROR(INDEX(Register!$B$3:$B$1409,ROW(),0), "")</f>
        <v>Zhejiang Kedu Hardware Co Ltd</v>
      </c>
      <c r="B594" s="32" t="e">
        <f>VLOOKUP($A594,Register!$B$3:$E$1409,6,FALSE)</f>
        <v>#REF!</v>
      </c>
      <c r="C594" s="32" t="e">
        <f>VLOOKUP($A594,Register!$B$3:$E$1409,7,FALSE)</f>
        <v>#REF!</v>
      </c>
      <c r="D594" s="32" t="e">
        <f>VLOOKUP($A594,Register!$B$3:$E$1409,8,FALSE)</f>
        <v>#REF!</v>
      </c>
      <c r="E594" s="34" t="s">
        <v>148</v>
      </c>
    </row>
    <row r="595" spans="1:5" x14ac:dyDescent="0.25">
      <c r="A595" s="33" t="str" cm="1">
        <f t="array" ref="A595">IFERROR(INDEX(Register!$B$3:$B$1409,ROW(),0), "")</f>
        <v>Alpha Magnetics</v>
      </c>
      <c r="B595" s="32" t="e">
        <f>VLOOKUP($A595,Register!$B$3:$E$1409,6,FALSE)</f>
        <v>#REF!</v>
      </c>
      <c r="C595" s="32" t="e">
        <f>VLOOKUP($A595,Register!$B$3:$E$1409,7,FALSE)</f>
        <v>#REF!</v>
      </c>
      <c r="D595" s="32" t="e">
        <f>VLOOKUP($A595,Register!$B$3:$E$1409,8,FALSE)</f>
        <v>#REF!</v>
      </c>
      <c r="E595" s="34" t="s">
        <v>148</v>
      </c>
    </row>
    <row r="596" spans="1:5" x14ac:dyDescent="0.25">
      <c r="A596" s="33" t="str" cm="1">
        <f t="array" ref="A596">IFERROR(INDEX(Register!$B$3:$B$1409,ROW(),0), "")</f>
        <v>AMF Magnetics</v>
      </c>
      <c r="B596" s="32" t="e">
        <f>VLOOKUP($A596,Register!$B$3:$E$1409,6,FALSE)</f>
        <v>#REF!</v>
      </c>
      <c r="C596" s="32" t="e">
        <f>VLOOKUP($A596,Register!$B$3:$E$1409,7,FALSE)</f>
        <v>#REF!</v>
      </c>
      <c r="D596" s="32" t="e">
        <f>VLOOKUP($A596,Register!$B$3:$E$1409,8,FALSE)</f>
        <v>#REF!</v>
      </c>
      <c r="E596" s="34" t="s">
        <v>148</v>
      </c>
    </row>
    <row r="597" spans="1:5" x14ac:dyDescent="0.25">
      <c r="A597" s="33" t="str" cm="1">
        <f t="array" ref="A597">IFERROR(INDEX(Register!$B$3:$B$1409,ROW(),0), "")</f>
        <v>Aussie Magnets</v>
      </c>
      <c r="B597" s="32" t="e">
        <f>VLOOKUP($A597,Register!$B$3:$E$1409,6,FALSE)</f>
        <v>#REF!</v>
      </c>
      <c r="C597" s="32" t="e">
        <f>VLOOKUP($A597,Register!$B$3:$E$1409,7,FALSE)</f>
        <v>#REF!</v>
      </c>
      <c r="D597" s="32" t="e">
        <f>VLOOKUP($A597,Register!$B$3:$E$1409,8,FALSE)</f>
        <v>#REF!</v>
      </c>
      <c r="E597" s="34" t="s">
        <v>148</v>
      </c>
    </row>
    <row r="598" spans="1:5" x14ac:dyDescent="0.25">
      <c r="A598" s="33" t="str" cm="1">
        <f t="array" ref="A598">IFERROR(INDEX(Register!$B$3:$B$1409,ROW(),0), "")</f>
        <v>IBS Magnet</v>
      </c>
      <c r="B598" s="32" t="e">
        <f>VLOOKUP($A598,Register!$B$3:$E$1409,6,FALSE)</f>
        <v>#REF!</v>
      </c>
      <c r="C598" s="32" t="e">
        <f>VLOOKUP($A598,Register!$B$3:$E$1409,7,FALSE)</f>
        <v>#REF!</v>
      </c>
      <c r="D598" s="32" t="e">
        <f>VLOOKUP($A598,Register!$B$3:$E$1409,8,FALSE)</f>
        <v>#REF!</v>
      </c>
      <c r="E598" s="34" t="s">
        <v>148</v>
      </c>
    </row>
    <row r="599" spans="1:5" x14ac:dyDescent="0.25">
      <c r="A599" s="33" t="str" cm="1">
        <f t="array" ref="A599">IFERROR(INDEX(Register!$B$3:$B$1409,ROW(),0), "")</f>
        <v>Integrated Magnetics Inc</v>
      </c>
      <c r="B599" s="32" t="e">
        <f>VLOOKUP($A599,Register!$B$3:$E$1409,6,FALSE)</f>
        <v>#REF!</v>
      </c>
      <c r="C599" s="32" t="e">
        <f>VLOOKUP($A599,Register!$B$3:$E$1409,7,FALSE)</f>
        <v>#REF!</v>
      </c>
      <c r="D599" s="32" t="e">
        <f>VLOOKUP($A599,Register!$B$3:$E$1409,8,FALSE)</f>
        <v>#REF!</v>
      </c>
      <c r="E599" s="34" t="s">
        <v>148</v>
      </c>
    </row>
    <row r="600" spans="1:5" x14ac:dyDescent="0.25">
      <c r="A600" s="33" t="str" cm="1">
        <f t="array" ref="A600">IFERROR(INDEX(Register!$B$3:$B$1409,ROW(),0), "")</f>
        <v>K&amp;J Magnetics Inc</v>
      </c>
      <c r="B600" s="32" t="e">
        <f>VLOOKUP($A600,Register!$B$3:$E$1409,6,FALSE)</f>
        <v>#REF!</v>
      </c>
      <c r="C600" s="32" t="e">
        <f>VLOOKUP($A600,Register!$B$3:$E$1409,7,FALSE)</f>
        <v>#REF!</v>
      </c>
      <c r="D600" s="32" t="e">
        <f>VLOOKUP($A600,Register!$B$3:$E$1409,8,FALSE)</f>
        <v>#REF!</v>
      </c>
      <c r="E600" s="34" t="s">
        <v>148</v>
      </c>
    </row>
    <row r="601" spans="1:5" x14ac:dyDescent="0.25">
      <c r="A601" s="33" t="str" cm="1">
        <f t="array" ref="A601">IFERROR(INDEX(Register!$B$3:$B$1409,ROW(),0), "")</f>
        <v>K&amp;J MAGNETICS, INC. (US)</v>
      </c>
      <c r="B601" s="32" t="e">
        <f>VLOOKUP($A601,Register!$B$3:$E$1409,6,FALSE)</f>
        <v>#REF!</v>
      </c>
      <c r="C601" s="32" t="e">
        <f>VLOOKUP($A601,Register!$B$3:$E$1409,7,FALSE)</f>
        <v>#REF!</v>
      </c>
      <c r="D601" s="32" t="e">
        <f>VLOOKUP($A601,Register!$B$3:$E$1409,8,FALSE)</f>
        <v>#REF!</v>
      </c>
      <c r="E601" s="34" t="s">
        <v>148</v>
      </c>
    </row>
    <row r="602" spans="1:5" x14ac:dyDescent="0.25">
      <c r="A602" s="33" t="str" cm="1">
        <f t="array" ref="A602">IFERROR(INDEX(Register!$B$3:$B$1409,ROW(),0), "")</f>
        <v>STANFORD MAGNETS</v>
      </c>
      <c r="B602" s="32" t="e">
        <f>VLOOKUP($A602,Register!$B$3:$E$1409,6,FALSE)</f>
        <v>#REF!</v>
      </c>
      <c r="C602" s="32" t="e">
        <f>VLOOKUP($A602,Register!$B$3:$E$1409,7,FALSE)</f>
        <v>#REF!</v>
      </c>
      <c r="D602" s="32" t="e">
        <f>VLOOKUP($A602,Register!$B$3:$E$1409,8,FALSE)</f>
        <v>#REF!</v>
      </c>
      <c r="E602" s="34" t="s">
        <v>148</v>
      </c>
    </row>
    <row r="603" spans="1:5" x14ac:dyDescent="0.25">
      <c r="A603" s="33" t="str" cm="1">
        <f t="array" ref="A603">IFERROR(INDEX(Register!$B$3:$B$1409,ROW(),0), "")</f>
        <v>Maintenance Tec LLC.</v>
      </c>
      <c r="B603" s="32" t="e">
        <f>VLOOKUP($A603,Register!$B$3:$E$1409,6,FALSE)</f>
        <v>#REF!</v>
      </c>
      <c r="C603" s="32" t="e">
        <f>VLOOKUP($A603,Register!$B$3:$E$1409,7,FALSE)</f>
        <v>#REF!</v>
      </c>
      <c r="D603" s="32" t="e">
        <f>VLOOKUP($A603,Register!$B$3:$E$1409,8,FALSE)</f>
        <v>#REF!</v>
      </c>
      <c r="E603" s="34" t="s">
        <v>148</v>
      </c>
    </row>
    <row r="604" spans="1:5" x14ac:dyDescent="0.25">
      <c r="A604" s="33" t="str" cm="1">
        <f t="array" ref="A604">IFERROR(INDEX(Register!$B$3:$B$1409,ROW(),0), "")</f>
        <v>Reckner Healthcare</v>
      </c>
      <c r="B604" s="32" t="e">
        <f>VLOOKUP($A604,Register!$B$3:$E$1409,6,FALSE)</f>
        <v>#REF!</v>
      </c>
      <c r="C604" s="32" t="e">
        <f>VLOOKUP($A604,Register!$B$3:$E$1409,7,FALSE)</f>
        <v>#REF!</v>
      </c>
      <c r="D604" s="32" t="e">
        <f>VLOOKUP($A604,Register!$B$3:$E$1409,8,FALSE)</f>
        <v>#REF!</v>
      </c>
      <c r="E604" s="34" t="s">
        <v>148</v>
      </c>
    </row>
    <row r="605" spans="1:5" x14ac:dyDescent="0.25">
      <c r="A605" s="33" t="str" cm="1">
        <f t="array" ref="A605">IFERROR(INDEX(Register!$B$3:$B$1409,ROW(),0), "")</f>
        <v>TKW Collective Pty Ltd (J &amp; S Research)</v>
      </c>
      <c r="B605" s="32" t="e">
        <f>VLOOKUP($A605,Register!$B$3:$E$1409,6,FALSE)</f>
        <v>#REF!</v>
      </c>
      <c r="C605" s="32" t="e">
        <f>VLOOKUP($A605,Register!$B$3:$E$1409,7,FALSE)</f>
        <v>#REF!</v>
      </c>
      <c r="D605" s="32" t="e">
        <f>VLOOKUP($A605,Register!$B$3:$E$1409,8,FALSE)</f>
        <v>#REF!</v>
      </c>
      <c r="E605" s="34" t="s">
        <v>148</v>
      </c>
    </row>
    <row r="606" spans="1:5" x14ac:dyDescent="0.25">
      <c r="A606" s="33" t="str" cm="1">
        <f t="array" ref="A606">IFERROR(INDEX(Register!$B$3:$B$1409,ROW(),0), "")</f>
        <v>TKW Research Group (The Knowledge Warehouse)</v>
      </c>
      <c r="B606" s="32" t="e">
        <f>VLOOKUP($A606,Register!$B$3:$E$1409,6,FALSE)</f>
        <v>#REF!</v>
      </c>
      <c r="C606" s="32" t="e">
        <f>VLOOKUP($A606,Register!$B$3:$E$1409,7,FALSE)</f>
        <v>#REF!</v>
      </c>
      <c r="D606" s="32" t="e">
        <f>VLOOKUP($A606,Register!$B$3:$E$1409,8,FALSE)</f>
        <v>#REF!</v>
      </c>
      <c r="E606" s="34" t="s">
        <v>148</v>
      </c>
    </row>
    <row r="607" spans="1:5" x14ac:dyDescent="0.25">
      <c r="A607" s="33" t="str" cm="1">
        <f t="array" ref="A607">IFERROR(INDEX(Register!$B$3:$B$1409,ROW(),0), "")</f>
        <v>Burke, Inc.</v>
      </c>
      <c r="B607" s="32" t="e">
        <f>VLOOKUP($A607,Register!$B$3:$E$1409,6,FALSE)</f>
        <v>#REF!</v>
      </c>
      <c r="C607" s="32" t="e">
        <f>VLOOKUP($A607,Register!$B$3:$E$1409,7,FALSE)</f>
        <v>#REF!</v>
      </c>
      <c r="D607" s="32" t="e">
        <f>VLOOKUP($A607,Register!$B$3:$E$1409,8,FALSE)</f>
        <v>#REF!</v>
      </c>
      <c r="E607" s="34" t="s">
        <v>148</v>
      </c>
    </row>
    <row r="608" spans="1:5" x14ac:dyDescent="0.25">
      <c r="A608" s="33" t="str" cm="1">
        <f t="array" ref="A608">IFERROR(INDEX(Register!$B$3:$B$1409,ROW(),0), "")</f>
        <v>Decision Point Research Inc.</v>
      </c>
      <c r="B608" s="32" t="e">
        <f>VLOOKUP($A608,Register!$B$3:$E$1409,6,FALSE)</f>
        <v>#REF!</v>
      </c>
      <c r="C608" s="32" t="e">
        <f>VLOOKUP($A608,Register!$B$3:$E$1409,7,FALSE)</f>
        <v>#REF!</v>
      </c>
      <c r="D608" s="32" t="e">
        <f>VLOOKUP($A608,Register!$B$3:$E$1409,8,FALSE)</f>
        <v>#REF!</v>
      </c>
      <c r="E608" s="34" t="s">
        <v>148</v>
      </c>
    </row>
    <row r="609" spans="1:10" x14ac:dyDescent="0.25">
      <c r="A609" s="33" t="str" cm="1">
        <f t="array" ref="A609">IFERROR(INDEX(Register!$B$3:$B$1409,ROW(),0), "")</f>
        <v>Acoustic &amp; Audiometric Services</v>
      </c>
      <c r="B609" s="32" t="e">
        <f>VLOOKUP($A609,Register!$B$3:$E$1409,6,FALSE)</f>
        <v>#REF!</v>
      </c>
      <c r="C609" s="32" t="e">
        <f>VLOOKUP($A609,Register!$B$3:$E$1409,7,FALSE)</f>
        <v>#REF!</v>
      </c>
      <c r="D609" s="32" t="e">
        <f>VLOOKUP($A609,Register!$B$3:$E$1409,8,FALSE)</f>
        <v>#REF!</v>
      </c>
      <c r="E609" s="34" t="s">
        <v>148</v>
      </c>
    </row>
    <row r="610" spans="1:10" x14ac:dyDescent="0.25">
      <c r="A610" s="33" t="str" cm="1">
        <f t="array" ref="A610">IFERROR(INDEX(Register!$B$3:$B$1409,ROW(),0), "")</f>
        <v>Advanced Test Equipment Rentals</v>
      </c>
      <c r="B610" s="32" t="e">
        <f>VLOOKUP($A610,Register!$B$3:$E$1409,6,FALSE)</f>
        <v>#REF!</v>
      </c>
      <c r="C610" s="32" t="e">
        <f>VLOOKUP($A610,Register!$B$3:$E$1409,7,FALSE)</f>
        <v>#REF!</v>
      </c>
      <c r="D610" s="32" t="e">
        <f>VLOOKUP($A610,Register!$B$3:$E$1409,8,FALSE)</f>
        <v>#REF!</v>
      </c>
      <c r="E610" s="34" t="s">
        <v>5295</v>
      </c>
      <c r="F610" s="34" t="s">
        <v>5296</v>
      </c>
      <c r="G610" s="34" t="s">
        <v>5297</v>
      </c>
      <c r="H610" s="34" t="s">
        <v>5298</v>
      </c>
    </row>
    <row r="611" spans="1:10" x14ac:dyDescent="0.25">
      <c r="A611" s="33" t="str" cm="1">
        <f t="array" ref="A611">IFERROR(INDEX(Register!$B$3:$B$1409,ROW(),0), "")</f>
        <v>Analyte Measurement &amp; Solutions Pte Ltd</v>
      </c>
      <c r="B611" s="32" t="e">
        <f>VLOOKUP($A611,Register!$B$3:$E$1409,6,FALSE)</f>
        <v>#REF!</v>
      </c>
      <c r="C611" s="32" t="e">
        <f>VLOOKUP($A611,Register!$B$3:$E$1409,7,FALSE)</f>
        <v>#REF!</v>
      </c>
      <c r="D611" s="32" t="e">
        <f>VLOOKUP($A611,Register!$B$3:$E$1409,8,FALSE)</f>
        <v>#REF!</v>
      </c>
      <c r="E611" s="34" t="s">
        <v>148</v>
      </c>
    </row>
    <row r="612" spans="1:10" x14ac:dyDescent="0.25">
      <c r="A612" s="33" t="str" cm="1">
        <f t="array" ref="A612">IFERROR(INDEX(Register!$B$3:$B$1409,ROW(),0), "")</f>
        <v>Analytical Insight Pty Ltd</v>
      </c>
      <c r="B612" s="32" t="e">
        <f>VLOOKUP($A612,Register!$B$3:$E$1409,6,FALSE)</f>
        <v>#REF!</v>
      </c>
      <c r="C612" s="32" t="e">
        <f>VLOOKUP($A612,Register!$B$3:$E$1409,7,FALSE)</f>
        <v>#REF!</v>
      </c>
      <c r="D612" s="32" t="e">
        <f>VLOOKUP($A612,Register!$B$3:$E$1409,8,FALSE)</f>
        <v>#REF!</v>
      </c>
      <c r="E612" s="34" t="s">
        <v>148</v>
      </c>
    </row>
    <row r="613" spans="1:10" x14ac:dyDescent="0.25">
      <c r="A613" s="33" t="str" cm="1">
        <f t="array" ref="A613">IFERROR(INDEX(Register!$B$3:$B$1409,ROW(),0), "")</f>
        <v>ANMAR METROLOGY, INC.</v>
      </c>
      <c r="B613" s="32" t="e">
        <f>VLOOKUP($A613,Register!$B$3:$E$1409,6,FALSE)</f>
        <v>#REF!</v>
      </c>
      <c r="C613" s="32" t="e">
        <f>VLOOKUP($A613,Register!$B$3:$E$1409,7,FALSE)</f>
        <v>#REF!</v>
      </c>
      <c r="D613" s="32" t="e">
        <f>VLOOKUP($A613,Register!$B$3:$E$1409,8,FALSE)</f>
        <v>#REF!</v>
      </c>
      <c r="E613" s="34" t="s">
        <v>148</v>
      </c>
    </row>
    <row r="614" spans="1:10" x14ac:dyDescent="0.25">
      <c r="A614" s="33" t="str" cm="1">
        <f t="array" ref="A614">IFERROR(INDEX(Register!$B$3:$B$1409,ROW(),0), "")</f>
        <v>CIRRIS SYSTEMS CORPORATION</v>
      </c>
      <c r="B614" s="32" t="e">
        <f>VLOOKUP($A614,Register!$B$3:$E$1409,6,FALSE)</f>
        <v>#REF!</v>
      </c>
      <c r="C614" s="32" t="e">
        <f>VLOOKUP($A614,Register!$B$3:$E$1409,7,FALSE)</f>
        <v>#REF!</v>
      </c>
      <c r="D614" s="32" t="e">
        <f>VLOOKUP($A614,Register!$B$3:$E$1409,8,FALSE)</f>
        <v>#REF!</v>
      </c>
      <c r="E614" s="34" t="s">
        <v>148</v>
      </c>
    </row>
    <row r="615" spans="1:10" x14ac:dyDescent="0.25">
      <c r="A615" s="33" t="str" cm="1">
        <f t="array" ref="A615">IFERROR(INDEX(Register!$B$3:$B$1409,ROW(),0), "")</f>
        <v>CMM Inspection &amp; Metrology Services</v>
      </c>
      <c r="B615" s="32" t="e">
        <f>VLOOKUP($A615,Register!$B$3:$E$1409,6,FALSE)</f>
        <v>#REF!</v>
      </c>
      <c r="C615" s="32" t="e">
        <f>VLOOKUP($A615,Register!$B$3:$E$1409,7,FALSE)</f>
        <v>#REF!</v>
      </c>
      <c r="D615" s="32" t="e">
        <f>VLOOKUP($A615,Register!$B$3:$E$1409,8,FALSE)</f>
        <v>#REF!</v>
      </c>
      <c r="E615" s="34" t="s">
        <v>148</v>
      </c>
    </row>
    <row r="616" spans="1:10" x14ac:dyDescent="0.25">
      <c r="A616" s="33" t="str" cm="1">
        <f t="array" ref="A616">IFERROR(INDEX(Register!$B$3:$B$1409,ROW(),0), "")</f>
        <v>COMPATIBLE ELECTRONICS, INC.</v>
      </c>
      <c r="B616" s="32" t="e">
        <f>VLOOKUP($A616,Register!$B$3:$E$1409,6,FALSE)</f>
        <v>#REF!</v>
      </c>
      <c r="C616" s="32" t="e">
        <f>VLOOKUP($A616,Register!$B$3:$E$1409,7,FALSE)</f>
        <v>#REF!</v>
      </c>
      <c r="D616" s="32" t="e">
        <f>VLOOKUP($A616,Register!$B$3:$E$1409,8,FALSE)</f>
        <v>#REF!</v>
      </c>
      <c r="E616" s="34" t="s">
        <v>148</v>
      </c>
    </row>
    <row r="617" spans="1:10" x14ac:dyDescent="0.25">
      <c r="A617" s="33" t="str" cm="1">
        <f t="array" ref="A617">IFERROR(INDEX(Register!$B$3:$B$1409,ROW(),0), "")</f>
        <v>EMC Technologies Pty Ltd</v>
      </c>
      <c r="B617" s="32" t="e">
        <f>VLOOKUP($A617,Register!$B$3:$E$1409,6,FALSE)</f>
        <v>#REF!</v>
      </c>
      <c r="C617" s="32" t="e">
        <f>VLOOKUP($A617,Register!$B$3:$E$1409,7,FALSE)</f>
        <v>#REF!</v>
      </c>
      <c r="D617" s="32" t="e">
        <f>VLOOKUP($A617,Register!$B$3:$E$1409,8,FALSE)</f>
        <v>#REF!</v>
      </c>
      <c r="E617" s="34" t="s">
        <v>4791</v>
      </c>
      <c r="F617" s="34" t="s">
        <v>4792</v>
      </c>
      <c r="G617" s="34" t="s">
        <v>4793</v>
      </c>
    </row>
    <row r="618" spans="1:10" x14ac:dyDescent="0.25">
      <c r="A618" s="33" t="str" cm="1">
        <f t="array" ref="A618">IFERROR(INDEX(Register!$B$3:$B$1409,ROW(),0), "")</f>
        <v>Emona Instruments Pty Ltd</v>
      </c>
      <c r="B618" s="32" t="e">
        <f>VLOOKUP($A618,Register!$B$3:$E$1409,6,FALSE)</f>
        <v>#REF!</v>
      </c>
      <c r="C618" s="32" t="e">
        <f>VLOOKUP($A618,Register!$B$3:$E$1409,7,FALSE)</f>
        <v>#REF!</v>
      </c>
      <c r="D618" s="32" t="e">
        <f>VLOOKUP($A618,Register!$B$3:$E$1409,8,FALSE)</f>
        <v>#REF!</v>
      </c>
      <c r="E618" s="34" t="s">
        <v>5299</v>
      </c>
      <c r="F618" s="34" t="s">
        <v>5300</v>
      </c>
      <c r="G618" s="34" t="s">
        <v>5301</v>
      </c>
      <c r="H618" s="34" t="s">
        <v>5302</v>
      </c>
      <c r="I618" s="34" t="s">
        <v>5303</v>
      </c>
      <c r="J618" s="34" t="s">
        <v>5304</v>
      </c>
    </row>
    <row r="619" spans="1:10" x14ac:dyDescent="0.25">
      <c r="A619" s="33" t="str" cm="1">
        <f t="array" ref="A619">IFERROR(INDEX(Register!$B$3:$B$1409,ROW(),0), "")</f>
        <v>Eurofins AMS Laboratories</v>
      </c>
      <c r="B619" s="32" t="e">
        <f>VLOOKUP($A619,Register!$B$3:$E$1409,6,FALSE)</f>
        <v>#REF!</v>
      </c>
      <c r="C619" s="32" t="e">
        <f>VLOOKUP($A619,Register!$B$3:$E$1409,7,FALSE)</f>
        <v>#REF!</v>
      </c>
      <c r="D619" s="32" t="e">
        <f>VLOOKUP($A619,Register!$B$3:$E$1409,8,FALSE)</f>
        <v>#REF!</v>
      </c>
      <c r="E619" s="34" t="s">
        <v>148</v>
      </c>
    </row>
    <row r="620" spans="1:10" x14ac:dyDescent="0.25">
      <c r="A620" s="33" t="str" cm="1">
        <f t="array" ref="A620">IFERROR(INDEX(Register!$B$3:$B$1409,ROW(),0), "")</f>
        <v>Eurofins MET Laboratories</v>
      </c>
      <c r="B620" s="32" t="e">
        <f>VLOOKUP($A620,Register!$B$3:$E$1409,6,FALSE)</f>
        <v>#REF!</v>
      </c>
      <c r="C620" s="32" t="e">
        <f>VLOOKUP($A620,Register!$B$3:$E$1409,7,FALSE)</f>
        <v>#REF!</v>
      </c>
      <c r="D620" s="32" t="e">
        <f>VLOOKUP($A620,Register!$B$3:$E$1409,8,FALSE)</f>
        <v>#REF!</v>
      </c>
      <c r="E620" s="34" t="s">
        <v>148</v>
      </c>
    </row>
    <row r="621" spans="1:10" x14ac:dyDescent="0.25">
      <c r="A621" s="33" t="str" cm="1">
        <f t="array" ref="A621">IFERROR(INDEX(Register!$B$3:$B$1409,ROW(),0), "")</f>
        <v>Falcon Test Engineers</v>
      </c>
      <c r="B621" s="32" t="e">
        <f>VLOOKUP($A621,Register!$B$3:$E$1409,6,FALSE)</f>
        <v>#REF!</v>
      </c>
      <c r="C621" s="32" t="e">
        <f>VLOOKUP($A621,Register!$B$3:$E$1409,7,FALSE)</f>
        <v>#REF!</v>
      </c>
      <c r="D621" s="32" t="e">
        <f>VLOOKUP($A621,Register!$B$3:$E$1409,8,FALSE)</f>
        <v>#REF!</v>
      </c>
      <c r="E621" s="34" t="s">
        <v>148</v>
      </c>
    </row>
    <row r="622" spans="1:10" x14ac:dyDescent="0.25">
      <c r="A622" s="33" t="str" cm="1">
        <f t="array" ref="A622">IFERROR(INDEX(Register!$B$3:$B$1409,ROW(),0), "")</f>
        <v>FastSpring (Ncrunch.NET)</v>
      </c>
      <c r="B622" s="32" t="e">
        <f>VLOOKUP($A622,Register!$B$3:$E$1409,6,FALSE)</f>
        <v>#REF!</v>
      </c>
      <c r="C622" s="32" t="e">
        <f>VLOOKUP($A622,Register!$B$3:$E$1409,7,FALSE)</f>
        <v>#REF!</v>
      </c>
      <c r="D622" s="32" t="e">
        <f>VLOOKUP($A622,Register!$B$3:$E$1409,8,FALSE)</f>
        <v>#REF!</v>
      </c>
      <c r="E622" s="34" t="s">
        <v>4791</v>
      </c>
      <c r="F622" s="34" t="s">
        <v>4792</v>
      </c>
      <c r="G622" s="34" t="s">
        <v>4793</v>
      </c>
    </row>
    <row r="623" spans="1:10" x14ac:dyDescent="0.25">
      <c r="A623" s="33" t="str" cm="1">
        <f t="array" ref="A623">IFERROR(INDEX(Register!$B$3:$B$1409,ROW(),0), "")</f>
        <v>Firetail DAQ (Roger Bruce Cawsey)</v>
      </c>
      <c r="B623" s="32" t="e">
        <f>VLOOKUP($A623,Register!$B$3:$E$1409,6,FALSE)</f>
        <v>#REF!</v>
      </c>
      <c r="C623" s="32" t="e">
        <f>VLOOKUP($A623,Register!$B$3:$E$1409,7,FALSE)</f>
        <v>#REF!</v>
      </c>
      <c r="D623" s="32" t="e">
        <f>VLOOKUP($A623,Register!$B$3:$E$1409,8,FALSE)</f>
        <v>#REF!</v>
      </c>
      <c r="E623" s="34" t="s">
        <v>148</v>
      </c>
    </row>
    <row r="624" spans="1:10" x14ac:dyDescent="0.25">
      <c r="A624" s="33" t="str" cm="1">
        <f t="array" ref="A624">IFERROR(INDEX(Register!$B$3:$B$1409,ROW(),0), "")</f>
        <v>Higher Precision</v>
      </c>
      <c r="B624" s="32" t="e">
        <f>VLOOKUP($A624,Register!$B$3:$E$1409,6,FALSE)</f>
        <v>#REF!</v>
      </c>
      <c r="C624" s="32" t="e">
        <f>VLOOKUP($A624,Register!$B$3:$E$1409,7,FALSE)</f>
        <v>#REF!</v>
      </c>
      <c r="D624" s="32" t="e">
        <f>VLOOKUP($A624,Register!$B$3:$E$1409,8,FALSE)</f>
        <v>#REF!</v>
      </c>
      <c r="E624" s="34" t="s">
        <v>148</v>
      </c>
    </row>
    <row r="625" spans="1:9" x14ac:dyDescent="0.25">
      <c r="A625" s="33" t="str" cm="1">
        <f t="array" ref="A625">IFERROR(INDEX(Register!$B$3:$B$1409,ROW(),0), "")</f>
        <v>Intertek Testing Services (AU)</v>
      </c>
      <c r="B625" s="32" t="e">
        <f>VLOOKUP($A625,Register!$B$3:$E$1409,6,FALSE)</f>
        <v>#REF!</v>
      </c>
      <c r="C625" s="32" t="e">
        <f>VLOOKUP($A625,Register!$B$3:$E$1409,7,FALSE)</f>
        <v>#REF!</v>
      </c>
      <c r="D625" s="32" t="e">
        <f>VLOOKUP($A625,Register!$B$3:$E$1409,8,FALSE)</f>
        <v>#REF!</v>
      </c>
      <c r="E625" s="34" t="s">
        <v>148</v>
      </c>
    </row>
    <row r="626" spans="1:9" x14ac:dyDescent="0.25">
      <c r="A626" s="33" t="str" cm="1">
        <f t="array" ref="A626">IFERROR(INDEX(Register!$B$3:$B$1409,ROW(),0), "")</f>
        <v>INTERTEK TESTING SERVICES NA</v>
      </c>
      <c r="B626" s="32" t="e">
        <f>VLOOKUP($A626,Register!$B$3:$E$1409,6,FALSE)</f>
        <v>#REF!</v>
      </c>
      <c r="C626" s="32" t="e">
        <f>VLOOKUP($A626,Register!$B$3:$E$1409,7,FALSE)</f>
        <v>#REF!</v>
      </c>
      <c r="D626" s="32" t="e">
        <f>VLOOKUP($A626,Register!$B$3:$E$1409,8,FALSE)</f>
        <v>#REF!</v>
      </c>
      <c r="E626" s="34" t="s">
        <v>148</v>
      </c>
    </row>
    <row r="627" spans="1:9" x14ac:dyDescent="0.25">
      <c r="A627" s="33" t="str" cm="1">
        <f t="array" ref="A627">IFERROR(INDEX(Register!$B$3:$B$1409,ROW(),0), "")</f>
        <v>Nitto Denko (Australia) Pty Ltd</v>
      </c>
      <c r="B627" s="32" t="e">
        <f>VLOOKUP($A627,Register!$B$3:$E$1409,6,FALSE)</f>
        <v>#REF!</v>
      </c>
      <c r="C627" s="32" t="e">
        <f>VLOOKUP($A627,Register!$B$3:$E$1409,7,FALSE)</f>
        <v>#REF!</v>
      </c>
      <c r="D627" s="32" t="e">
        <f>VLOOKUP($A627,Register!$B$3:$E$1409,8,FALSE)</f>
        <v>#REF!</v>
      </c>
      <c r="E627" s="34" t="s">
        <v>148</v>
      </c>
    </row>
    <row r="628" spans="1:9" x14ac:dyDescent="0.25">
      <c r="A628" s="33" t="str" cm="1">
        <f t="array" ref="A628">IFERROR(INDEX(Register!$B$3:$B$1409,ROW(),0), "")</f>
        <v>ACM Laboratory Pty Ltd</v>
      </c>
      <c r="B628" s="32" t="e">
        <f>VLOOKUP($A628,Register!$B$3:$E$1409,6,FALSE)</f>
        <v>#REF!</v>
      </c>
      <c r="C628" s="32" t="e">
        <f>VLOOKUP($A628,Register!$B$3:$E$1409,7,FALSE)</f>
        <v>#REF!</v>
      </c>
      <c r="D628" s="32" t="e">
        <f>VLOOKUP($A628,Register!$B$3:$E$1409,8,FALSE)</f>
        <v>#REF!</v>
      </c>
      <c r="E628" s="34" t="s">
        <v>148</v>
      </c>
    </row>
    <row r="629" spans="1:9" x14ac:dyDescent="0.25">
      <c r="A629" s="33" t="str" cm="1">
        <f t="array" ref="A629">IFERROR(INDEX(Register!$B$3:$B$1409,ROW(),0), "")</f>
        <v>ADM Instrument Engineering</v>
      </c>
      <c r="B629" s="32" t="e">
        <f>VLOOKUP($A629,Register!$B$3:$E$1409,6,FALSE)</f>
        <v>#REF!</v>
      </c>
      <c r="C629" s="32" t="e">
        <f>VLOOKUP($A629,Register!$B$3:$E$1409,7,FALSE)</f>
        <v>#REF!</v>
      </c>
      <c r="D629" s="32" t="e">
        <f>VLOOKUP($A629,Register!$B$3:$E$1409,8,FALSE)</f>
        <v>#REF!</v>
      </c>
      <c r="E629" s="34" t="s">
        <v>148</v>
      </c>
    </row>
    <row r="630" spans="1:9" x14ac:dyDescent="0.25">
      <c r="A630" s="33" t="str" cm="1">
        <f t="array" ref="A630">IFERROR(INDEX(Register!$B$3:$B$1409,ROW(),0), "")</f>
        <v>ATI Australia (formerly Power Parameters Pty Ltd)</v>
      </c>
      <c r="B630" s="32" t="e">
        <f>VLOOKUP($A630,Register!$B$3:$E$1409,6,FALSE)</f>
        <v>#REF!</v>
      </c>
      <c r="C630" s="32" t="e">
        <f>VLOOKUP($A630,Register!$B$3:$E$1409,7,FALSE)</f>
        <v>#REF!</v>
      </c>
      <c r="D630" s="32" t="e">
        <f>VLOOKUP($A630,Register!$B$3:$E$1409,8,FALSE)</f>
        <v>#REF!</v>
      </c>
      <c r="E630" s="34" t="s">
        <v>148</v>
      </c>
    </row>
    <row r="631" spans="1:9" x14ac:dyDescent="0.25">
      <c r="A631" s="33" t="str" cm="1">
        <f t="array" ref="A631">IFERROR(INDEX(Register!$B$3:$B$1409,ROW(),0), "")</f>
        <v>Austest Laboratories</v>
      </c>
      <c r="B631" s="32" t="e">
        <f>VLOOKUP($A631,Register!$B$3:$E$1409,6,FALSE)</f>
        <v>#REF!</v>
      </c>
      <c r="C631" s="32" t="e">
        <f>VLOOKUP($A631,Register!$B$3:$E$1409,7,FALSE)</f>
        <v>#REF!</v>
      </c>
      <c r="D631" s="32" t="e">
        <f>VLOOKUP($A631,Register!$B$3:$E$1409,8,FALSE)</f>
        <v>#REF!</v>
      </c>
      <c r="E631" s="34" t="s">
        <v>148</v>
      </c>
    </row>
    <row r="632" spans="1:9" x14ac:dyDescent="0.25">
      <c r="A632" s="33" t="str" cm="1">
        <f t="array" ref="A632">IFERROR(INDEX(Register!$B$3:$B$1409,ROW(),0), "")</f>
        <v>Australian Pressure Laboratory</v>
      </c>
      <c r="B632" s="32" t="e">
        <f>VLOOKUP($A632,Register!$B$3:$E$1409,6,FALSE)</f>
        <v>#REF!</v>
      </c>
      <c r="C632" s="32" t="e">
        <f>VLOOKUP($A632,Register!$B$3:$E$1409,7,FALSE)</f>
        <v>#REF!</v>
      </c>
      <c r="D632" s="32" t="e">
        <f>VLOOKUP($A632,Register!$B$3:$E$1409,8,FALSE)</f>
        <v>#REF!</v>
      </c>
      <c r="E632" s="34" t="s">
        <v>148</v>
      </c>
    </row>
    <row r="633" spans="1:9" x14ac:dyDescent="0.25">
      <c r="A633" s="33" t="str" cm="1">
        <f t="array" ref="A633">IFERROR(INDEX(Register!$B$3:$B$1409,ROW(),0), "")</f>
        <v>B + B Thermo-Technik GmbH</v>
      </c>
      <c r="B633" s="32" t="e">
        <f>VLOOKUP($A633,Register!$B$3:$E$1409,6,FALSE)</f>
        <v>#REF!</v>
      </c>
      <c r="C633" s="32" t="e">
        <f>VLOOKUP($A633,Register!$B$3:$E$1409,7,FALSE)</f>
        <v>#REF!</v>
      </c>
      <c r="D633" s="32" t="e">
        <f>VLOOKUP($A633,Register!$B$3:$E$1409,8,FALSE)</f>
        <v>#REF!</v>
      </c>
      <c r="E633" s="34" t="s">
        <v>5305</v>
      </c>
      <c r="F633" s="34" t="s">
        <v>5306</v>
      </c>
      <c r="G633" s="34" t="s">
        <v>5307</v>
      </c>
      <c r="H633" s="34" t="s">
        <v>5308</v>
      </c>
      <c r="I633" s="34" t="s">
        <v>5309</v>
      </c>
    </row>
    <row r="634" spans="1:9" x14ac:dyDescent="0.25">
      <c r="A634" s="33" t="str" cm="1">
        <f t="array" ref="A634">IFERROR(INDEX(Register!$B$3:$B$1409,ROW(),0), "")</f>
        <v>Balluff Pty Ltd</v>
      </c>
      <c r="B634" s="32" t="e">
        <f>VLOOKUP($A634,Register!$B$3:$E$1409,6,FALSE)</f>
        <v>#REF!</v>
      </c>
      <c r="C634" s="32" t="e">
        <f>VLOOKUP($A634,Register!$B$3:$E$1409,7,FALSE)</f>
        <v>#REF!</v>
      </c>
      <c r="D634" s="32" t="e">
        <f>VLOOKUP($A634,Register!$B$3:$E$1409,8,FALSE)</f>
        <v>#REF!</v>
      </c>
      <c r="E634" s="34" t="s">
        <v>148</v>
      </c>
    </row>
    <row r="635" spans="1:9" x14ac:dyDescent="0.25">
      <c r="A635" s="33" t="str" cm="1">
        <f t="array" ref="A635">IFERROR(INDEX(Register!$B$3:$B$1409,ROW(),0), "")</f>
        <v>DDL Incorporated</v>
      </c>
      <c r="B635" s="32" t="e">
        <f>VLOOKUP($A635,Register!$B$3:$E$1409,6,FALSE)</f>
        <v>#REF!</v>
      </c>
      <c r="C635" s="32" t="e">
        <f>VLOOKUP($A635,Register!$B$3:$E$1409,7,FALSE)</f>
        <v>#REF!</v>
      </c>
      <c r="D635" s="32" t="e">
        <f>VLOOKUP($A635,Register!$B$3:$E$1409,8,FALSE)</f>
        <v>#REF!</v>
      </c>
      <c r="E635" s="34" t="s">
        <v>148</v>
      </c>
    </row>
    <row r="636" spans="1:9" x14ac:dyDescent="0.25">
      <c r="A636" s="33" t="str" cm="1">
        <f t="array" ref="A636">IFERROR(INDEX(Register!$B$3:$B$1409,ROW(),0), "")</f>
        <v>ECEFast (Electro Chemical Engineering Pty Ltd</v>
      </c>
      <c r="B636" s="32" t="e">
        <f>VLOOKUP($A636,Register!$B$3:$E$1409,6,FALSE)</f>
        <v>#REF!</v>
      </c>
      <c r="C636" s="32" t="e">
        <f>VLOOKUP($A636,Register!$B$3:$E$1409,7,FALSE)</f>
        <v>#REF!</v>
      </c>
      <c r="D636" s="32" t="e">
        <f>VLOOKUP($A636,Register!$B$3:$E$1409,8,FALSE)</f>
        <v>#REF!</v>
      </c>
      <c r="E636" s="34" t="s">
        <v>148</v>
      </c>
    </row>
    <row r="637" spans="1:9" x14ac:dyDescent="0.25">
      <c r="A637" s="33" t="str" cm="1">
        <f t="array" ref="A637">IFERROR(INDEX(Register!$B$3:$B$1409,ROW(),0), "")</f>
        <v>Ecotech Pty Ltd</v>
      </c>
      <c r="B637" s="32" t="e">
        <f>VLOOKUP($A637,Register!$B$3:$E$1409,6,FALSE)</f>
        <v>#REF!</v>
      </c>
      <c r="C637" s="32" t="e">
        <f>VLOOKUP($A637,Register!$B$3:$E$1409,7,FALSE)</f>
        <v>#REF!</v>
      </c>
      <c r="D637" s="32" t="e">
        <f>VLOOKUP($A637,Register!$B$3:$E$1409,8,FALSE)</f>
        <v>#REF!</v>
      </c>
      <c r="E637" s="34" t="s">
        <v>148</v>
      </c>
    </row>
    <row r="638" spans="1:9" x14ac:dyDescent="0.25">
      <c r="A638" s="33" t="str" cm="1">
        <f t="array" ref="A638">IFERROR(INDEX(Register!$B$3:$B$1409,ROW(),0), "")</f>
        <v>Gage Crib Worldwide, Inc.</v>
      </c>
      <c r="B638" s="32" t="e">
        <f>VLOOKUP($A638,Register!$B$3:$E$1409,6,FALSE)</f>
        <v>#REF!</v>
      </c>
      <c r="C638" s="32" t="e">
        <f>VLOOKUP($A638,Register!$B$3:$E$1409,7,FALSE)</f>
        <v>#REF!</v>
      </c>
      <c r="D638" s="32" t="e">
        <f>VLOOKUP($A638,Register!$B$3:$E$1409,8,FALSE)</f>
        <v>#REF!</v>
      </c>
      <c r="E638" s="34" t="s">
        <v>148</v>
      </c>
    </row>
    <row r="639" spans="1:9" x14ac:dyDescent="0.25">
      <c r="A639" s="33" t="str" cm="1">
        <f t="array" ref="A639">IFERROR(INDEX(Register!$B$3:$B$1409,ROW(),0), "")</f>
        <v>Hi-Tech Metrology Pty Ltd</v>
      </c>
      <c r="B639" s="32" t="e">
        <f>VLOOKUP($A639,Register!$B$3:$E$1409,6,FALSE)</f>
        <v>#REF!</v>
      </c>
      <c r="C639" s="32" t="e">
        <f>VLOOKUP($A639,Register!$B$3:$E$1409,7,FALSE)</f>
        <v>#REF!</v>
      </c>
      <c r="D639" s="32" t="e">
        <f>VLOOKUP($A639,Register!$B$3:$E$1409,8,FALSE)</f>
        <v>#REF!</v>
      </c>
      <c r="E639" s="34" t="s">
        <v>148</v>
      </c>
    </row>
    <row r="640" spans="1:9" x14ac:dyDescent="0.25">
      <c r="A640" s="33" t="str" cm="1">
        <f t="array" ref="A640">IFERROR(INDEX(Register!$B$3:$B$1409,ROW(),0), "")</f>
        <v>Industrial Research Technology Pty Ltd</v>
      </c>
      <c r="B640" s="32" t="e">
        <f>VLOOKUP($A640,Register!$B$3:$E$1409,6,FALSE)</f>
        <v>#REF!</v>
      </c>
      <c r="C640" s="32" t="e">
        <f>VLOOKUP($A640,Register!$B$3:$E$1409,7,FALSE)</f>
        <v>#REF!</v>
      </c>
      <c r="D640" s="32" t="e">
        <f>VLOOKUP($A640,Register!$B$3:$E$1409,8,FALSE)</f>
        <v>#REF!</v>
      </c>
      <c r="E640" s="34" t="s">
        <v>148</v>
      </c>
    </row>
    <row r="641" spans="1:10" x14ac:dyDescent="0.25">
      <c r="A641" s="33" t="str" cm="1">
        <f t="array" ref="A641">IFERROR(INDEX(Register!$B$3:$B$1409,ROW(),0), "")</f>
        <v>Instrument Choice (Synotronics Pty Ltd)</v>
      </c>
      <c r="B641" s="32" t="e">
        <f>VLOOKUP($A641,Register!$B$3:$E$1409,6,FALSE)</f>
        <v>#REF!</v>
      </c>
      <c r="C641" s="32" t="e">
        <f>VLOOKUP($A641,Register!$B$3:$E$1409,7,FALSE)</f>
        <v>#REF!</v>
      </c>
      <c r="D641" s="32" t="e">
        <f>VLOOKUP($A641,Register!$B$3:$E$1409,8,FALSE)</f>
        <v>#REF!</v>
      </c>
      <c r="E641" s="34" t="s">
        <v>148</v>
      </c>
    </row>
    <row r="642" spans="1:10" x14ac:dyDescent="0.25">
      <c r="A642" s="33" t="str" cm="1">
        <f t="array" ref="A642">IFERROR(INDEX(Register!$B$3:$B$1409,ROW(),0), "")</f>
        <v>John Morris Scientific Pty Ltd</v>
      </c>
      <c r="B642" s="32" t="e">
        <f>VLOOKUP($A642,Register!$B$3:$E$1409,6,FALSE)</f>
        <v>#REF!</v>
      </c>
      <c r="C642" s="32" t="e">
        <f>VLOOKUP($A642,Register!$B$3:$E$1409,7,FALSE)</f>
        <v>#REF!</v>
      </c>
      <c r="D642" s="32" t="e">
        <f>VLOOKUP($A642,Register!$B$3:$E$1409,8,FALSE)</f>
        <v>#REF!</v>
      </c>
      <c r="E642" s="34" t="s">
        <v>148</v>
      </c>
    </row>
    <row r="643" spans="1:10" x14ac:dyDescent="0.25">
      <c r="A643" s="33" t="str" cm="1">
        <f t="array" ref="A643">IFERROR(INDEX(Register!$B$3:$B$1409,ROW(),0), "")</f>
        <v>OMICRON</v>
      </c>
      <c r="B643" s="32" t="e">
        <f>VLOOKUP($A643,Register!$B$3:$E$1409,6,FALSE)</f>
        <v>#REF!</v>
      </c>
      <c r="C643" s="32" t="e">
        <f>VLOOKUP($A643,Register!$B$3:$E$1409,7,FALSE)</f>
        <v>#REF!</v>
      </c>
      <c r="D643" s="32" t="e">
        <f>VLOOKUP($A643,Register!$B$3:$E$1409,8,FALSE)</f>
        <v>#REF!</v>
      </c>
      <c r="E643" s="34" t="s">
        <v>148</v>
      </c>
    </row>
    <row r="644" spans="1:10" x14ac:dyDescent="0.25">
      <c r="A644" s="33" t="str" cm="1">
        <f t="array" ref="A644">IFERROR(INDEX(Register!$B$3:$B$1409,ROW(),0), "")</f>
        <v>Strain Measurement Devices Ltd</v>
      </c>
      <c r="B644" s="32" t="e">
        <f>VLOOKUP($A644,Register!$B$3:$E$1409,6,FALSE)</f>
        <v>#REF!</v>
      </c>
      <c r="C644" s="32" t="e">
        <f>VLOOKUP($A644,Register!$B$3:$E$1409,7,FALSE)</f>
        <v>#REF!</v>
      </c>
      <c r="D644" s="32" t="e">
        <f>VLOOKUP($A644,Register!$B$3:$E$1409,8,FALSE)</f>
        <v>#REF!</v>
      </c>
      <c r="E644" s="34" t="s">
        <v>148</v>
      </c>
    </row>
    <row r="645" spans="1:10" x14ac:dyDescent="0.25">
      <c r="A645" s="33" t="str" cm="1">
        <f t="array" ref="A645">IFERROR(INDEX(Register!$B$3:$B$1409,ROW(),0), "")</f>
        <v>Micro Precision Inc.</v>
      </c>
      <c r="B645" s="32" t="e">
        <f>VLOOKUP($A645,Register!$B$3:$E$1409,6,FALSE)</f>
        <v>#REF!</v>
      </c>
      <c r="C645" s="32" t="e">
        <f>VLOOKUP($A645,Register!$B$3:$E$1409,7,FALSE)</f>
        <v>#REF!</v>
      </c>
      <c r="D645" s="32" t="e">
        <f>VLOOKUP($A645,Register!$B$3:$E$1409,8,FALSE)</f>
        <v>#REF!</v>
      </c>
      <c r="E645" s="34" t="s">
        <v>148</v>
      </c>
    </row>
    <row r="646" spans="1:10" x14ac:dyDescent="0.25">
      <c r="A646" s="33" t="str" cm="1">
        <f t="array" ref="A646">IFERROR(INDEX(Register!$B$3:$B$1409,ROW(),0), "")</f>
        <v>MTI Qualos Pty Ltd</v>
      </c>
      <c r="B646" s="32" t="e">
        <f>VLOOKUP($A646,Register!$B$3:$E$1409,6,FALSE)</f>
        <v>#REF!</v>
      </c>
      <c r="C646" s="32" t="e">
        <f>VLOOKUP($A646,Register!$B$3:$E$1409,7,FALSE)</f>
        <v>#REF!</v>
      </c>
      <c r="D646" s="32" t="e">
        <f>VLOOKUP($A646,Register!$B$3:$E$1409,8,FALSE)</f>
        <v>#REF!</v>
      </c>
      <c r="E646" s="34" t="s">
        <v>148</v>
      </c>
    </row>
    <row r="647" spans="1:10" x14ac:dyDescent="0.25">
      <c r="A647" s="33" t="str" cm="1">
        <f t="array" ref="A647">IFERROR(INDEX(Register!$B$3:$B$1409,ROW(),0), "")</f>
        <v>NTS TECHNICAL SYSTEMS</v>
      </c>
      <c r="B647" s="32" t="e">
        <f>VLOOKUP($A647,Register!$B$3:$E$1409,6,FALSE)</f>
        <v>#REF!</v>
      </c>
      <c r="C647" s="32" t="e">
        <f>VLOOKUP($A647,Register!$B$3:$E$1409,7,FALSE)</f>
        <v>#REF!</v>
      </c>
      <c r="D647" s="32" t="e">
        <f>VLOOKUP($A647,Register!$B$3:$E$1409,8,FALSE)</f>
        <v>#REF!</v>
      </c>
      <c r="E647" s="34" t="s">
        <v>148</v>
      </c>
    </row>
    <row r="648" spans="1:10" x14ac:dyDescent="0.25">
      <c r="A648" s="33" t="str" cm="1">
        <f t="array" ref="A648">IFERROR(INDEX(Register!$B$3:$B$1409,ROW(),0), "")</f>
        <v>OMEGA ENGINEERING, INC.</v>
      </c>
      <c r="B648" s="32" t="e">
        <f>VLOOKUP($A648,Register!$B$3:$E$1409,6,FALSE)</f>
        <v>#REF!</v>
      </c>
      <c r="C648" s="32" t="e">
        <f>VLOOKUP($A648,Register!$B$3:$E$1409,7,FALSE)</f>
        <v>#REF!</v>
      </c>
      <c r="D648" s="32" t="e">
        <f>VLOOKUP($A648,Register!$B$3:$E$1409,8,FALSE)</f>
        <v>#REF!</v>
      </c>
      <c r="E648" s="34" t="s">
        <v>148</v>
      </c>
    </row>
    <row r="649" spans="1:10" x14ac:dyDescent="0.25">
      <c r="A649" s="33" t="str" cm="1">
        <f t="array" ref="A649">IFERROR(INDEX(Register!$B$3:$B$1409,ROW(),0), "")</f>
        <v>PERFORMANCE TESTING LABORATORY</v>
      </c>
      <c r="B649" s="32" t="e">
        <f>VLOOKUP($A649,Register!$B$3:$E$1409,6,FALSE)</f>
        <v>#REF!</v>
      </c>
      <c r="C649" s="32" t="e">
        <f>VLOOKUP($A649,Register!$B$3:$E$1409,7,FALSE)</f>
        <v>#REF!</v>
      </c>
      <c r="D649" s="32" t="e">
        <f>VLOOKUP($A649,Register!$B$3:$E$1409,8,FALSE)</f>
        <v>#REF!</v>
      </c>
      <c r="E649" s="34" t="s">
        <v>148</v>
      </c>
    </row>
    <row r="650" spans="1:10" x14ac:dyDescent="0.25">
      <c r="A650" s="33" t="str" cm="1">
        <f t="array" ref="A650">IFERROR(INDEX(Register!$B$3:$B$1409,ROW(),0), "")</f>
        <v>Power Parameters Pty Ltd</v>
      </c>
      <c r="B650" s="32" t="e">
        <f>VLOOKUP($A650,Register!$B$3:$E$1409,6,FALSE)</f>
        <v>#REF!</v>
      </c>
      <c r="C650" s="32" t="e">
        <f>VLOOKUP($A650,Register!$B$3:$E$1409,7,FALSE)</f>
        <v>#REF!</v>
      </c>
      <c r="D650" s="32" t="e">
        <f>VLOOKUP($A650,Register!$B$3:$E$1409,8,FALSE)</f>
        <v>#REF!</v>
      </c>
      <c r="E650" s="34" t="s">
        <v>148</v>
      </c>
    </row>
    <row r="651" spans="1:10" x14ac:dyDescent="0.25">
      <c r="A651" s="33" t="str" cm="1">
        <f t="array" ref="A651">IFERROR(INDEX(Register!$B$3:$B$1409,ROW(),0), "")</f>
        <v>RENISHAW, INC.</v>
      </c>
      <c r="B651" s="32" t="e">
        <f>VLOOKUP($A651,Register!$B$3:$E$1409,6,FALSE)</f>
        <v>#REF!</v>
      </c>
      <c r="C651" s="32" t="e">
        <f>VLOOKUP($A651,Register!$B$3:$E$1409,7,FALSE)</f>
        <v>#REF!</v>
      </c>
      <c r="D651" s="32" t="e">
        <f>VLOOKUP($A651,Register!$B$3:$E$1409,8,FALSE)</f>
        <v>#REF!</v>
      </c>
      <c r="E651" s="34" t="s">
        <v>148</v>
      </c>
    </row>
    <row r="652" spans="1:10" x14ac:dyDescent="0.25">
      <c r="A652" s="33" t="str" cm="1">
        <f t="array" ref="A652">IFERROR(INDEX(Register!$B$3:$B$1409,ROW(),0), "")</f>
        <v>S.G. Prittie Precision Gauges Pty Ltd</v>
      </c>
      <c r="B652" s="32" t="e">
        <f>VLOOKUP($A652,Register!$B$3:$E$1409,6,FALSE)</f>
        <v>#REF!</v>
      </c>
      <c r="C652" s="32" t="e">
        <f>VLOOKUP($A652,Register!$B$3:$E$1409,7,FALSE)</f>
        <v>#REF!</v>
      </c>
      <c r="D652" s="32" t="e">
        <f>VLOOKUP($A652,Register!$B$3:$E$1409,8,FALSE)</f>
        <v>#REF!</v>
      </c>
      <c r="E652" s="34" t="s">
        <v>148</v>
      </c>
    </row>
    <row r="653" spans="1:10" x14ac:dyDescent="0.25">
      <c r="A653" s="33" t="str" cm="1">
        <f t="array" ref="A653">IFERROR(INDEX(Register!$B$3:$B$1409,ROW(),0), "")</f>
        <v>Scan-Xpress Pty Ltd</v>
      </c>
      <c r="B653" s="32" t="e">
        <f>VLOOKUP($A653,Register!$B$3:$E$1409,6,FALSE)</f>
        <v>#REF!</v>
      </c>
      <c r="C653" s="32" t="e">
        <f>VLOOKUP($A653,Register!$B$3:$E$1409,7,FALSE)</f>
        <v>#REF!</v>
      </c>
      <c r="D653" s="32" t="e">
        <f>VLOOKUP($A653,Register!$B$3:$E$1409,8,FALSE)</f>
        <v>#REF!</v>
      </c>
      <c r="E653" s="34" t="s">
        <v>148</v>
      </c>
    </row>
    <row r="654" spans="1:10" x14ac:dyDescent="0.25">
      <c r="A654" s="33" t="str" cm="1">
        <f t="array" ref="A654">IFERROR(INDEX(Register!$B$3:$B$1409,ROW(),0), "")</f>
        <v>SGS Testing &amp; Control Services Singapore Pte Ltd</v>
      </c>
      <c r="B654" s="32" t="e">
        <f>VLOOKUP($A654,Register!$B$3:$E$1409,6,FALSE)</f>
        <v>#REF!</v>
      </c>
      <c r="C654" s="32" t="e">
        <f>VLOOKUP($A654,Register!$B$3:$E$1409,7,FALSE)</f>
        <v>#REF!</v>
      </c>
      <c r="D654" s="32" t="e">
        <f>VLOOKUP($A654,Register!$B$3:$E$1409,8,FALSE)</f>
        <v>#REF!</v>
      </c>
      <c r="E654" s="34" t="s">
        <v>148</v>
      </c>
    </row>
    <row r="655" spans="1:10" x14ac:dyDescent="0.25">
      <c r="A655" s="33" t="str" cm="1">
        <f t="array" ref="A655">IFERROR(INDEX(Register!$B$3:$B$1409,ROW(),0), "")</f>
        <v>Technical Safety Services (TSS)</v>
      </c>
      <c r="B655" s="32" t="e">
        <f>VLOOKUP($A655,Register!$B$3:$E$1409,6,FALSE)</f>
        <v>#REF!</v>
      </c>
      <c r="C655" s="32" t="e">
        <f>VLOOKUP($A655,Register!$B$3:$E$1409,7,FALSE)</f>
        <v>#REF!</v>
      </c>
      <c r="D655" s="32" t="e">
        <f>VLOOKUP($A655,Register!$B$3:$E$1409,8,FALSE)</f>
        <v>#REF!</v>
      </c>
      <c r="E655" s="34" t="s">
        <v>5310</v>
      </c>
      <c r="F655" s="34" t="s">
        <v>5311</v>
      </c>
      <c r="G655" s="34" t="s">
        <v>5312</v>
      </c>
      <c r="H655" s="34" t="s">
        <v>5313</v>
      </c>
      <c r="I655" s="34" t="s">
        <v>5314</v>
      </c>
      <c r="J655" s="34" t="s">
        <v>5315</v>
      </c>
    </row>
    <row r="656" spans="1:10" x14ac:dyDescent="0.25">
      <c r="A656" s="33" t="str" cm="1">
        <f t="array" ref="A656">IFERROR(INDEX(Register!$B$3:$B$1409,ROW(),0), "")</f>
        <v>TestEquity LLC</v>
      </c>
      <c r="B656" s="32" t="e">
        <f>VLOOKUP($A656,Register!$B$3:$E$1409,6,FALSE)</f>
        <v>#REF!</v>
      </c>
      <c r="C656" s="32" t="e">
        <f>VLOOKUP($A656,Register!$B$3:$E$1409,7,FALSE)</f>
        <v>#REF!</v>
      </c>
      <c r="D656" s="32" t="e">
        <f>VLOOKUP($A656,Register!$B$3:$E$1409,8,FALSE)</f>
        <v>#REF!</v>
      </c>
      <c r="E656" s="34" t="s">
        <v>148</v>
      </c>
    </row>
    <row r="657" spans="1:5" x14ac:dyDescent="0.25">
      <c r="A657" s="33" t="str" cm="1">
        <f t="array" ref="A657">IFERROR(INDEX(Register!$B$3:$B$1409,ROW(),0), "")</f>
        <v>Thread Check Inc.</v>
      </c>
      <c r="B657" s="32" t="e">
        <f>VLOOKUP($A657,Register!$B$3:$E$1409,6,FALSE)</f>
        <v>#REF!</v>
      </c>
      <c r="C657" s="32" t="e">
        <f>VLOOKUP($A657,Register!$B$3:$E$1409,7,FALSE)</f>
        <v>#REF!</v>
      </c>
      <c r="D657" s="32" t="e">
        <f>VLOOKUP($A657,Register!$B$3:$E$1409,8,FALSE)</f>
        <v>#REF!</v>
      </c>
      <c r="E657" s="34" t="s">
        <v>148</v>
      </c>
    </row>
    <row r="658" spans="1:5" x14ac:dyDescent="0.25">
      <c r="A658" s="33" t="str" cm="1">
        <f t="array" ref="A658">IFERROR(INDEX(Register!$B$3:$B$1409,ROW(),0), "")</f>
        <v>Trescal (ex Aust Calibration Services, ACS)</v>
      </c>
      <c r="B658" s="32" t="e">
        <f>VLOOKUP($A658,Register!$B$3:$E$1409,6,FALSE)</f>
        <v>#REF!</v>
      </c>
      <c r="C658" s="32" t="e">
        <f>VLOOKUP($A658,Register!$B$3:$E$1409,7,FALSE)</f>
        <v>#REF!</v>
      </c>
      <c r="D658" s="32" t="e">
        <f>VLOOKUP($A658,Register!$B$3:$E$1409,8,FALSE)</f>
        <v>#REF!</v>
      </c>
      <c r="E658" s="34" t="s">
        <v>148</v>
      </c>
    </row>
    <row r="659" spans="1:5" x14ac:dyDescent="0.25">
      <c r="A659" s="33" t="str" cm="1">
        <f t="array" ref="A659">IFERROR(INDEX(Register!$B$3:$B$1409,ROW(),0), "")</f>
        <v>UL LLC</v>
      </c>
      <c r="B659" s="32" t="e">
        <f>VLOOKUP($A659,Register!$B$3:$E$1409,6,FALSE)</f>
        <v>#REF!</v>
      </c>
      <c r="C659" s="32" t="e">
        <f>VLOOKUP($A659,Register!$B$3:$E$1409,7,FALSE)</f>
        <v>#REF!</v>
      </c>
      <c r="D659" s="32" t="e">
        <f>VLOOKUP($A659,Register!$B$3:$E$1409,8,FALSE)</f>
        <v>#REF!</v>
      </c>
      <c r="E659" s="34" t="s">
        <v>148</v>
      </c>
    </row>
    <row r="660" spans="1:5" x14ac:dyDescent="0.25">
      <c r="A660" s="33" t="str" cm="1">
        <f t="array" ref="A660">IFERROR(INDEX(Register!$B$3:$B$1409,ROW(),0), "")</f>
        <v>US CALIBRATION, INC.</v>
      </c>
      <c r="B660" s="32" t="e">
        <f>VLOOKUP($A660,Register!$B$3:$E$1409,6,FALSE)</f>
        <v>#REF!</v>
      </c>
      <c r="C660" s="32" t="e">
        <f>VLOOKUP($A660,Register!$B$3:$E$1409,7,FALSE)</f>
        <v>#REF!</v>
      </c>
      <c r="D660" s="32" t="e">
        <f>VLOOKUP($A660,Register!$B$3:$E$1409,8,FALSE)</f>
        <v>#REF!</v>
      </c>
      <c r="E660" s="34" t="s">
        <v>148</v>
      </c>
    </row>
    <row r="661" spans="1:5" x14ac:dyDescent="0.25">
      <c r="A661" s="33" t="str" cm="1">
        <f t="array" ref="A661">IFERROR(INDEX(Register!$B$3:$B$1409,ROW(),0), "")</f>
        <v>usCalibration Inc</v>
      </c>
      <c r="B661" s="32" t="e">
        <f>VLOOKUP($A661,Register!$B$3:$E$1409,6,FALSE)</f>
        <v>#REF!</v>
      </c>
      <c r="C661" s="32" t="e">
        <f>VLOOKUP($A661,Register!$B$3:$E$1409,7,FALSE)</f>
        <v>#REF!</v>
      </c>
      <c r="D661" s="32" t="e">
        <f>VLOOKUP($A661,Register!$B$3:$E$1409,8,FALSE)</f>
        <v>#REF!</v>
      </c>
      <c r="E661" s="34" t="s">
        <v>148</v>
      </c>
    </row>
    <row r="662" spans="1:5" x14ac:dyDescent="0.25">
      <c r="A662" s="33" t="str" cm="1">
        <f t="array" ref="A662">IFERROR(INDEX(Register!$B$3:$B$1409,ROW(),0), "")</f>
        <v>Vicam. Waters Technologies Corp</v>
      </c>
      <c r="B662" s="32" t="e">
        <f>VLOOKUP($A662,Register!$B$3:$E$1409,6,FALSE)</f>
        <v>#REF!</v>
      </c>
      <c r="C662" s="32" t="e">
        <f>VLOOKUP($A662,Register!$B$3:$E$1409,7,FALSE)</f>
        <v>#REF!</v>
      </c>
      <c r="D662" s="32" t="e">
        <f>VLOOKUP($A662,Register!$B$3:$E$1409,8,FALSE)</f>
        <v>#REF!</v>
      </c>
      <c r="E662" s="34" t="s">
        <v>148</v>
      </c>
    </row>
    <row r="663" spans="1:5" x14ac:dyDescent="0.25">
      <c r="A663" s="33" t="str" cm="1">
        <f t="array" ref="A663">IFERROR(INDEX(Register!$B$3:$B$1409,ROW(),0), "")</f>
        <v>Noise &amp; Vibration Measurement Systems (T/A NVMS)</v>
      </c>
      <c r="B663" s="32" t="e">
        <f>VLOOKUP($A663,Register!$B$3:$E$1409,6,FALSE)</f>
        <v>#REF!</v>
      </c>
      <c r="C663" s="32" t="e">
        <f>VLOOKUP($A663,Register!$B$3:$E$1409,7,FALSE)</f>
        <v>#REF!</v>
      </c>
      <c r="D663" s="32" t="e">
        <f>VLOOKUP($A663,Register!$B$3:$E$1409,8,FALSE)</f>
        <v>#REF!</v>
      </c>
      <c r="E663" s="34" t="s">
        <v>148</v>
      </c>
    </row>
    <row r="664" spans="1:5" x14ac:dyDescent="0.25">
      <c r="A664" s="33" t="str" cm="1">
        <f t="array" ref="A664">IFERROR(INDEX(Register!$B$3:$B$1409,ROW(),0), "")</f>
        <v>PreSens Precision Sensing GmbH</v>
      </c>
      <c r="B664" s="32" t="e">
        <f>VLOOKUP($A664,Register!$B$3:$E$1409,6,FALSE)</f>
        <v>#REF!</v>
      </c>
      <c r="C664" s="32" t="e">
        <f>VLOOKUP($A664,Register!$B$3:$E$1409,7,FALSE)</f>
        <v>#REF!</v>
      </c>
      <c r="D664" s="32" t="e">
        <f>VLOOKUP($A664,Register!$B$3:$E$1409,8,FALSE)</f>
        <v>#REF!</v>
      </c>
      <c r="E664" s="34" t="s">
        <v>148</v>
      </c>
    </row>
    <row r="665" spans="1:5" x14ac:dyDescent="0.25">
      <c r="A665" s="33" t="str" cm="1">
        <f t="array" ref="A665">IFERROR(INDEX(Register!$B$3:$B$1409,ROW(),0), "")</f>
        <v>Process Control Instrumentation Pty Ltd (T/A Zedflo Australia)</v>
      </c>
      <c r="B665" s="32" t="e">
        <f>VLOOKUP($A665,Register!$B$3:$E$1409,6,FALSE)</f>
        <v>#REF!</v>
      </c>
      <c r="C665" s="32" t="e">
        <f>VLOOKUP($A665,Register!$B$3:$E$1409,7,FALSE)</f>
        <v>#REF!</v>
      </c>
      <c r="D665" s="32" t="e">
        <f>VLOOKUP($A665,Register!$B$3:$E$1409,8,FALSE)</f>
        <v>#REF!</v>
      </c>
      <c r="E665" s="34" t="s">
        <v>148</v>
      </c>
    </row>
    <row r="666" spans="1:5" x14ac:dyDescent="0.25">
      <c r="A666" s="33" t="str" cm="1">
        <f t="array" ref="A666">IFERROR(INDEX(Register!$B$3:$B$1409,ROW(),0), "")</f>
        <v>PT Limited</v>
      </c>
      <c r="B666" s="32" t="e">
        <f>VLOOKUP($A666,Register!$B$3:$E$1409,6,FALSE)</f>
        <v>#REF!</v>
      </c>
      <c r="C666" s="32" t="e">
        <f>VLOOKUP($A666,Register!$B$3:$E$1409,7,FALSE)</f>
        <v>#REF!</v>
      </c>
      <c r="D666" s="32" t="e">
        <f>VLOOKUP($A666,Register!$B$3:$E$1409,8,FALSE)</f>
        <v>#REF!</v>
      </c>
      <c r="E666" s="34" t="s">
        <v>148</v>
      </c>
    </row>
    <row r="667" spans="1:5" x14ac:dyDescent="0.25">
      <c r="A667" s="33" t="str" cm="1">
        <f t="array" ref="A667">IFERROR(INDEX(Register!$B$3:$B$1409,ROW(),0), "")</f>
        <v>Qstarz International Co., Ltd.</v>
      </c>
      <c r="B667" s="32" t="e">
        <f>VLOOKUP($A667,Register!$B$3:$E$1409,6,FALSE)</f>
        <v>#REF!</v>
      </c>
      <c r="C667" s="32" t="e">
        <f>VLOOKUP($A667,Register!$B$3:$E$1409,7,FALSE)</f>
        <v>#REF!</v>
      </c>
      <c r="D667" s="32" t="e">
        <f>VLOOKUP($A667,Register!$B$3:$E$1409,8,FALSE)</f>
        <v>#REF!</v>
      </c>
      <c r="E667" s="34" t="s">
        <v>148</v>
      </c>
    </row>
    <row r="668" spans="1:5" x14ac:dyDescent="0.25">
      <c r="A668" s="33" t="str" cm="1">
        <f t="array" ref="A668">IFERROR(INDEX(Register!$B$3:$B$1409,ROW(),0), "")</f>
        <v>S&amp;N LABS</v>
      </c>
      <c r="B668" s="32" t="e">
        <f>VLOOKUP($A668,Register!$B$3:$E$1409,6,FALSE)</f>
        <v>#REF!</v>
      </c>
      <c r="C668" s="32" t="e">
        <f>VLOOKUP($A668,Register!$B$3:$E$1409,7,FALSE)</f>
        <v>#REF!</v>
      </c>
      <c r="D668" s="32" t="e">
        <f>VLOOKUP($A668,Register!$B$3:$E$1409,8,FALSE)</f>
        <v>#REF!</v>
      </c>
      <c r="E668" s="34" t="s">
        <v>148</v>
      </c>
    </row>
    <row r="669" spans="1:5" x14ac:dyDescent="0.25">
      <c r="A669" s="33" t="str" cm="1">
        <f t="array" ref="A669">IFERROR(INDEX(Register!$B$3:$B$1409,ROW(),0), "")</f>
        <v>Simbol Test Systems, Inc.</v>
      </c>
      <c r="B669" s="32" t="e">
        <f>VLOOKUP($A669,Register!$B$3:$E$1409,6,FALSE)</f>
        <v>#REF!</v>
      </c>
      <c r="C669" s="32" t="e">
        <f>VLOOKUP($A669,Register!$B$3:$E$1409,7,FALSE)</f>
        <v>#REF!</v>
      </c>
      <c r="D669" s="32" t="e">
        <f>VLOOKUP($A669,Register!$B$3:$E$1409,8,FALSE)</f>
        <v>#REF!</v>
      </c>
      <c r="E669" s="34" t="s">
        <v>148</v>
      </c>
    </row>
    <row r="670" spans="1:5" x14ac:dyDescent="0.25">
      <c r="A670" s="33" t="str" cm="1">
        <f t="array" ref="A670">IFERROR(INDEX(Register!$B$3:$B$1409,ROW(),0), "")</f>
        <v>UL GmbH</v>
      </c>
      <c r="B670" s="32" t="e">
        <f>VLOOKUP($A670,Register!$B$3:$E$1409,6,FALSE)</f>
        <v>#REF!</v>
      </c>
      <c r="C670" s="32" t="e">
        <f>VLOOKUP($A670,Register!$B$3:$E$1409,7,FALSE)</f>
        <v>#REF!</v>
      </c>
      <c r="D670" s="32" t="e">
        <f>VLOOKUP($A670,Register!$B$3:$E$1409,8,FALSE)</f>
        <v>#REF!</v>
      </c>
      <c r="E670" s="34" t="s">
        <v>3496</v>
      </c>
    </row>
    <row r="671" spans="1:5" x14ac:dyDescent="0.25">
      <c r="A671" s="33" t="str" cm="1">
        <f t="array" ref="A671">IFERROR(INDEX(Register!$B$3:$B$1409,ROW(),0), "")</f>
        <v>UL GmbH</v>
      </c>
      <c r="B671" s="32" t="e">
        <f>VLOOKUP($A671,Register!$B$3:$E$1409,6,FALSE)</f>
        <v>#REF!</v>
      </c>
      <c r="C671" s="32" t="e">
        <f>VLOOKUP($A671,Register!$B$3:$E$1409,7,FALSE)</f>
        <v>#REF!</v>
      </c>
      <c r="D671" s="32" t="e">
        <f>VLOOKUP($A671,Register!$B$3:$E$1409,8,FALSE)</f>
        <v>#REF!</v>
      </c>
      <c r="E671" s="34" t="s">
        <v>148</v>
      </c>
    </row>
    <row r="672" spans="1:5" x14ac:dyDescent="0.25">
      <c r="A672" s="33" t="str" cm="1">
        <f t="array" ref="A672">IFERROR(INDEX(Register!$B$3:$B$1409,ROW(),0), "")</f>
        <v>Vaisala Pty Ltd</v>
      </c>
      <c r="B672" s="32" t="e">
        <f>VLOOKUP($A672,Register!$B$3:$E$1409,6,FALSE)</f>
        <v>#REF!</v>
      </c>
      <c r="C672" s="32" t="e">
        <f>VLOOKUP($A672,Register!$B$3:$E$1409,7,FALSE)</f>
        <v>#REF!</v>
      </c>
      <c r="D672" s="32" t="e">
        <f>VLOOKUP($A672,Register!$B$3:$E$1409,8,FALSE)</f>
        <v>#REF!</v>
      </c>
      <c r="E672" s="34" t="s">
        <v>148</v>
      </c>
    </row>
    <row r="673" spans="1:5" x14ac:dyDescent="0.25">
      <c r="A673" s="33" t="str" cm="1">
        <f t="array" ref="A673">IFERROR(INDEX(Register!$B$3:$B$1409,ROW(),0), "")</f>
        <v>X-Rite</v>
      </c>
      <c r="B673" s="32" t="e">
        <f>VLOOKUP($A673,Register!$B$3:$E$1409,6,FALSE)</f>
        <v>#REF!</v>
      </c>
      <c r="C673" s="32" t="e">
        <f>VLOOKUP($A673,Register!$B$3:$E$1409,7,FALSE)</f>
        <v>#REF!</v>
      </c>
      <c r="D673" s="32" t="e">
        <f>VLOOKUP($A673,Register!$B$3:$E$1409,8,FALSE)</f>
        <v>#REF!</v>
      </c>
      <c r="E673" s="34" t="s">
        <v>148</v>
      </c>
    </row>
    <row r="674" spans="1:5" x14ac:dyDescent="0.25">
      <c r="A674" s="33" t="str" cm="1">
        <f t="array" ref="A674">IFERROR(INDEX(Register!$B$3:$B$1409,ROW(),0), "")</f>
        <v>McMaster-Carr Supply Company</v>
      </c>
      <c r="B674" s="32" t="e">
        <f>VLOOKUP($A674,Register!$B$3:$E$1409,6,FALSE)</f>
        <v>#REF!</v>
      </c>
      <c r="C674" s="32" t="e">
        <f>VLOOKUP($A674,Register!$B$3:$E$1409,7,FALSE)</f>
        <v>#REF!</v>
      </c>
      <c r="D674" s="32" t="e">
        <f>VLOOKUP($A674,Register!$B$3:$E$1409,8,FALSE)</f>
        <v>#REF!</v>
      </c>
      <c r="E674" s="34" t="s">
        <v>148</v>
      </c>
    </row>
    <row r="675" spans="1:5" x14ac:dyDescent="0.25">
      <c r="A675" s="33" t="str" cm="1">
        <f t="array" ref="A675">IFERROR(INDEX(Register!$B$3:$B$1409,ROW(),0), "")</f>
        <v>McNaughtan's Pty Ltd</v>
      </c>
      <c r="B675" s="32" t="e">
        <f>VLOOKUP($A675,Register!$B$3:$E$1409,6,FALSE)</f>
        <v>#REF!</v>
      </c>
      <c r="C675" s="32" t="e">
        <f>VLOOKUP($A675,Register!$B$3:$E$1409,7,FALSE)</f>
        <v>#REF!</v>
      </c>
      <c r="D675" s="32" t="e">
        <f>VLOOKUP($A675,Register!$B$3:$E$1409,8,FALSE)</f>
        <v>#REF!</v>
      </c>
      <c r="E675" s="34" t="s">
        <v>148</v>
      </c>
    </row>
    <row r="676" spans="1:5" x14ac:dyDescent="0.25">
      <c r="A676" s="33" t="str" cm="1">
        <f t="array" ref="A676">IFERROR(INDEX(Register!$B$3:$B$1409,ROW(),0), "")</f>
        <v>Misumi South East Asia Pte Ltd</v>
      </c>
      <c r="B676" s="32" t="e">
        <f>VLOOKUP($A676,Register!$B$3:$E$1409,6,FALSE)</f>
        <v>#REF!</v>
      </c>
      <c r="C676" s="32" t="e">
        <f>VLOOKUP($A676,Register!$B$3:$E$1409,7,FALSE)</f>
        <v>#REF!</v>
      </c>
      <c r="D676" s="32" t="e">
        <f>VLOOKUP($A676,Register!$B$3:$E$1409,8,FALSE)</f>
        <v>#REF!</v>
      </c>
      <c r="E676" s="34" t="s">
        <v>148</v>
      </c>
    </row>
    <row r="677" spans="1:5" x14ac:dyDescent="0.25">
      <c r="A677" s="33" t="str" cm="1">
        <f t="array" ref="A677">IFERROR(INDEX(Register!$B$3:$B$1409,ROW(),0), "")</f>
        <v>Kyoto Kagaku</v>
      </c>
      <c r="B677" s="32" t="e">
        <f>VLOOKUP($A677,Register!$B$3:$E$1409,6,FALSE)</f>
        <v>#REF!</v>
      </c>
      <c r="C677" s="32" t="e">
        <f>VLOOKUP($A677,Register!$B$3:$E$1409,7,FALSE)</f>
        <v>#REF!</v>
      </c>
      <c r="D677" s="32" t="e">
        <f>VLOOKUP($A677,Register!$B$3:$E$1409,8,FALSE)</f>
        <v>#REF!</v>
      </c>
      <c r="E677" s="34" t="s">
        <v>148</v>
      </c>
    </row>
    <row r="678" spans="1:5" x14ac:dyDescent="0.25">
      <c r="A678" s="33" t="str" cm="1">
        <f t="array" ref="A678">IFERROR(INDEX(Register!$B$3:$B$1409,ROW(),0), "")</f>
        <v>Diagnostic Technology Pty Ltd</v>
      </c>
      <c r="B678" s="32" t="e">
        <f>VLOOKUP($A678,Register!$B$3:$E$1409,6,FALSE)</f>
        <v>#REF!</v>
      </c>
      <c r="C678" s="32" t="e">
        <f>VLOOKUP($A678,Register!$B$3:$E$1409,7,FALSE)</f>
        <v>#REF!</v>
      </c>
      <c r="D678" s="32" t="e">
        <f>VLOOKUP($A678,Register!$B$3:$E$1409,8,FALSE)</f>
        <v>#REF!</v>
      </c>
      <c r="E678" s="34" t="s">
        <v>148</v>
      </c>
    </row>
    <row r="679" spans="1:5" x14ac:dyDescent="0.25">
      <c r="A679" s="33" t="str" cm="1">
        <f t="array" ref="A679">IFERROR(INDEX(Register!$B$3:$B$1409,ROW(),0), "")</f>
        <v>Dravon Medical Inc</v>
      </c>
      <c r="B679" s="32" t="e">
        <f>VLOOKUP($A679,Register!$B$3:$E$1409,6,FALSE)</f>
        <v>#REF!</v>
      </c>
      <c r="C679" s="32" t="e">
        <f>VLOOKUP($A679,Register!$B$3:$E$1409,7,FALSE)</f>
        <v>#REF!</v>
      </c>
      <c r="D679" s="32" t="e">
        <f>VLOOKUP($A679,Register!$B$3:$E$1409,8,FALSE)</f>
        <v>#REF!</v>
      </c>
      <c r="E679" s="34" t="s">
        <v>148</v>
      </c>
    </row>
    <row r="680" spans="1:5" x14ac:dyDescent="0.25">
      <c r="A680" s="33" t="str" cm="1">
        <f t="array" ref="A680">IFERROR(INDEX(Register!$B$3:$B$1409,ROW(),0), "")</f>
        <v>Demax Medical Australia Pty Ltd</v>
      </c>
      <c r="B680" s="32" t="e">
        <f>VLOOKUP($A680,Register!$B$3:$E$1409,6,FALSE)</f>
        <v>#REF!</v>
      </c>
      <c r="C680" s="32" t="e">
        <f>VLOOKUP($A680,Register!$B$3:$E$1409,7,FALSE)</f>
        <v>#REF!</v>
      </c>
      <c r="D680" s="32" t="e">
        <f>VLOOKUP($A680,Register!$B$3:$E$1409,8,FALSE)</f>
        <v>#REF!</v>
      </c>
      <c r="E680" s="34" t="s">
        <v>148</v>
      </c>
    </row>
    <row r="681" spans="1:5" x14ac:dyDescent="0.25">
      <c r="A681" s="33" t="str" cm="1">
        <f t="array" ref="A681">IFERROR(INDEX(Register!$B$3:$B$1409,ROW(),0), "")</f>
        <v>Esco Industries Pty Ltd</v>
      </c>
      <c r="B681" s="32" t="e">
        <f>VLOOKUP($A681,Register!$B$3:$E$1409,6,FALSE)</f>
        <v>#REF!</v>
      </c>
      <c r="C681" s="32" t="e">
        <f>VLOOKUP($A681,Register!$B$3:$E$1409,7,FALSE)</f>
        <v>#REF!</v>
      </c>
      <c r="D681" s="32" t="e">
        <f>VLOOKUP($A681,Register!$B$3:$E$1409,8,FALSE)</f>
        <v>#REF!</v>
      </c>
      <c r="E681" s="34" t="s">
        <v>148</v>
      </c>
    </row>
    <row r="682" spans="1:5" x14ac:dyDescent="0.25">
      <c r="A682" s="33" t="str" cm="1">
        <f t="array" ref="A682">IFERROR(INDEX(Register!$B$3:$B$1409,ROW(),0), "")</f>
        <v>Koala Medical Pty Ltd</v>
      </c>
      <c r="B682" s="32" t="e">
        <f>VLOOKUP($A682,Register!$B$3:$E$1409,6,FALSE)</f>
        <v>#REF!</v>
      </c>
      <c r="C682" s="32" t="e">
        <f>VLOOKUP($A682,Register!$B$3:$E$1409,7,FALSE)</f>
        <v>#REF!</v>
      </c>
      <c r="D682" s="32" t="e">
        <f>VLOOKUP($A682,Register!$B$3:$E$1409,8,FALSE)</f>
        <v>#REF!</v>
      </c>
      <c r="E682" s="34" t="s">
        <v>148</v>
      </c>
    </row>
    <row r="683" spans="1:5" x14ac:dyDescent="0.25">
      <c r="A683" s="33" t="str" cm="1">
        <f t="array" ref="A683">IFERROR(INDEX(Register!$B$3:$B$1409,ROW(),0), "")</f>
        <v>Qosina Corp</v>
      </c>
      <c r="B683" s="32" t="e">
        <f>VLOOKUP($A683,Register!$B$3:$E$1409,6,FALSE)</f>
        <v>#REF!</v>
      </c>
      <c r="C683" s="32" t="e">
        <f>VLOOKUP($A683,Register!$B$3:$E$1409,7,FALSE)</f>
        <v>#REF!</v>
      </c>
      <c r="D683" s="32" t="e">
        <f>VLOOKUP($A683,Register!$B$3:$E$1409,8,FALSE)</f>
        <v>#REF!</v>
      </c>
      <c r="E683" s="34" t="s">
        <v>148</v>
      </c>
    </row>
    <row r="684" spans="1:5" x14ac:dyDescent="0.25">
      <c r="A684" s="33" t="str" cm="1">
        <f t="array" ref="A684">IFERROR(INDEX(Register!$B$3:$B$1409,ROW(),0), "")</f>
        <v>SDR Scientific Pty Ltd</v>
      </c>
      <c r="B684" s="32" t="e">
        <f>VLOOKUP($A684,Register!$B$3:$E$1409,6,FALSE)</f>
        <v>#REF!</v>
      </c>
      <c r="C684" s="32" t="e">
        <f>VLOOKUP($A684,Register!$B$3:$E$1409,7,FALSE)</f>
        <v>#REF!</v>
      </c>
      <c r="D684" s="32" t="e">
        <f>VLOOKUP($A684,Register!$B$3:$E$1409,8,FALSE)</f>
        <v>#REF!</v>
      </c>
      <c r="E684" s="34" t="s">
        <v>148</v>
      </c>
    </row>
    <row r="685" spans="1:5" x14ac:dyDescent="0.25">
      <c r="A685" s="33" t="str" cm="1">
        <f t="array" ref="A685">IFERROR(INDEX(Register!$B$3:$B$1409,ROW(),0), "")</f>
        <v>Tristan Technologies</v>
      </c>
      <c r="B685" s="32" t="e">
        <f>VLOOKUP($A685,Register!$B$3:$E$1409,6,FALSE)</f>
        <v>#REF!</v>
      </c>
      <c r="C685" s="32" t="e">
        <f>VLOOKUP($A685,Register!$B$3:$E$1409,7,FALSE)</f>
        <v>#REF!</v>
      </c>
      <c r="D685" s="32" t="e">
        <f>VLOOKUP($A685,Register!$B$3:$E$1409,8,FALSE)</f>
        <v>#REF!</v>
      </c>
      <c r="E685" s="34" t="s">
        <v>5316</v>
      </c>
    </row>
    <row r="686" spans="1:5" x14ac:dyDescent="0.25">
      <c r="A686" s="33" t="str" cm="1">
        <f t="array" ref="A686">IFERROR(INDEX(Register!$B$3:$B$1409,ROW(),0), "")</f>
        <v>Cellmed Pty Ltd</v>
      </c>
      <c r="B686" s="32" t="e">
        <f>VLOOKUP($A686,Register!$B$3:$E$1409,6,FALSE)</f>
        <v>#REF!</v>
      </c>
      <c r="C686" s="32" t="e">
        <f>VLOOKUP($A686,Register!$B$3:$E$1409,7,FALSE)</f>
        <v>#REF!</v>
      </c>
      <c r="D686" s="32" t="e">
        <f>VLOOKUP($A686,Register!$B$3:$E$1409,8,FALSE)</f>
        <v>#REF!</v>
      </c>
      <c r="E686" s="34" t="s">
        <v>148</v>
      </c>
    </row>
    <row r="687" spans="1:5" x14ac:dyDescent="0.25">
      <c r="A687" s="33" t="str" cm="1">
        <f t="array" ref="A687">IFERROR(INDEX(Register!$B$3:$B$1409,ROW(),0), "")</f>
        <v>DEMCON macawi Respiratory Systems B.V.</v>
      </c>
      <c r="B687" s="32" t="e">
        <f>VLOOKUP($A687,Register!$B$3:$E$1409,6,FALSE)</f>
        <v>#REF!</v>
      </c>
      <c r="C687" s="32" t="e">
        <f>VLOOKUP($A687,Register!$B$3:$E$1409,7,FALSE)</f>
        <v>#REF!</v>
      </c>
      <c r="D687" s="32" t="e">
        <f>VLOOKUP($A687,Register!$B$3:$E$1409,8,FALSE)</f>
        <v>#REF!</v>
      </c>
      <c r="E687" s="34" t="s">
        <v>148</v>
      </c>
    </row>
    <row r="688" spans="1:5" x14ac:dyDescent="0.25">
      <c r="A688" s="33" t="str" cm="1">
        <f t="array" ref="A688">IFERROR(INDEX(Register!$B$3:$B$1409,ROW(),0), "")</f>
        <v>ICU Medical Australia Pty</v>
      </c>
      <c r="B688" s="32" t="e">
        <f>VLOOKUP($A688,Register!$B$3:$E$1409,6,FALSE)</f>
        <v>#REF!</v>
      </c>
      <c r="C688" s="32" t="e">
        <f>VLOOKUP($A688,Register!$B$3:$E$1409,7,FALSE)</f>
        <v>#REF!</v>
      </c>
      <c r="D688" s="32" t="e">
        <f>VLOOKUP($A688,Register!$B$3:$E$1409,8,FALSE)</f>
        <v>#REF!</v>
      </c>
      <c r="E688" s="34" t="s">
        <v>148</v>
      </c>
    </row>
    <row r="689" spans="1:7" x14ac:dyDescent="0.25">
      <c r="A689" s="33" t="str" cm="1">
        <f t="array" ref="A689">IFERROR(INDEX(Register!$B$3:$B$1409,ROW(),0), "")</f>
        <v>Hycor Biomedical LLC</v>
      </c>
      <c r="B689" s="32" t="e">
        <f>VLOOKUP($A689,Register!$B$3:$E$1409,6,FALSE)</f>
        <v>#REF!</v>
      </c>
      <c r="C689" s="32" t="e">
        <f>VLOOKUP($A689,Register!$B$3:$E$1409,7,FALSE)</f>
        <v>#REF!</v>
      </c>
      <c r="D689" s="32" t="e">
        <f>VLOOKUP($A689,Register!$B$3:$E$1409,8,FALSE)</f>
        <v>#REF!</v>
      </c>
      <c r="E689" s="34" t="s">
        <v>148</v>
      </c>
    </row>
    <row r="690" spans="1:7" x14ac:dyDescent="0.25">
      <c r="A690" s="33" t="str" cm="1">
        <f t="array" ref="A690">IFERROR(INDEX(Register!$B$3:$B$1409,ROW(),0), "")</f>
        <v>Miroculus Corporation, Inc.</v>
      </c>
      <c r="B690" s="32" t="e">
        <f>VLOOKUP($A690,Register!$B$3:$E$1409,6,FALSE)</f>
        <v>#REF!</v>
      </c>
      <c r="C690" s="32" t="e">
        <f>VLOOKUP($A690,Register!$B$3:$E$1409,7,FALSE)</f>
        <v>#REF!</v>
      </c>
      <c r="D690" s="32" t="e">
        <f>VLOOKUP($A690,Register!$B$3:$E$1409,8,FALSE)</f>
        <v>#REF!</v>
      </c>
      <c r="E690" s="34" t="s">
        <v>148</v>
      </c>
    </row>
    <row r="691" spans="1:7" x14ac:dyDescent="0.25">
      <c r="A691" s="33" t="str" cm="1">
        <f t="array" ref="A691">IFERROR(INDEX(Register!$B$3:$B$1409,ROW(),0), "")</f>
        <v>ProciseDx Inc</v>
      </c>
      <c r="B691" s="32" t="e">
        <f>VLOOKUP($A691,Register!$B$3:$E$1409,6,FALSE)</f>
        <v>#REF!</v>
      </c>
      <c r="C691" s="32" t="e">
        <f>VLOOKUP($A691,Register!$B$3:$E$1409,7,FALSE)</f>
        <v>#REF!</v>
      </c>
      <c r="D691" s="32" t="e">
        <f>VLOOKUP($A691,Register!$B$3:$E$1409,8,FALSE)</f>
        <v>#REF!</v>
      </c>
      <c r="E691" s="34" t="s">
        <v>148</v>
      </c>
    </row>
    <row r="692" spans="1:7" x14ac:dyDescent="0.25">
      <c r="A692" s="33" t="str" cm="1">
        <f t="array" ref="A692">IFERROR(INDEX(Register!$B$3:$B$1409,ROW(),0), "")</f>
        <v>Spencer Machine</v>
      </c>
      <c r="B692" s="32" t="e">
        <f>VLOOKUP($A692,Register!$B$3:$E$1409,6,FALSE)</f>
        <v>#REF!</v>
      </c>
      <c r="C692" s="32" t="e">
        <f>VLOOKUP($A692,Register!$B$3:$E$1409,7,FALSE)</f>
        <v>#REF!</v>
      </c>
      <c r="D692" s="32" t="e">
        <f>VLOOKUP($A692,Register!$B$3:$E$1409,8,FALSE)</f>
        <v>#REF!</v>
      </c>
      <c r="E692" s="34" t="s">
        <v>5317</v>
      </c>
      <c r="F692" s="34" t="s">
        <v>5318</v>
      </c>
      <c r="G692" s="34" t="s">
        <v>716</v>
      </c>
    </row>
    <row r="693" spans="1:7" x14ac:dyDescent="0.25">
      <c r="A693" s="33" t="str" cm="1">
        <f t="array" ref="A693">IFERROR(INDEX(Register!$B$3:$B$1409,ROW(),0), "")</f>
        <v>Orbost Regional Health</v>
      </c>
      <c r="B693" s="32" t="e">
        <f>VLOOKUP($A693,Register!$B$3:$E$1409,6,FALSE)</f>
        <v>#REF!</v>
      </c>
      <c r="C693" s="32" t="e">
        <f>VLOOKUP($A693,Register!$B$3:$E$1409,7,FALSE)</f>
        <v>#REF!</v>
      </c>
      <c r="D693" s="32" t="e">
        <f>VLOOKUP($A693,Register!$B$3:$E$1409,8,FALSE)</f>
        <v>#REF!</v>
      </c>
      <c r="E693" s="34" t="s">
        <v>148</v>
      </c>
    </row>
    <row r="694" spans="1:7" x14ac:dyDescent="0.25">
      <c r="A694" s="33" t="str" cm="1">
        <f t="array" ref="A694">IFERROR(INDEX(Register!$B$3:$B$1409,ROW(),0), "")</f>
        <v>HK Surgical.  Inc</v>
      </c>
      <c r="B694" s="32" t="e">
        <f>VLOOKUP($A694,Register!$B$3:$E$1409,6,FALSE)</f>
        <v>#REF!</v>
      </c>
      <c r="C694" s="32" t="e">
        <f>VLOOKUP($A694,Register!$B$3:$E$1409,7,FALSE)</f>
        <v>#REF!</v>
      </c>
      <c r="D694" s="32" t="e">
        <f>VLOOKUP($A694,Register!$B$3:$E$1409,8,FALSE)</f>
        <v>#REF!</v>
      </c>
      <c r="E694" s="34" t="s">
        <v>148</v>
      </c>
    </row>
    <row r="695" spans="1:7" x14ac:dyDescent="0.25">
      <c r="A695" s="33" t="str" cm="1">
        <f t="array" ref="A695">IFERROR(INDEX(Register!$B$3:$B$1409,ROW(),0), "")</f>
        <v>McFarlane Medical</v>
      </c>
      <c r="B695" s="32" t="e">
        <f>VLOOKUP($A695,Register!$B$3:$E$1409,6,FALSE)</f>
        <v>#REF!</v>
      </c>
      <c r="C695" s="32" t="e">
        <f>VLOOKUP($A695,Register!$B$3:$E$1409,7,FALSE)</f>
        <v>#REF!</v>
      </c>
      <c r="D695" s="32" t="e">
        <f>VLOOKUP($A695,Register!$B$3:$E$1409,8,FALSE)</f>
        <v>#REF!</v>
      </c>
      <c r="E695" s="34" t="s">
        <v>148</v>
      </c>
    </row>
    <row r="696" spans="1:7" x14ac:dyDescent="0.25">
      <c r="A696" s="33" t="str" cm="1">
        <f t="array" ref="A696">IFERROR(INDEX(Register!$B$3:$B$1409,ROW(),0), "")</f>
        <v>Wellmien Suzhou</v>
      </c>
      <c r="B696" s="32" t="e">
        <f>VLOOKUP($A696,Register!$B$3:$E$1409,6,FALSE)</f>
        <v>#REF!</v>
      </c>
      <c r="C696" s="32" t="e">
        <f>VLOOKUP($A696,Register!$B$3:$E$1409,7,FALSE)</f>
        <v>#REF!</v>
      </c>
      <c r="D696" s="32" t="e">
        <f>VLOOKUP($A696,Register!$B$3:$E$1409,8,FALSE)</f>
        <v>#REF!</v>
      </c>
      <c r="E696" s="34" t="s">
        <v>148</v>
      </c>
    </row>
    <row r="697" spans="1:7" x14ac:dyDescent="0.25">
      <c r="A697" s="33" t="str" cm="1">
        <f t="array" ref="A697">IFERROR(INDEX(Register!$B$3:$B$1409,ROW(),0), "")</f>
        <v>Alliance Connect</v>
      </c>
      <c r="B697" s="32" t="e">
        <f>VLOOKUP($A697,Register!$B$3:$E$1409,6,FALSE)</f>
        <v>#REF!</v>
      </c>
      <c r="C697" s="32" t="e">
        <f>VLOOKUP($A697,Register!$B$3:$E$1409,7,FALSE)</f>
        <v>#REF!</v>
      </c>
      <c r="D697" s="32" t="e">
        <f>VLOOKUP($A697,Register!$B$3:$E$1409,8,FALSE)</f>
        <v>#REF!</v>
      </c>
      <c r="E697" s="34" t="s">
        <v>148</v>
      </c>
    </row>
    <row r="698" spans="1:7" x14ac:dyDescent="0.25">
      <c r="A698" s="33" t="str" cm="1">
        <f t="array" ref="A698">IFERROR(INDEX(Register!$B$3:$B$1409,ROW(),0), "")</f>
        <v>HENRY MACHINE, INC</v>
      </c>
      <c r="B698" s="32" t="e">
        <f>VLOOKUP($A698,Register!$B$3:$E$1409,6,FALSE)</f>
        <v>#REF!</v>
      </c>
      <c r="C698" s="32" t="e">
        <f>VLOOKUP($A698,Register!$B$3:$E$1409,7,FALSE)</f>
        <v>#REF!</v>
      </c>
      <c r="D698" s="32" t="e">
        <f>VLOOKUP($A698,Register!$B$3:$E$1409,8,FALSE)</f>
        <v>#REF!</v>
      </c>
      <c r="E698" s="34" t="s">
        <v>148</v>
      </c>
    </row>
    <row r="699" spans="1:7" x14ac:dyDescent="0.25">
      <c r="A699" s="33" t="str" cm="1">
        <f t="array" ref="A699">IFERROR(INDEX(Register!$B$3:$B$1409,ROW(),0), "")</f>
        <v>Le Sueur Incorporated</v>
      </c>
      <c r="B699" s="32" t="e">
        <f>VLOOKUP($A699,Register!$B$3:$E$1409,6,FALSE)</f>
        <v>#REF!</v>
      </c>
      <c r="C699" s="32" t="e">
        <f>VLOOKUP($A699,Register!$B$3:$E$1409,7,FALSE)</f>
        <v>#REF!</v>
      </c>
      <c r="D699" s="32" t="e">
        <f>VLOOKUP($A699,Register!$B$3:$E$1409,8,FALSE)</f>
        <v>#REF!</v>
      </c>
      <c r="E699" s="34" t="s">
        <v>5319</v>
      </c>
    </row>
    <row r="700" spans="1:7" x14ac:dyDescent="0.25">
      <c r="A700" s="33" t="str" cm="1">
        <f t="array" ref="A700">IFERROR(INDEX(Register!$B$3:$B$1409,ROW(),0), "")</f>
        <v>Sena Diecasting Industries SDN BHD</v>
      </c>
      <c r="B700" s="32" t="e">
        <f>VLOOKUP($A700,Register!$B$3:$E$1409,6,FALSE)</f>
        <v>#REF!</v>
      </c>
      <c r="C700" s="32" t="e">
        <f>VLOOKUP($A700,Register!$B$3:$E$1409,7,FALSE)</f>
        <v>#REF!</v>
      </c>
      <c r="D700" s="32" t="e">
        <f>VLOOKUP($A700,Register!$B$3:$E$1409,8,FALSE)</f>
        <v>#REF!</v>
      </c>
      <c r="E700" s="34" t="s">
        <v>148</v>
      </c>
    </row>
    <row r="701" spans="1:7" x14ac:dyDescent="0.25">
      <c r="A701" s="33" t="str" cm="1">
        <f t="array" ref="A701">IFERROR(INDEX(Register!$B$3:$B$1409,ROW(),0), "")</f>
        <v>GENPLEX</v>
      </c>
      <c r="B701" s="32" t="e">
        <f>VLOOKUP($A701,Register!$B$3:$E$1409,6,FALSE)</f>
        <v>#REF!</v>
      </c>
      <c r="C701" s="32" t="e">
        <f>VLOOKUP($A701,Register!$B$3:$E$1409,7,FALSE)</f>
        <v>#REF!</v>
      </c>
      <c r="D701" s="32" t="e">
        <f>VLOOKUP($A701,Register!$B$3:$E$1409,8,FALSE)</f>
        <v>#REF!</v>
      </c>
      <c r="E701" s="34" t="s">
        <v>148</v>
      </c>
    </row>
    <row r="702" spans="1:7" x14ac:dyDescent="0.25">
      <c r="A702" s="33" t="str" cm="1">
        <f t="array" ref="A702">IFERROR(INDEX(Register!$B$3:$B$1409,ROW(),0), "")</f>
        <v>PA International</v>
      </c>
      <c r="B702" s="32" t="e">
        <f>VLOOKUP($A702,Register!$B$3:$E$1409,6,FALSE)</f>
        <v>#REF!</v>
      </c>
      <c r="C702" s="32" t="e">
        <f>VLOOKUP($A702,Register!$B$3:$E$1409,7,FALSE)</f>
        <v>#REF!</v>
      </c>
      <c r="D702" s="32" t="e">
        <f>VLOOKUP($A702,Register!$B$3:$E$1409,8,FALSE)</f>
        <v>#REF!</v>
      </c>
      <c r="E702" s="34" t="s">
        <v>148</v>
      </c>
    </row>
    <row r="703" spans="1:7" x14ac:dyDescent="0.25">
      <c r="A703" s="33" t="str" cm="1">
        <f t="array" ref="A703">IFERROR(INDEX(Register!$B$3:$B$1409,ROW(),0), "")</f>
        <v>PARAMOUNT EXTRUSION COMPANY</v>
      </c>
      <c r="B703" s="32" t="e">
        <f>VLOOKUP($A703,Register!$B$3:$E$1409,6,FALSE)</f>
        <v>#REF!</v>
      </c>
      <c r="C703" s="32" t="e">
        <f>VLOOKUP($A703,Register!$B$3:$E$1409,7,FALSE)</f>
        <v>#REF!</v>
      </c>
      <c r="D703" s="32" t="e">
        <f>VLOOKUP($A703,Register!$B$3:$E$1409,8,FALSE)</f>
        <v>#REF!</v>
      </c>
      <c r="E703" s="34" t="s">
        <v>148</v>
      </c>
    </row>
    <row r="704" spans="1:7" x14ac:dyDescent="0.25">
      <c r="A704" s="33" t="str" cm="1">
        <f t="array" ref="A704">IFERROR(INDEX(Register!$B$3:$B$1409,ROW(),0), "")</f>
        <v>Fotofab</v>
      </c>
      <c r="B704" s="32" t="e">
        <f>VLOOKUP($A704,Register!$B$3:$E$1409,6,FALSE)</f>
        <v>#REF!</v>
      </c>
      <c r="C704" s="32" t="e">
        <f>VLOOKUP($A704,Register!$B$3:$E$1409,7,FALSE)</f>
        <v>#REF!</v>
      </c>
      <c r="D704" s="32" t="e">
        <f>VLOOKUP($A704,Register!$B$3:$E$1409,8,FALSE)</f>
        <v>#REF!</v>
      </c>
      <c r="E704" s="34" t="s">
        <v>148</v>
      </c>
    </row>
    <row r="705" spans="1:5" x14ac:dyDescent="0.25">
      <c r="A705" s="33" t="str" cm="1">
        <f t="array" ref="A705">IFERROR(INDEX(Register!$B$3:$B$1409,ROW(),0), "")</f>
        <v>Tatly Technology (Suzhou)</v>
      </c>
      <c r="B705" s="32" t="e">
        <f>VLOOKUP($A705,Register!$B$3:$E$1409,6,FALSE)</f>
        <v>#REF!</v>
      </c>
      <c r="C705" s="32" t="e">
        <f>VLOOKUP($A705,Register!$B$3:$E$1409,7,FALSE)</f>
        <v>#REF!</v>
      </c>
      <c r="D705" s="32" t="e">
        <f>VLOOKUP($A705,Register!$B$3:$E$1409,8,FALSE)</f>
        <v>#REF!</v>
      </c>
      <c r="E705" s="34" t="s">
        <v>148</v>
      </c>
    </row>
    <row r="706" spans="1:5" x14ac:dyDescent="0.25">
      <c r="A706" s="33" t="str" cm="1">
        <f t="array" ref="A706">IFERROR(INDEX(Register!$B$3:$B$1409,ROW(),0), "")</f>
        <v>Tro Manufacturing</v>
      </c>
      <c r="B706" s="32" t="e">
        <f>VLOOKUP($A706,Register!$B$3:$E$1409,6,FALSE)</f>
        <v>#REF!</v>
      </c>
      <c r="C706" s="32" t="e">
        <f>VLOOKUP($A706,Register!$B$3:$E$1409,7,FALSE)</f>
        <v>#REF!</v>
      </c>
      <c r="D706" s="32" t="e">
        <f>VLOOKUP($A706,Register!$B$3:$E$1409,8,FALSE)</f>
        <v>#REF!</v>
      </c>
      <c r="E706" s="34" t="s">
        <v>148</v>
      </c>
    </row>
    <row r="707" spans="1:5" x14ac:dyDescent="0.25">
      <c r="A707" s="33" t="str" cm="1">
        <f t="array" ref="A707">IFERROR(INDEX(Register!$B$3:$B$1409,ROW(),0), "")</f>
        <v>Ocean Springs Metal Manufacture Limited</v>
      </c>
      <c r="B707" s="32" t="e">
        <f>VLOOKUP($A707,Register!$B$3:$E$1409,6,FALSE)</f>
        <v>#REF!</v>
      </c>
      <c r="C707" s="32" t="e">
        <f>VLOOKUP($A707,Register!$B$3:$E$1409,7,FALSE)</f>
        <v>#REF!</v>
      </c>
      <c r="D707" s="32" t="e">
        <f>VLOOKUP($A707,Register!$B$3:$E$1409,8,FALSE)</f>
        <v>#REF!</v>
      </c>
      <c r="E707" s="34" t="s">
        <v>148</v>
      </c>
    </row>
    <row r="708" spans="1:5" x14ac:dyDescent="0.25">
      <c r="A708" s="33" t="str" cm="1">
        <f t="array" ref="A708">IFERROR(INDEX(Register!$B$3:$B$1409,ROW(),0), "")</f>
        <v>Precision Cutter &amp; Tool</v>
      </c>
      <c r="B708" s="32" t="e">
        <f>VLOOKUP($A708,Register!$B$3:$E$1409,6,FALSE)</f>
        <v>#REF!</v>
      </c>
      <c r="C708" s="32" t="e">
        <f>VLOOKUP($A708,Register!$B$3:$E$1409,7,FALSE)</f>
        <v>#REF!</v>
      </c>
      <c r="D708" s="32" t="e">
        <f>VLOOKUP($A708,Register!$B$3:$E$1409,8,FALSE)</f>
        <v>#REF!</v>
      </c>
      <c r="E708" s="34" t="s">
        <v>148</v>
      </c>
    </row>
    <row r="709" spans="1:5" x14ac:dyDescent="0.25">
      <c r="A709" s="33" t="str" cm="1">
        <f t="array" ref="A709">IFERROR(INDEX(Register!$B$3:$B$1409,ROW(),0), "")</f>
        <v>Laird Thermal Systems Shenzhen Limited</v>
      </c>
      <c r="B709" s="32" t="e">
        <f>VLOOKUP($A709,Register!$B$3:$E$1409,6,FALSE)</f>
        <v>#REF!</v>
      </c>
      <c r="C709" s="32" t="e">
        <f>VLOOKUP($A709,Register!$B$3:$E$1409,7,FALSE)</f>
        <v>#REF!</v>
      </c>
      <c r="D709" s="32" t="e">
        <f>VLOOKUP($A709,Register!$B$3:$E$1409,8,FALSE)</f>
        <v>#REF!</v>
      </c>
      <c r="E709" s="34" t="s">
        <v>148</v>
      </c>
    </row>
    <row r="710" spans="1:5" x14ac:dyDescent="0.25">
      <c r="A710" s="33" t="str" cm="1">
        <f t="array" ref="A710">IFERROR(INDEX(Register!$B$3:$B$1409,ROW(),0), "")</f>
        <v>Fluigent SAS</v>
      </c>
      <c r="B710" s="32" t="e">
        <f>VLOOKUP($A710,Register!$B$3:$E$1409,6,FALSE)</f>
        <v>#REF!</v>
      </c>
      <c r="C710" s="32" t="e">
        <f>VLOOKUP($A710,Register!$B$3:$E$1409,7,FALSE)</f>
        <v>#REF!</v>
      </c>
      <c r="D710" s="32" t="e">
        <f>VLOOKUP($A710,Register!$B$3:$E$1409,8,FALSE)</f>
        <v>#REF!</v>
      </c>
      <c r="E710" s="34" t="s">
        <v>148</v>
      </c>
    </row>
    <row r="711" spans="1:5" x14ac:dyDescent="0.25">
      <c r="A711" s="33" t="str" cm="1">
        <f t="array" ref="A711">IFERROR(INDEX(Register!$B$3:$B$1409,ROW(),0), "")</f>
        <v>Labsmith, Inc.</v>
      </c>
      <c r="B711" s="32" t="e">
        <f>VLOOKUP($A711,Register!$B$3:$E$1409,6,FALSE)</f>
        <v>#REF!</v>
      </c>
      <c r="C711" s="32" t="e">
        <f>VLOOKUP($A711,Register!$B$3:$E$1409,7,FALSE)</f>
        <v>#REF!</v>
      </c>
      <c r="D711" s="32" t="e">
        <f>VLOOKUP($A711,Register!$B$3:$E$1409,8,FALSE)</f>
        <v>#REF!</v>
      </c>
      <c r="E711" s="34" t="s">
        <v>148</v>
      </c>
    </row>
    <row r="712" spans="1:5" x14ac:dyDescent="0.25">
      <c r="A712" s="33" t="str" cm="1">
        <f t="array" ref="A712">IFERROR(INDEX(Register!$B$3:$B$1409,ROW(),0), "")</f>
        <v>The Dolomite Centre (Blacktrace Holdings)</v>
      </c>
      <c r="B712" s="32" t="e">
        <f>VLOOKUP($A712,Register!$B$3:$E$1409,6,FALSE)</f>
        <v>#REF!</v>
      </c>
      <c r="C712" s="32" t="e">
        <f>VLOOKUP($A712,Register!$B$3:$E$1409,7,FALSE)</f>
        <v>#REF!</v>
      </c>
      <c r="D712" s="32" t="e">
        <f>VLOOKUP($A712,Register!$B$3:$E$1409,8,FALSE)</f>
        <v>#REF!</v>
      </c>
      <c r="E712" s="34" t="s">
        <v>148</v>
      </c>
    </row>
    <row r="713" spans="1:5" x14ac:dyDescent="0.25">
      <c r="A713" s="33" t="str" cm="1">
        <f t="array" ref="A713">IFERROR(INDEX(Register!$B$3:$B$1409,ROW(),0), "")</f>
        <v>Altra Industrial Motion Australia Pty Ltd</v>
      </c>
      <c r="B713" s="32" t="e">
        <f>VLOOKUP($A713,Register!$B$3:$E$1409,6,FALSE)</f>
        <v>#REF!</v>
      </c>
      <c r="C713" s="32" t="e">
        <f>VLOOKUP($A713,Register!$B$3:$E$1409,7,FALSE)</f>
        <v>#REF!</v>
      </c>
      <c r="D713" s="32" t="e">
        <f>VLOOKUP($A713,Register!$B$3:$E$1409,8,FALSE)</f>
        <v>#REF!</v>
      </c>
      <c r="E713" s="34" t="s">
        <v>148</v>
      </c>
    </row>
    <row r="714" spans="1:5" x14ac:dyDescent="0.25">
      <c r="A714" s="33" t="str" cm="1">
        <f t="array" ref="A714">IFERROR(INDEX(Register!$B$3:$B$1409,ROW(),0), "")</f>
        <v>Anaheim Automation, Inc.</v>
      </c>
      <c r="B714" s="32" t="e">
        <f>VLOOKUP($A714,Register!$B$3:$E$1409,6,FALSE)</f>
        <v>#REF!</v>
      </c>
      <c r="C714" s="32" t="e">
        <f>VLOOKUP($A714,Register!$B$3:$E$1409,7,FALSE)</f>
        <v>#REF!</v>
      </c>
      <c r="D714" s="32" t="e">
        <f>VLOOKUP($A714,Register!$B$3:$E$1409,8,FALSE)</f>
        <v>#REF!</v>
      </c>
      <c r="E714" s="34" t="s">
        <v>148</v>
      </c>
    </row>
    <row r="715" spans="1:5" x14ac:dyDescent="0.25">
      <c r="A715" s="33" t="str" cm="1">
        <f t="array" ref="A715">IFERROR(INDEX(Register!$B$3:$B$1409,ROW(),0), "")</f>
        <v>G.Z. Pneumatic P/L</v>
      </c>
      <c r="B715" s="32" t="e">
        <f>VLOOKUP($A715,Register!$B$3:$E$1409,6,FALSE)</f>
        <v>#REF!</v>
      </c>
      <c r="C715" s="32" t="e">
        <f>VLOOKUP($A715,Register!$B$3:$E$1409,7,FALSE)</f>
        <v>#REF!</v>
      </c>
      <c r="D715" s="32" t="e">
        <f>VLOOKUP($A715,Register!$B$3:$E$1409,8,FALSE)</f>
        <v>#REF!</v>
      </c>
      <c r="E715" s="34" t="s">
        <v>148</v>
      </c>
    </row>
    <row r="716" spans="1:5" x14ac:dyDescent="0.25">
      <c r="A716" s="33" t="str" cm="1">
        <f t="array" ref="A716">IFERROR(INDEX(Register!$B$3:$B$1409,ROW(),0), "")</f>
        <v>Hitec Group USA</v>
      </c>
      <c r="B716" s="32" t="e">
        <f>VLOOKUP($A716,Register!$B$3:$E$1409,6,FALSE)</f>
        <v>#REF!</v>
      </c>
      <c r="C716" s="32" t="e">
        <f>VLOOKUP($A716,Register!$B$3:$E$1409,7,FALSE)</f>
        <v>#REF!</v>
      </c>
      <c r="D716" s="32" t="e">
        <f>VLOOKUP($A716,Register!$B$3:$E$1409,8,FALSE)</f>
        <v>#REF!</v>
      </c>
      <c r="E716" s="34" t="s">
        <v>148</v>
      </c>
    </row>
    <row r="717" spans="1:5" x14ac:dyDescent="0.25">
      <c r="A717" s="33" t="str" cm="1">
        <f t="array" ref="A717">IFERROR(INDEX(Register!$B$3:$B$1409,ROW(),0), "")</f>
        <v>Ineed Electronics HK</v>
      </c>
      <c r="B717" s="32" t="e">
        <f>VLOOKUP($A717,Register!$B$3:$E$1409,6,FALSE)</f>
        <v>#REF!</v>
      </c>
      <c r="C717" s="32" t="e">
        <f>VLOOKUP($A717,Register!$B$3:$E$1409,7,FALSE)</f>
        <v>#REF!</v>
      </c>
      <c r="D717" s="32" t="e">
        <f>VLOOKUP($A717,Register!$B$3:$E$1409,8,FALSE)</f>
        <v>#REF!</v>
      </c>
      <c r="E717" s="34" t="s">
        <v>148</v>
      </c>
    </row>
    <row r="718" spans="1:5" x14ac:dyDescent="0.25">
      <c r="A718" s="33" t="str" cm="1">
        <f t="array" ref="A718">IFERROR(INDEX(Register!$B$3:$B$1409,ROW(),0), "")</f>
        <v>J2 Sourcing AB</v>
      </c>
      <c r="B718" s="32" t="e">
        <f>VLOOKUP($A718,Register!$B$3:$E$1409,6,FALSE)</f>
        <v>#REF!</v>
      </c>
      <c r="C718" s="32" t="e">
        <f>VLOOKUP($A718,Register!$B$3:$E$1409,7,FALSE)</f>
        <v>#REF!</v>
      </c>
      <c r="D718" s="32" t="e">
        <f>VLOOKUP($A718,Register!$B$3:$E$1409,8,FALSE)</f>
        <v>#REF!</v>
      </c>
      <c r="E718" s="34" t="s">
        <v>148</v>
      </c>
    </row>
    <row r="719" spans="1:5" x14ac:dyDescent="0.25">
      <c r="A719" s="33" t="str" cm="1">
        <f t="array" ref="A719">IFERROR(INDEX(Register!$B$3:$B$1409,ROW(),0), "")</f>
        <v>ALLMOTION</v>
      </c>
      <c r="B719" s="32" t="e">
        <f>VLOOKUP($A719,Register!$B$3:$E$1409,6,FALSE)</f>
        <v>#REF!</v>
      </c>
      <c r="C719" s="32" t="e">
        <f>VLOOKUP($A719,Register!$B$3:$E$1409,7,FALSE)</f>
        <v>#REF!</v>
      </c>
      <c r="D719" s="32" t="e">
        <f>VLOOKUP($A719,Register!$B$3:$E$1409,8,FALSE)</f>
        <v>#REF!</v>
      </c>
      <c r="E719" s="34" t="s">
        <v>148</v>
      </c>
    </row>
    <row r="720" spans="1:5" x14ac:dyDescent="0.25">
      <c r="A720" s="33" t="str" cm="1">
        <f t="array" ref="A720">IFERROR(INDEX(Register!$B$3:$B$1409,ROW(),0), "")</f>
        <v>Applied Industrial Technologies Pty Ltd</v>
      </c>
      <c r="B720" s="32" t="e">
        <f>VLOOKUP($A720,Register!$B$3:$E$1409,6,FALSE)</f>
        <v>#REF!</v>
      </c>
      <c r="C720" s="32" t="e">
        <f>VLOOKUP($A720,Register!$B$3:$E$1409,7,FALSE)</f>
        <v>#REF!</v>
      </c>
      <c r="D720" s="32" t="e">
        <f>VLOOKUP($A720,Register!$B$3:$E$1409,8,FALSE)</f>
        <v>#REF!</v>
      </c>
      <c r="E720" s="34" t="s">
        <v>148</v>
      </c>
    </row>
    <row r="721" spans="1:7" x14ac:dyDescent="0.25">
      <c r="A721" s="33" t="str" cm="1">
        <f t="array" ref="A721">IFERROR(INDEX(Register!$B$3:$B$1409,ROW(),0), "")</f>
        <v>RELIANCE PRECISION LIMITED</v>
      </c>
      <c r="B721" s="32" t="e">
        <f>VLOOKUP($A721,Register!$B$3:$E$1409,6,FALSE)</f>
        <v>#REF!</v>
      </c>
      <c r="C721" s="32" t="e">
        <f>VLOOKUP($A721,Register!$B$3:$E$1409,7,FALSE)</f>
        <v>#REF!</v>
      </c>
      <c r="D721" s="32" t="e">
        <f>VLOOKUP($A721,Register!$B$3:$E$1409,8,FALSE)</f>
        <v>#REF!</v>
      </c>
      <c r="E721" s="34" t="s">
        <v>148</v>
      </c>
    </row>
    <row r="722" spans="1:7" x14ac:dyDescent="0.25">
      <c r="A722" s="33" t="str" cm="1">
        <f t="array" ref="A722">IFERROR(INDEX(Register!$B$3:$B$1409,ROW(),0), "")</f>
        <v>Automated Motion Systems Pty Ltd</v>
      </c>
      <c r="B722" s="32" t="e">
        <f>VLOOKUP($A722,Register!$B$3:$E$1409,6,FALSE)</f>
        <v>#REF!</v>
      </c>
      <c r="C722" s="32" t="e">
        <f>VLOOKUP($A722,Register!$B$3:$E$1409,7,FALSE)</f>
        <v>#REF!</v>
      </c>
      <c r="D722" s="32" t="e">
        <f>VLOOKUP($A722,Register!$B$3:$E$1409,8,FALSE)</f>
        <v>#REF!</v>
      </c>
      <c r="E722" s="34" t="s">
        <v>148</v>
      </c>
    </row>
    <row r="723" spans="1:7" x14ac:dyDescent="0.25">
      <c r="A723" s="33" t="str" cm="1">
        <f t="array" ref="A723">IFERROR(INDEX(Register!$B$3:$B$1409,ROW(),0), "")</f>
        <v>Ball Screws &amp; Actuators Co Inc (Thomson Linear)</v>
      </c>
      <c r="B723" s="32" t="e">
        <f>VLOOKUP($A723,Register!$B$3:$E$1409,6,FALSE)</f>
        <v>#REF!</v>
      </c>
      <c r="C723" s="32" t="e">
        <f>VLOOKUP($A723,Register!$B$3:$E$1409,7,FALSE)</f>
        <v>#REF!</v>
      </c>
      <c r="D723" s="32" t="e">
        <f>VLOOKUP($A723,Register!$B$3:$E$1409,8,FALSE)</f>
        <v>#REF!</v>
      </c>
      <c r="E723" s="34" t="s">
        <v>148</v>
      </c>
    </row>
    <row r="724" spans="1:7" x14ac:dyDescent="0.25">
      <c r="A724" s="33" t="str" cm="1">
        <f t="array" ref="A724">IFERROR(INDEX(Register!$B$3:$B$1409,ROW(),0), "")</f>
        <v>Bearing and Power Transmission Solutions</v>
      </c>
      <c r="B724" s="32" t="e">
        <f>VLOOKUP($A724,Register!$B$3:$E$1409,6,FALSE)</f>
        <v>#REF!</v>
      </c>
      <c r="C724" s="32" t="e">
        <f>VLOOKUP($A724,Register!$B$3:$E$1409,7,FALSE)</f>
        <v>#REF!</v>
      </c>
      <c r="D724" s="32" t="e">
        <f>VLOOKUP($A724,Register!$B$3:$E$1409,8,FALSE)</f>
        <v>#REF!</v>
      </c>
      <c r="E724" s="34" t="s">
        <v>148</v>
      </c>
    </row>
    <row r="725" spans="1:7" x14ac:dyDescent="0.25">
      <c r="A725" s="33" t="str" cm="1">
        <f t="array" ref="A725">IFERROR(INDEX(Register!$B$3:$B$1409,ROW(),0), "")</f>
        <v>CBC Australia Pty Ltd</v>
      </c>
      <c r="B725" s="32" t="e">
        <f>VLOOKUP($A725,Register!$B$3:$E$1409,6,FALSE)</f>
        <v>#REF!</v>
      </c>
      <c r="C725" s="32" t="e">
        <f>VLOOKUP($A725,Register!$B$3:$E$1409,7,FALSE)</f>
        <v>#REF!</v>
      </c>
      <c r="D725" s="32" t="e">
        <f>VLOOKUP($A725,Register!$B$3:$E$1409,8,FALSE)</f>
        <v>#REF!</v>
      </c>
      <c r="E725" s="34" t="s">
        <v>148</v>
      </c>
    </row>
    <row r="726" spans="1:7" x14ac:dyDescent="0.25">
      <c r="A726" s="33" t="str" cm="1">
        <f t="array" ref="A726">IFERROR(INDEX(Register!$B$3:$B$1409,ROW(),0), "")</f>
        <v>STOCK DRIVE PRODUCTS /STERLING</v>
      </c>
      <c r="B726" s="32" t="e">
        <f>VLOOKUP($A726,Register!$B$3:$E$1409,6,FALSE)</f>
        <v>#REF!</v>
      </c>
      <c r="C726" s="32" t="e">
        <f>VLOOKUP($A726,Register!$B$3:$E$1409,7,FALSE)</f>
        <v>#REF!</v>
      </c>
      <c r="D726" s="32" t="e">
        <f>VLOOKUP($A726,Register!$B$3:$E$1409,8,FALSE)</f>
        <v>#REF!</v>
      </c>
      <c r="E726" s="34" t="s">
        <v>148</v>
      </c>
    </row>
    <row r="727" spans="1:7" x14ac:dyDescent="0.25">
      <c r="A727" s="33" t="str" cm="1">
        <f t="array" ref="A727">IFERROR(INDEX(Register!$B$3:$B$1409,ROW(),0), "")</f>
        <v>Trinamic Motion Control</v>
      </c>
      <c r="B727" s="32" t="e">
        <f>VLOOKUP($A727,Register!$B$3:$E$1409,6,FALSE)</f>
        <v>#REF!</v>
      </c>
      <c r="C727" s="32" t="e">
        <f>VLOOKUP($A727,Register!$B$3:$E$1409,7,FALSE)</f>
        <v>#REF!</v>
      </c>
      <c r="D727" s="32" t="e">
        <f>VLOOKUP($A727,Register!$B$3:$E$1409,8,FALSE)</f>
        <v>#REF!</v>
      </c>
      <c r="E727" s="34" t="s">
        <v>148</v>
      </c>
    </row>
    <row r="728" spans="1:7" x14ac:dyDescent="0.25">
      <c r="A728" s="33" t="str" cm="1">
        <f t="array" ref="A728">IFERROR(INDEX(Register!$B$3:$B$1409,ROW(),0), "")</f>
        <v>Designatronics Inc (Stock Drive Products)</v>
      </c>
      <c r="B728" s="32" t="e">
        <f>VLOOKUP($A728,Register!$B$3:$E$1409,6,FALSE)</f>
        <v>#REF!</v>
      </c>
      <c r="C728" s="32" t="e">
        <f>VLOOKUP($A728,Register!$B$3:$E$1409,7,FALSE)</f>
        <v>#REF!</v>
      </c>
      <c r="D728" s="32" t="e">
        <f>VLOOKUP($A728,Register!$B$3:$E$1409,8,FALSE)</f>
        <v>#REF!</v>
      </c>
      <c r="E728" s="34" t="s">
        <v>148</v>
      </c>
    </row>
    <row r="729" spans="1:7" x14ac:dyDescent="0.25">
      <c r="A729" s="33" t="str" cm="1">
        <f t="array" ref="A729">IFERROR(INDEX(Register!$B$3:$B$1409,ROW(),0), "")</f>
        <v>DINGS' Motion USA</v>
      </c>
      <c r="B729" s="32" t="e">
        <f>VLOOKUP($A729,Register!$B$3:$E$1409,6,FALSE)</f>
        <v>#REF!</v>
      </c>
      <c r="C729" s="32" t="e">
        <f>VLOOKUP($A729,Register!$B$3:$E$1409,7,FALSE)</f>
        <v>#REF!</v>
      </c>
      <c r="D729" s="32" t="e">
        <f>VLOOKUP($A729,Register!$B$3:$E$1409,8,FALSE)</f>
        <v>#REF!</v>
      </c>
      <c r="E729" s="34" t="s">
        <v>148</v>
      </c>
    </row>
    <row r="730" spans="1:7" x14ac:dyDescent="0.25">
      <c r="A730" s="33" t="str" cm="1">
        <f t="array" ref="A730">IFERROR(INDEX(Register!$B$3:$B$1409,ROW(),0), "")</f>
        <v>Dongguan Haorui Motor Tech(ex Haosheng Electron T)</v>
      </c>
      <c r="B730" s="32" t="e">
        <f>VLOOKUP($A730,Register!$B$3:$E$1409,6,FALSE)</f>
        <v>#REF!</v>
      </c>
      <c r="C730" s="32" t="e">
        <f>VLOOKUP($A730,Register!$B$3:$E$1409,7,FALSE)</f>
        <v>#REF!</v>
      </c>
      <c r="D730" s="32" t="e">
        <f>VLOOKUP($A730,Register!$B$3:$E$1409,8,FALSE)</f>
        <v>#REF!</v>
      </c>
      <c r="E730" s="34" t="s">
        <v>148</v>
      </c>
    </row>
    <row r="731" spans="1:7" x14ac:dyDescent="0.25">
      <c r="A731" s="33" t="str" cm="1">
        <f t="array" ref="A731">IFERROR(INDEX(Register!$B$3:$B$1409,ROW(),0), "")</f>
        <v>Dover Motion</v>
      </c>
      <c r="B731" s="32" t="e">
        <f>VLOOKUP($A731,Register!$B$3:$E$1409,6,FALSE)</f>
        <v>#REF!</v>
      </c>
      <c r="C731" s="32" t="e">
        <f>VLOOKUP($A731,Register!$B$3:$E$1409,7,FALSE)</f>
        <v>#REF!</v>
      </c>
      <c r="D731" s="32" t="e">
        <f>VLOOKUP($A731,Register!$B$3:$E$1409,8,FALSE)</f>
        <v>#REF!</v>
      </c>
      <c r="E731" s="34" t="s">
        <v>148</v>
      </c>
    </row>
    <row r="732" spans="1:7" x14ac:dyDescent="0.25">
      <c r="A732" s="33" t="str" cm="1">
        <f t="array" ref="A732">IFERROR(INDEX(Register!$B$3:$B$1409,ROW(),0), "")</f>
        <v>ELINCO INTERNATIONAL JPC, INC.</v>
      </c>
      <c r="B732" s="32" t="e">
        <f>VLOOKUP($A732,Register!$B$3:$E$1409,6,FALSE)</f>
        <v>#REF!</v>
      </c>
      <c r="C732" s="32" t="e">
        <f>VLOOKUP($A732,Register!$B$3:$E$1409,7,FALSE)</f>
        <v>#REF!</v>
      </c>
      <c r="D732" s="32" t="e">
        <f>VLOOKUP($A732,Register!$B$3:$E$1409,8,FALSE)</f>
        <v>#REF!</v>
      </c>
      <c r="E732" s="34" t="s">
        <v>148</v>
      </c>
    </row>
    <row r="733" spans="1:7" x14ac:dyDescent="0.25">
      <c r="A733" s="33" t="str" cm="1">
        <f t="array" ref="A733">IFERROR(INDEX(Register!$B$3:$B$1409,ROW(),0), "")</f>
        <v>Festo Pty Ltd</v>
      </c>
      <c r="B733" s="32" t="e">
        <f>VLOOKUP($A733,Register!$B$3:$E$1409,6,FALSE)</f>
        <v>#REF!</v>
      </c>
      <c r="C733" s="32" t="e">
        <f>VLOOKUP($A733,Register!$B$3:$E$1409,7,FALSE)</f>
        <v>#REF!</v>
      </c>
      <c r="D733" s="32" t="e">
        <f>VLOOKUP($A733,Register!$B$3:$E$1409,8,FALSE)</f>
        <v>#REF!</v>
      </c>
      <c r="E733" s="34" t="s">
        <v>148</v>
      </c>
    </row>
    <row r="734" spans="1:7" x14ac:dyDescent="0.25">
      <c r="A734" s="33" t="str" cm="1">
        <f t="array" ref="A734">IFERROR(INDEX(Register!$B$3:$B$1409,ROW(),0), "")</f>
        <v>HAYDON KERK MOTION SOL</v>
      </c>
      <c r="B734" s="32" t="e">
        <f>VLOOKUP($A734,Register!$B$3:$E$1409,6,FALSE)</f>
        <v>#REF!</v>
      </c>
      <c r="C734" s="32" t="e">
        <f>VLOOKUP($A734,Register!$B$3:$E$1409,7,FALSE)</f>
        <v>#REF!</v>
      </c>
      <c r="D734" s="32" t="e">
        <f>VLOOKUP($A734,Register!$B$3:$E$1409,8,FALSE)</f>
        <v>#REF!</v>
      </c>
      <c r="E734" s="34" t="s">
        <v>2008</v>
      </c>
      <c r="F734" s="34" t="s">
        <v>5320</v>
      </c>
      <c r="G734" s="34" t="s">
        <v>716</v>
      </c>
    </row>
    <row r="735" spans="1:7" x14ac:dyDescent="0.25">
      <c r="A735" s="33" t="str" cm="1">
        <f t="array" ref="A735">IFERROR(INDEX(Register!$B$3:$B$1409,ROW(),0), "")</f>
        <v>Helix Linear Technologies</v>
      </c>
      <c r="B735" s="32" t="e">
        <f>VLOOKUP($A735,Register!$B$3:$E$1409,6,FALSE)</f>
        <v>#REF!</v>
      </c>
      <c r="C735" s="32" t="e">
        <f>VLOOKUP($A735,Register!$B$3:$E$1409,7,FALSE)</f>
        <v>#REF!</v>
      </c>
      <c r="D735" s="32" t="e">
        <f>VLOOKUP($A735,Register!$B$3:$E$1409,8,FALSE)</f>
        <v>#REF!</v>
      </c>
      <c r="E735" s="34" t="s">
        <v>148</v>
      </c>
    </row>
    <row r="736" spans="1:7" x14ac:dyDescent="0.25">
      <c r="A736" s="33" t="str" cm="1">
        <f t="array" ref="A736">IFERROR(INDEX(Register!$B$3:$B$1409,ROW(),0), "")</f>
        <v>HIWIN CORPORATION</v>
      </c>
      <c r="B736" s="32" t="e">
        <f>VLOOKUP($A736,Register!$B$3:$E$1409,6,FALSE)</f>
        <v>#REF!</v>
      </c>
      <c r="C736" s="32" t="e">
        <f>VLOOKUP($A736,Register!$B$3:$E$1409,7,FALSE)</f>
        <v>#REF!</v>
      </c>
      <c r="D736" s="32" t="e">
        <f>VLOOKUP($A736,Register!$B$3:$E$1409,8,FALSE)</f>
        <v>#REF!</v>
      </c>
      <c r="E736" s="34" t="s">
        <v>148</v>
      </c>
    </row>
    <row r="737" spans="1:14" x14ac:dyDescent="0.25">
      <c r="A737" s="33" t="str" cm="1">
        <f t="array" ref="A737">IFERROR(INDEX(Register!$B$3:$B$1409,ROW(),0), "")</f>
        <v>IGUS</v>
      </c>
      <c r="B737" s="32" t="e">
        <f>VLOOKUP($A737,Register!$B$3:$E$1409,6,FALSE)</f>
        <v>#REF!</v>
      </c>
      <c r="C737" s="32" t="e">
        <f>VLOOKUP($A737,Register!$B$3:$E$1409,7,FALSE)</f>
        <v>#REF!</v>
      </c>
      <c r="D737" s="32" t="e">
        <f>VLOOKUP($A737,Register!$B$3:$E$1409,8,FALSE)</f>
        <v>#REF!</v>
      </c>
      <c r="E737" s="34" t="s">
        <v>148</v>
      </c>
    </row>
    <row r="738" spans="1:14" x14ac:dyDescent="0.25">
      <c r="A738" s="33" t="str" cm="1">
        <f t="array" ref="A738">IFERROR(INDEX(Register!$B$3:$B$1409,ROW(),0), "")</f>
        <v>IKO International (US)</v>
      </c>
      <c r="B738" s="32" t="e">
        <f>VLOOKUP($A738,Register!$B$3:$E$1409,6,FALSE)</f>
        <v>#REF!</v>
      </c>
      <c r="C738" s="32" t="e">
        <f>VLOOKUP($A738,Register!$B$3:$E$1409,7,FALSE)</f>
        <v>#REF!</v>
      </c>
      <c r="D738" s="32" t="e">
        <f>VLOOKUP($A738,Register!$B$3:$E$1409,8,FALSE)</f>
        <v>#REF!</v>
      </c>
      <c r="E738" s="34" t="s">
        <v>148</v>
      </c>
    </row>
    <row r="739" spans="1:14" x14ac:dyDescent="0.25">
      <c r="A739" s="33" t="str" cm="1">
        <f t="array" ref="A739">IFERROR(INDEX(Register!$B$3:$B$1409,ROW(),0), "")</f>
        <v>IKO International Inc</v>
      </c>
      <c r="B739" s="32" t="e">
        <f>VLOOKUP($A739,Register!$B$3:$E$1409,6,FALSE)</f>
        <v>#REF!</v>
      </c>
      <c r="C739" s="32" t="e">
        <f>VLOOKUP($A739,Register!$B$3:$E$1409,7,FALSE)</f>
        <v>#REF!</v>
      </c>
      <c r="D739" s="32" t="e">
        <f>VLOOKUP($A739,Register!$B$3:$E$1409,8,FALSE)</f>
        <v>#REF!</v>
      </c>
      <c r="E739" s="34" t="s">
        <v>5321</v>
      </c>
    </row>
    <row r="740" spans="1:14" x14ac:dyDescent="0.25">
      <c r="A740" s="33" t="str" cm="1">
        <f t="array" ref="A740">IFERROR(INDEX(Register!$B$3:$B$1409,ROW(),0), "")</f>
        <v>Industrial Dynamics Pty Ltd</v>
      </c>
      <c r="B740" s="32" t="e">
        <f>VLOOKUP($A740,Register!$B$3:$E$1409,6,FALSE)</f>
        <v>#REF!</v>
      </c>
      <c r="C740" s="32" t="e">
        <f>VLOOKUP($A740,Register!$B$3:$E$1409,7,FALSE)</f>
        <v>#REF!</v>
      </c>
      <c r="D740" s="32" t="e">
        <f>VLOOKUP($A740,Register!$B$3:$E$1409,8,FALSE)</f>
        <v>#REF!</v>
      </c>
      <c r="E740" s="34" t="s">
        <v>148</v>
      </c>
    </row>
    <row r="741" spans="1:14" x14ac:dyDescent="0.25">
      <c r="A741" s="33" t="str" cm="1">
        <f t="array" ref="A741">IFERROR(INDEX(Register!$B$3:$B$1409,ROW(),0), "")</f>
        <v>Johnson Electric Industrial Manufactory Limited</v>
      </c>
      <c r="B741" s="32" t="e">
        <f>VLOOKUP($A741,Register!$B$3:$E$1409,6,FALSE)</f>
        <v>#REF!</v>
      </c>
      <c r="C741" s="32" t="e">
        <f>VLOOKUP($A741,Register!$B$3:$E$1409,7,FALSE)</f>
        <v>#REF!</v>
      </c>
      <c r="D741" s="32" t="e">
        <f>VLOOKUP($A741,Register!$B$3:$E$1409,8,FALSE)</f>
        <v>#REF!</v>
      </c>
      <c r="E741" s="34" t="s">
        <v>148</v>
      </c>
    </row>
    <row r="742" spans="1:14" x14ac:dyDescent="0.25">
      <c r="A742" s="33" t="str" cm="1">
        <f t="array" ref="A742">IFERROR(INDEX(Register!$B$3:$B$1409,ROW(),0), "")</f>
        <v>Lin Engineering</v>
      </c>
      <c r="B742" s="32" t="e">
        <f>VLOOKUP($A742,Register!$B$3:$E$1409,6,FALSE)</f>
        <v>#REF!</v>
      </c>
      <c r="C742" s="32" t="e">
        <f>VLOOKUP($A742,Register!$B$3:$E$1409,7,FALSE)</f>
        <v>#REF!</v>
      </c>
      <c r="D742" s="32" t="e">
        <f>VLOOKUP($A742,Register!$B$3:$E$1409,8,FALSE)</f>
        <v>#REF!</v>
      </c>
      <c r="E742" s="34" t="s">
        <v>148</v>
      </c>
    </row>
    <row r="743" spans="1:14" x14ac:dyDescent="0.25">
      <c r="A743" s="33" t="str" cm="1">
        <f t="array" ref="A743">IFERROR(INDEX(Register!$B$3:$B$1409,ROW(),0), "")</f>
        <v>LIN ENGINEERING (US)</v>
      </c>
      <c r="B743" s="32" t="e">
        <f>VLOOKUP($A743,Register!$B$3:$E$1409,6,FALSE)</f>
        <v>#REF!</v>
      </c>
      <c r="C743" s="32" t="e">
        <f>VLOOKUP($A743,Register!$B$3:$E$1409,7,FALSE)</f>
        <v>#REF!</v>
      </c>
      <c r="D743" s="32" t="e">
        <f>VLOOKUP($A743,Register!$B$3:$E$1409,8,FALSE)</f>
        <v>#REF!</v>
      </c>
      <c r="E743" s="34" t="s">
        <v>148</v>
      </c>
    </row>
    <row r="744" spans="1:14" x14ac:dyDescent="0.25">
      <c r="A744" s="33" t="str" cm="1">
        <f t="array" ref="A744">IFERROR(INDEX(Register!$B$3:$B$1409,ROW(),0), "")</f>
        <v>Linear Technik Pty Ltd</v>
      </c>
      <c r="B744" s="32" t="e">
        <f>VLOOKUP($A744,Register!$B$3:$E$1409,6,FALSE)</f>
        <v>#REF!</v>
      </c>
      <c r="C744" s="32" t="e">
        <f>VLOOKUP($A744,Register!$B$3:$E$1409,7,FALSE)</f>
        <v>#REF!</v>
      </c>
      <c r="D744" s="32" t="e">
        <f>VLOOKUP($A744,Register!$B$3:$E$1409,8,FALSE)</f>
        <v>#REF!</v>
      </c>
      <c r="E744" s="34" t="s">
        <v>148</v>
      </c>
    </row>
    <row r="745" spans="1:14" x14ac:dyDescent="0.25">
      <c r="A745" s="33" t="str" cm="1">
        <f t="array" ref="A745">IFERROR(INDEX(Register!$B$3:$B$1409,ROW(),0), "")</f>
        <v>Maxiloc Industrial Pty Ltd</v>
      </c>
      <c r="B745" s="32" t="e">
        <f>VLOOKUP($A745,Register!$B$3:$E$1409,6,FALSE)</f>
        <v>#REF!</v>
      </c>
      <c r="C745" s="32" t="e">
        <f>VLOOKUP($A745,Register!$B$3:$E$1409,7,FALSE)</f>
        <v>#REF!</v>
      </c>
      <c r="D745" s="32" t="e">
        <f>VLOOKUP($A745,Register!$B$3:$E$1409,8,FALSE)</f>
        <v>#REF!</v>
      </c>
      <c r="E745" s="34" t="s">
        <v>5322</v>
      </c>
      <c r="F745" s="34" t="s">
        <v>5323</v>
      </c>
      <c r="G745" s="34" t="s">
        <v>5170</v>
      </c>
      <c r="H745" s="34" t="s">
        <v>5324</v>
      </c>
      <c r="I745" s="34" t="s">
        <v>4761</v>
      </c>
      <c r="J745" s="34" t="s">
        <v>5325</v>
      </c>
      <c r="K745" s="34" t="s">
        <v>5326</v>
      </c>
      <c r="L745" s="32" t="s">
        <v>5327</v>
      </c>
      <c r="M745" s="32" t="s">
        <v>5328</v>
      </c>
      <c r="N745" s="32" t="s">
        <v>4790</v>
      </c>
    </row>
    <row r="746" spans="1:14" x14ac:dyDescent="0.25">
      <c r="A746" s="33" t="str" cm="1">
        <f t="array" ref="A746">IFERROR(INDEX(Register!$B$3:$B$1409,ROW(),0), "")</f>
        <v>Maxon Motor Australia Pty Ltd</v>
      </c>
      <c r="B746" s="32" t="e">
        <f>VLOOKUP($A746,Register!$B$3:$E$1409,6,FALSE)</f>
        <v>#REF!</v>
      </c>
      <c r="C746" s="32" t="e">
        <f>VLOOKUP($A746,Register!$B$3:$E$1409,7,FALSE)</f>
        <v>#REF!</v>
      </c>
      <c r="D746" s="32" t="e">
        <f>VLOOKUP($A746,Register!$B$3:$E$1409,8,FALSE)</f>
        <v>#REF!</v>
      </c>
      <c r="E746" s="34" t="s">
        <v>5322</v>
      </c>
      <c r="F746" s="34" t="s">
        <v>5323</v>
      </c>
      <c r="G746" s="34" t="s">
        <v>5170</v>
      </c>
      <c r="H746" s="34" t="s">
        <v>5324</v>
      </c>
      <c r="I746" s="34" t="s">
        <v>4761</v>
      </c>
      <c r="J746" s="34" t="s">
        <v>5325</v>
      </c>
      <c r="K746" s="34" t="s">
        <v>5326</v>
      </c>
      <c r="L746" s="32" t="s">
        <v>5327</v>
      </c>
      <c r="M746" s="32" t="s">
        <v>5328</v>
      </c>
      <c r="N746" s="32" t="s">
        <v>4790</v>
      </c>
    </row>
    <row r="747" spans="1:14" x14ac:dyDescent="0.25">
      <c r="A747" s="33" t="str" cm="1">
        <f t="array" ref="A747">IFERROR(INDEX(Register!$B$3:$B$1409,ROW(),0), "")</f>
        <v>Maytech Electronics Co Ltd</v>
      </c>
      <c r="B747" s="32" t="e">
        <f>VLOOKUP($A747,Register!$B$3:$E$1409,6,FALSE)</f>
        <v>#REF!</v>
      </c>
      <c r="C747" s="32" t="e">
        <f>VLOOKUP($A747,Register!$B$3:$E$1409,7,FALSE)</f>
        <v>#REF!</v>
      </c>
      <c r="D747" s="32" t="e">
        <f>VLOOKUP($A747,Register!$B$3:$E$1409,8,FALSE)</f>
        <v>#REF!</v>
      </c>
      <c r="E747" s="34" t="s">
        <v>148</v>
      </c>
    </row>
    <row r="748" spans="1:14" x14ac:dyDescent="0.25">
      <c r="A748" s="33" t="str" cm="1">
        <f t="array" ref="A748">IFERROR(INDEX(Register!$B$3:$B$1409,ROW(),0), "")</f>
        <v>Mighty Corporation Ltd</v>
      </c>
      <c r="B748" s="32" t="e">
        <f>VLOOKUP($A748,Register!$B$3:$E$1409,6,FALSE)</f>
        <v>#REF!</v>
      </c>
      <c r="C748" s="32" t="e">
        <f>VLOOKUP($A748,Register!$B$3:$E$1409,7,FALSE)</f>
        <v>#REF!</v>
      </c>
      <c r="D748" s="32" t="e">
        <f>VLOOKUP($A748,Register!$B$3:$E$1409,8,FALSE)</f>
        <v>#REF!</v>
      </c>
      <c r="E748" s="34" t="s">
        <v>148</v>
      </c>
    </row>
    <row r="749" spans="1:14" x14ac:dyDescent="0.25">
      <c r="A749" s="33" t="str" cm="1">
        <f t="array" ref="A749">IFERROR(INDEX(Register!$B$3:$B$1409,ROW(),0), "")</f>
        <v>Motion Technologies Pty Ltd</v>
      </c>
      <c r="B749" s="32" t="e">
        <f>VLOOKUP($A749,Register!$B$3:$E$1409,6,FALSE)</f>
        <v>#REF!</v>
      </c>
      <c r="C749" s="32" t="e">
        <f>VLOOKUP($A749,Register!$B$3:$E$1409,7,FALSE)</f>
        <v>#REF!</v>
      </c>
      <c r="D749" s="32" t="e">
        <f>VLOOKUP($A749,Register!$B$3:$E$1409,8,FALSE)</f>
        <v>#REF!</v>
      </c>
      <c r="E749" s="34" t="s">
        <v>148</v>
      </c>
    </row>
    <row r="750" spans="1:14" x14ac:dyDescent="0.25">
      <c r="A750" s="33" t="str" cm="1">
        <f t="array" ref="A750">IFERROR(INDEX(Register!$B$3:$B$1409,ROW(),0), "")</f>
        <v>Naismith Engineering &amp; Manufacturing Co P/L</v>
      </c>
      <c r="B750" s="32" t="e">
        <f>VLOOKUP($A750,Register!$B$3:$E$1409,6,FALSE)</f>
        <v>#REF!</v>
      </c>
      <c r="C750" s="32" t="e">
        <f>VLOOKUP($A750,Register!$B$3:$E$1409,7,FALSE)</f>
        <v>#REF!</v>
      </c>
      <c r="D750" s="32" t="e">
        <f>VLOOKUP($A750,Register!$B$3:$E$1409,8,FALSE)</f>
        <v>#REF!</v>
      </c>
      <c r="E750" s="34" t="s">
        <v>148</v>
      </c>
    </row>
    <row r="751" spans="1:14" x14ac:dyDescent="0.25">
      <c r="A751" s="33" t="str" cm="1">
        <f t="array" ref="A751">IFERROR(INDEX(Register!$B$3:$B$1409,ROW(),0), "")</f>
        <v>Nanotec Electronic GmbH &amp; Co. KG</v>
      </c>
      <c r="B751" s="32" t="e">
        <f>VLOOKUP($A751,Register!$B$3:$E$1409,6,FALSE)</f>
        <v>#REF!</v>
      </c>
      <c r="C751" s="32" t="e">
        <f>VLOOKUP($A751,Register!$B$3:$E$1409,7,FALSE)</f>
        <v>#REF!</v>
      </c>
      <c r="D751" s="32" t="e">
        <f>VLOOKUP($A751,Register!$B$3:$E$1409,8,FALSE)</f>
        <v>#REF!</v>
      </c>
      <c r="E751" s="34" t="s">
        <v>148</v>
      </c>
    </row>
    <row r="752" spans="1:14" x14ac:dyDescent="0.25">
      <c r="A752" s="33" t="str" cm="1">
        <f t="array" ref="A752">IFERROR(INDEX(Register!$B$3:$B$1409,ROW(),0), "")</f>
        <v>National Aperture Inc</v>
      </c>
      <c r="B752" s="32" t="e">
        <f>VLOOKUP($A752,Register!$B$3:$E$1409,6,FALSE)</f>
        <v>#REF!</v>
      </c>
      <c r="C752" s="32" t="e">
        <f>VLOOKUP($A752,Register!$B$3:$E$1409,7,FALSE)</f>
        <v>#REF!</v>
      </c>
      <c r="D752" s="32" t="e">
        <f>VLOOKUP($A752,Register!$B$3:$E$1409,8,FALSE)</f>
        <v>#REF!</v>
      </c>
      <c r="E752" s="34" t="s">
        <v>148</v>
      </c>
    </row>
    <row r="753" spans="1:7" x14ac:dyDescent="0.25">
      <c r="A753" s="33" t="str" cm="1">
        <f t="array" ref="A753">IFERROR(INDEX(Register!$B$3:$B$1409,ROW(),0), "")</f>
        <v>Nippon Pulse America Inc</v>
      </c>
      <c r="B753" s="32" t="e">
        <f>VLOOKUP($A753,Register!$B$3:$E$1409,6,FALSE)</f>
        <v>#REF!</v>
      </c>
      <c r="C753" s="32" t="e">
        <f>VLOOKUP($A753,Register!$B$3:$E$1409,7,FALSE)</f>
        <v>#REF!</v>
      </c>
      <c r="D753" s="32" t="e">
        <f>VLOOKUP($A753,Register!$B$3:$E$1409,8,FALSE)</f>
        <v>#REF!</v>
      </c>
      <c r="E753" s="34" t="s">
        <v>148</v>
      </c>
    </row>
    <row r="754" spans="1:7" x14ac:dyDescent="0.25">
      <c r="A754" s="33" t="str" cm="1">
        <f t="array" ref="A754">IFERROR(INDEX(Register!$B$3:$B$1409,ROW(),0), "")</f>
        <v>NMB Technologies Corporation</v>
      </c>
      <c r="B754" s="32" t="e">
        <f>VLOOKUP($A754,Register!$B$3:$E$1409,6,FALSE)</f>
        <v>#REF!</v>
      </c>
      <c r="C754" s="32" t="e">
        <f>VLOOKUP($A754,Register!$B$3:$E$1409,7,FALSE)</f>
        <v>#REF!</v>
      </c>
      <c r="D754" s="32" t="e">
        <f>VLOOKUP($A754,Register!$B$3:$E$1409,8,FALSE)</f>
        <v>#REF!</v>
      </c>
      <c r="E754" s="34" t="s">
        <v>148</v>
      </c>
    </row>
    <row r="755" spans="1:7" x14ac:dyDescent="0.25">
      <c r="A755" s="33" t="str" cm="1">
        <f t="array" ref="A755">IFERROR(INDEX(Register!$B$3:$B$1409,ROW(),0), "")</f>
        <v>Oriental Motor USA Corp.</v>
      </c>
      <c r="B755" s="32" t="e">
        <f>VLOOKUP($A755,Register!$B$3:$E$1409,6,FALSE)</f>
        <v>#REF!</v>
      </c>
      <c r="C755" s="32" t="e">
        <f>VLOOKUP($A755,Register!$B$3:$E$1409,7,FALSE)</f>
        <v>#REF!</v>
      </c>
      <c r="D755" s="32" t="e">
        <f>VLOOKUP($A755,Register!$B$3:$E$1409,8,FALSE)</f>
        <v>#REF!</v>
      </c>
      <c r="E755" s="34" t="s">
        <v>148</v>
      </c>
    </row>
    <row r="756" spans="1:7" x14ac:dyDescent="0.25">
      <c r="A756" s="33" t="str" cm="1">
        <f t="array" ref="A756">IFERROR(INDEX(Register!$B$3:$B$1409,ROW(),0), "")</f>
        <v>Power HD (HuiDa RC International Inc)</v>
      </c>
      <c r="B756" s="32" t="e">
        <f>VLOOKUP($A756,Register!$B$3:$E$1409,6,FALSE)</f>
        <v>#REF!</v>
      </c>
      <c r="C756" s="32" t="e">
        <f>VLOOKUP($A756,Register!$B$3:$E$1409,7,FALSE)</f>
        <v>#REF!</v>
      </c>
      <c r="D756" s="32" t="e">
        <f>VLOOKUP($A756,Register!$B$3:$E$1409,8,FALSE)</f>
        <v>#REF!</v>
      </c>
      <c r="E756" s="34" t="s">
        <v>148</v>
      </c>
    </row>
    <row r="757" spans="1:7" x14ac:dyDescent="0.25">
      <c r="A757" s="33" t="str" cm="1">
        <f t="array" ref="A757">IFERROR(INDEX(Register!$B$3:$B$1409,ROW(),0), "")</f>
        <v>Ruland Manufacturing Co</v>
      </c>
      <c r="B757" s="32" t="e">
        <f>VLOOKUP($A757,Register!$B$3:$E$1409,6,FALSE)</f>
        <v>#REF!</v>
      </c>
      <c r="C757" s="32" t="e">
        <f>VLOOKUP($A757,Register!$B$3:$E$1409,7,FALSE)</f>
        <v>#REF!</v>
      </c>
      <c r="D757" s="32" t="e">
        <f>VLOOKUP($A757,Register!$B$3:$E$1409,8,FALSE)</f>
        <v>#REF!</v>
      </c>
      <c r="E757" s="34" t="s">
        <v>2008</v>
      </c>
      <c r="F757" s="34" t="s">
        <v>5320</v>
      </c>
      <c r="G757" s="34" t="s">
        <v>716</v>
      </c>
    </row>
    <row r="758" spans="1:7" x14ac:dyDescent="0.25">
      <c r="A758" s="33" t="str" cm="1">
        <f t="array" ref="A758">IFERROR(INDEX(Register!$B$3:$B$1409,ROW(),0), "")</f>
        <v>Rydell Beltech Pty Ltd</v>
      </c>
      <c r="B758" s="32" t="e">
        <f>VLOOKUP($A758,Register!$B$3:$E$1409,6,FALSE)</f>
        <v>#REF!</v>
      </c>
      <c r="C758" s="32" t="e">
        <f>VLOOKUP($A758,Register!$B$3:$E$1409,7,FALSE)</f>
        <v>#REF!</v>
      </c>
      <c r="D758" s="32" t="e">
        <f>VLOOKUP($A758,Register!$B$3:$E$1409,8,FALSE)</f>
        <v>#REF!</v>
      </c>
      <c r="E758" s="34" t="s">
        <v>148</v>
      </c>
    </row>
    <row r="759" spans="1:7" x14ac:dyDescent="0.25">
      <c r="A759" s="33" t="str" cm="1">
        <f t="array" ref="A759">IFERROR(INDEX(Register!$B$3:$B$1409,ROW(),0), "")</f>
        <v>Statewide Linear Bearings (Partout Pty Ltd)</v>
      </c>
      <c r="B759" s="32" t="e">
        <f>VLOOKUP($A759,Register!$B$3:$E$1409,6,FALSE)</f>
        <v>#REF!</v>
      </c>
      <c r="C759" s="32" t="e">
        <f>VLOOKUP($A759,Register!$B$3:$E$1409,7,FALSE)</f>
        <v>#REF!</v>
      </c>
      <c r="D759" s="32" t="e">
        <f>VLOOKUP($A759,Register!$B$3:$E$1409,8,FALSE)</f>
        <v>#REF!</v>
      </c>
      <c r="E759" s="34" t="s">
        <v>148</v>
      </c>
    </row>
    <row r="760" spans="1:7" x14ac:dyDescent="0.25">
      <c r="A760" s="33" t="str" cm="1">
        <f t="array" ref="A760">IFERROR(INDEX(Register!$B$3:$B$1409,ROW(),0), "")</f>
        <v>York Industries Inc</v>
      </c>
      <c r="B760" s="32" t="e">
        <f>VLOOKUP($A760,Register!$B$3:$E$1409,6,FALSE)</f>
        <v>#REF!</v>
      </c>
      <c r="C760" s="32" t="e">
        <f>VLOOKUP($A760,Register!$B$3:$E$1409,7,FALSE)</f>
        <v>#REF!</v>
      </c>
      <c r="D760" s="32" t="e">
        <f>VLOOKUP($A760,Register!$B$3:$E$1409,8,FALSE)</f>
        <v>#REF!</v>
      </c>
      <c r="E760" s="34" t="s">
        <v>5164</v>
      </c>
    </row>
    <row r="761" spans="1:7" x14ac:dyDescent="0.25">
      <c r="A761" s="33" t="str" cm="1">
        <f t="array" ref="A761">IFERROR(INDEX(Register!$B$3:$B$1409,ROW(),0), "")</f>
        <v>Zaber Technologies Inc</v>
      </c>
      <c r="B761" s="32" t="e">
        <f>VLOOKUP($A761,Register!$B$3:$E$1409,6,FALSE)</f>
        <v>#REF!</v>
      </c>
      <c r="C761" s="32" t="e">
        <f>VLOOKUP($A761,Register!$B$3:$E$1409,7,FALSE)</f>
        <v>#REF!</v>
      </c>
      <c r="D761" s="32" t="e">
        <f>VLOOKUP($A761,Register!$B$3:$E$1409,8,FALSE)</f>
        <v>#REF!</v>
      </c>
      <c r="E761" s="34" t="s">
        <v>148</v>
      </c>
    </row>
    <row r="762" spans="1:7" x14ac:dyDescent="0.25">
      <c r="A762" s="33" t="str" cm="1">
        <f t="array" ref="A762">IFERROR(INDEX(Register!$B$3:$B$1409,ROW(),0), "")</f>
        <v>Pies Australia Pty Ltd</v>
      </c>
      <c r="B762" s="32" t="e">
        <f>VLOOKUP($A762,Register!$B$3:$E$1409,6,FALSE)</f>
        <v>#REF!</v>
      </c>
      <c r="C762" s="32" t="e">
        <f>VLOOKUP($A762,Register!$B$3:$E$1409,7,FALSE)</f>
        <v>#REF!</v>
      </c>
      <c r="D762" s="32" t="e">
        <f>VLOOKUP($A762,Register!$B$3:$E$1409,8,FALSE)</f>
        <v>#REF!</v>
      </c>
      <c r="E762" s="34" t="s">
        <v>5317</v>
      </c>
      <c r="F762" s="34" t="s">
        <v>5318</v>
      </c>
      <c r="G762" s="34" t="s">
        <v>716</v>
      </c>
    </row>
    <row r="763" spans="1:7" x14ac:dyDescent="0.25">
      <c r="A763" s="33" t="str" cm="1">
        <f t="array" ref="A763">IFERROR(INDEX(Register!$B$3:$B$1409,ROW(),0), "")</f>
        <v>Reliance Precision Australia (Mitchell Services)</v>
      </c>
      <c r="B763" s="32" t="e">
        <f>VLOOKUP($A763,Register!$B$3:$E$1409,6,FALSE)</f>
        <v>#REF!</v>
      </c>
      <c r="C763" s="32" t="e">
        <f>VLOOKUP($A763,Register!$B$3:$E$1409,7,FALSE)</f>
        <v>#REF!</v>
      </c>
      <c r="D763" s="32" t="e">
        <f>VLOOKUP($A763,Register!$B$3:$E$1409,8,FALSE)</f>
        <v>#REF!</v>
      </c>
      <c r="E763" s="34" t="s">
        <v>148</v>
      </c>
    </row>
    <row r="764" spans="1:7" x14ac:dyDescent="0.25">
      <c r="A764" s="33" t="str" cm="1">
        <f t="array" ref="A764">IFERROR(INDEX(Register!$B$3:$B$1409,ROW(),0), "")</f>
        <v>Koge Micro Tech Co., Ltd</v>
      </c>
      <c r="B764" s="32" t="e">
        <f>VLOOKUP($A764,Register!$B$3:$E$1409,6,FALSE)</f>
        <v>#REF!</v>
      </c>
      <c r="C764" s="32" t="e">
        <f>VLOOKUP($A764,Register!$B$3:$E$1409,7,FALSE)</f>
        <v>#REF!</v>
      </c>
      <c r="D764" s="32" t="e">
        <f>VLOOKUP($A764,Register!$B$3:$E$1409,8,FALSE)</f>
        <v>#REF!</v>
      </c>
      <c r="E764" s="34" t="s">
        <v>5230</v>
      </c>
    </row>
    <row r="765" spans="1:7" x14ac:dyDescent="0.25">
      <c r="A765" s="33" t="str" cm="1">
        <f t="array" ref="A765">IFERROR(INDEX(Register!$B$3:$B$1409,ROW(),0), "")</f>
        <v>NSF Controls Ltd</v>
      </c>
      <c r="B765" s="32" t="e">
        <f>VLOOKUP($A765,Register!$B$3:$E$1409,6,FALSE)</f>
        <v>#REF!</v>
      </c>
      <c r="C765" s="32" t="e">
        <f>VLOOKUP($A765,Register!$B$3:$E$1409,7,FALSE)</f>
        <v>#REF!</v>
      </c>
      <c r="D765" s="32" t="e">
        <f>VLOOKUP($A765,Register!$B$3:$E$1409,8,FALSE)</f>
        <v>#REF!</v>
      </c>
      <c r="E765" s="34" t="s">
        <v>148</v>
      </c>
    </row>
    <row r="766" spans="1:7" x14ac:dyDescent="0.25">
      <c r="A766" s="33" t="str" cm="1">
        <f t="array" ref="A766">IFERROR(INDEX(Register!$B$3:$B$1409,ROW(),0), "")</f>
        <v>Precision Microdrives Limited</v>
      </c>
      <c r="B766" s="32" t="e">
        <f>VLOOKUP($A766,Register!$B$3:$E$1409,6,FALSE)</f>
        <v>#REF!</v>
      </c>
      <c r="C766" s="32" t="e">
        <f>VLOOKUP($A766,Register!$B$3:$E$1409,7,FALSE)</f>
        <v>#REF!</v>
      </c>
      <c r="D766" s="32" t="e">
        <f>VLOOKUP($A766,Register!$B$3:$E$1409,8,FALSE)</f>
        <v>#REF!</v>
      </c>
      <c r="E766" s="34" t="s">
        <v>148</v>
      </c>
    </row>
    <row r="767" spans="1:7" x14ac:dyDescent="0.25">
      <c r="A767" s="33" t="str" cm="1">
        <f t="array" ref="A767">IFERROR(INDEX(Register!$B$3:$B$1409,ROW(),0), "")</f>
        <v>MAXON MOTORS</v>
      </c>
      <c r="B767" s="32" t="e">
        <f>VLOOKUP($A767,Register!$B$3:$E$1409,6,FALSE)</f>
        <v>#REF!</v>
      </c>
      <c r="C767" s="32" t="e">
        <f>VLOOKUP($A767,Register!$B$3:$E$1409,7,FALSE)</f>
        <v>#REF!</v>
      </c>
      <c r="D767" s="32" t="e">
        <f>VLOOKUP($A767,Register!$B$3:$E$1409,8,FALSE)</f>
        <v>#REF!</v>
      </c>
      <c r="E767" s="34" t="s">
        <v>148</v>
      </c>
    </row>
    <row r="768" spans="1:7" x14ac:dyDescent="0.25">
      <c r="A768" s="33" t="str" cm="1">
        <f t="array" ref="A768">IFERROR(INDEX(Register!$B$3:$B$1409,ROW(),0), "")</f>
        <v>Shenzhen City Aoyuxiang Electronic Technology Co Ltd</v>
      </c>
      <c r="B768" s="32" t="e">
        <f>VLOOKUP($A768,Register!$B$3:$E$1409,6,FALSE)</f>
        <v>#REF!</v>
      </c>
      <c r="C768" s="32" t="e">
        <f>VLOOKUP($A768,Register!$B$3:$E$1409,7,FALSE)</f>
        <v>#REF!</v>
      </c>
      <c r="D768" s="32" t="e">
        <f>VLOOKUP($A768,Register!$B$3:$E$1409,8,FALSE)</f>
        <v>#REF!</v>
      </c>
      <c r="E768" s="34" t="s">
        <v>148</v>
      </c>
    </row>
    <row r="769" spans="1:7" x14ac:dyDescent="0.25">
      <c r="A769" s="33" t="str" cm="1">
        <f t="array" ref="A769">IFERROR(INDEX(Register!$B$3:$B$1409,ROW(),0), "")</f>
        <v>Melbourne Centre for Nanofabrication (MCN)</v>
      </c>
      <c r="B769" s="32" t="e">
        <f>VLOOKUP($A769,Register!$B$3:$E$1409,6,FALSE)</f>
        <v>#REF!</v>
      </c>
      <c r="C769" s="32" t="e">
        <f>VLOOKUP($A769,Register!$B$3:$E$1409,7,FALSE)</f>
        <v>#REF!</v>
      </c>
      <c r="D769" s="32" t="e">
        <f>VLOOKUP($A769,Register!$B$3:$E$1409,8,FALSE)</f>
        <v>#REF!</v>
      </c>
      <c r="E769" s="34" t="s">
        <v>148</v>
      </c>
    </row>
    <row r="770" spans="1:7" x14ac:dyDescent="0.25">
      <c r="A770" s="33" t="str" cm="1">
        <f t="array" ref="A770">IFERROR(INDEX(Register!$B$3:$B$1409,ROW(),0), "")</f>
        <v>TechNet Partners Inc.</v>
      </c>
      <c r="B770" s="32" t="e">
        <f>VLOOKUP($A770,Register!$B$3:$E$1409,6,FALSE)</f>
        <v>#REF!</v>
      </c>
      <c r="C770" s="32" t="e">
        <f>VLOOKUP($A770,Register!$B$3:$E$1409,7,FALSE)</f>
        <v>#REF!</v>
      </c>
      <c r="D770" s="32" t="e">
        <f>VLOOKUP($A770,Register!$B$3:$E$1409,8,FALSE)</f>
        <v>#REF!</v>
      </c>
      <c r="E770" s="34" t="s">
        <v>148</v>
      </c>
    </row>
    <row r="771" spans="1:7" x14ac:dyDescent="0.25">
      <c r="A771" s="33" t="str" cm="1">
        <f t="array" ref="A771">IFERROR(INDEX(Register!$B$3:$B$1409,ROW(),0), "")</f>
        <v>BBI - BEAU BUREAUX INTERIORS</v>
      </c>
      <c r="B771" s="32" t="e">
        <f>VLOOKUP($A771,Register!$B$3:$E$1409,6,FALSE)</f>
        <v>#REF!</v>
      </c>
      <c r="C771" s="32" t="e">
        <f>VLOOKUP($A771,Register!$B$3:$E$1409,7,FALSE)</f>
        <v>#REF!</v>
      </c>
      <c r="D771" s="32" t="e">
        <f>VLOOKUP($A771,Register!$B$3:$E$1409,8,FALSE)</f>
        <v>#REF!</v>
      </c>
      <c r="E771" s="34" t="s">
        <v>148</v>
      </c>
    </row>
    <row r="772" spans="1:7" x14ac:dyDescent="0.25">
      <c r="A772" s="33" t="str" cm="1">
        <f t="array" ref="A772">IFERROR(INDEX(Register!$B$3:$B$1409,ROW(),0), "")</f>
        <v>Innovative Office Products, LLC</v>
      </c>
      <c r="B772" s="32" t="e">
        <f>VLOOKUP($A772,Register!$B$3:$E$1409,6,FALSE)</f>
        <v>#REF!</v>
      </c>
      <c r="C772" s="32" t="e">
        <f>VLOOKUP($A772,Register!$B$3:$E$1409,7,FALSE)</f>
        <v>#REF!</v>
      </c>
      <c r="D772" s="32" t="e">
        <f>VLOOKUP($A772,Register!$B$3:$E$1409,8,FALSE)</f>
        <v>#REF!</v>
      </c>
      <c r="E772" s="34" t="s">
        <v>5329</v>
      </c>
    </row>
    <row r="773" spans="1:7" x14ac:dyDescent="0.25">
      <c r="A773" s="33" t="str" cm="1">
        <f t="array" ref="A773">IFERROR(INDEX(Register!$B$3:$B$1409,ROW(),0), "")</f>
        <v>OFFICE DEPOT</v>
      </c>
      <c r="B773" s="32" t="e">
        <f>VLOOKUP($A773,Register!$B$3:$E$1409,6,FALSE)</f>
        <v>#REF!</v>
      </c>
      <c r="C773" s="32" t="e">
        <f>VLOOKUP($A773,Register!$B$3:$E$1409,7,FALSE)</f>
        <v>#REF!</v>
      </c>
      <c r="D773" s="32" t="e">
        <f>VLOOKUP($A773,Register!$B$3:$E$1409,8,FALSE)</f>
        <v>#REF!</v>
      </c>
      <c r="E773" s="34" t="s">
        <v>148</v>
      </c>
    </row>
    <row r="774" spans="1:7" x14ac:dyDescent="0.25">
      <c r="A774" s="33" t="str" cm="1">
        <f t="array" ref="A774">IFERROR(INDEX(Register!$B$3:$B$1409,ROW(),0), "")</f>
        <v>Australian Printer Services Pty Ltd</v>
      </c>
      <c r="B774" s="32" t="e">
        <f>VLOOKUP($A774,Register!$B$3:$E$1409,6,FALSE)</f>
        <v>#REF!</v>
      </c>
      <c r="C774" s="32" t="e">
        <f>VLOOKUP($A774,Register!$B$3:$E$1409,7,FALSE)</f>
        <v>#REF!</v>
      </c>
      <c r="D774" s="32" t="e">
        <f>VLOOKUP($A774,Register!$B$3:$E$1409,8,FALSE)</f>
        <v>#REF!</v>
      </c>
      <c r="E774" s="34" t="s">
        <v>148</v>
      </c>
    </row>
    <row r="775" spans="1:7" x14ac:dyDescent="0.25">
      <c r="A775" s="33" t="str" cm="1">
        <f t="array" ref="A775">IFERROR(INDEX(Register!$B$3:$B$1409,ROW(),0), "")</f>
        <v>CFM -Cabinet and Furniture Manufacturers Pty Ltd</v>
      </c>
      <c r="B775" s="32" t="e">
        <f>VLOOKUP($A775,Register!$B$3:$E$1409,6,FALSE)</f>
        <v>#REF!</v>
      </c>
      <c r="C775" s="32" t="e">
        <f>VLOOKUP($A775,Register!$B$3:$E$1409,7,FALSE)</f>
        <v>#REF!</v>
      </c>
      <c r="D775" s="32" t="e">
        <f>VLOOKUP($A775,Register!$B$3:$E$1409,8,FALSE)</f>
        <v>#REF!</v>
      </c>
      <c r="E775" s="34" t="s">
        <v>3048</v>
      </c>
    </row>
    <row r="776" spans="1:7" x14ac:dyDescent="0.25">
      <c r="A776" s="33" t="str" cm="1">
        <f t="array" ref="A776">IFERROR(INDEX(Register!$B$3:$B$1409,ROW(),0), "")</f>
        <v>Cheap Chips (Gaiton Pty Ltd)</v>
      </c>
      <c r="B776" s="32" t="e">
        <f>VLOOKUP($A776,Register!$B$3:$E$1409,6,FALSE)</f>
        <v>#REF!</v>
      </c>
      <c r="C776" s="32" t="e">
        <f>VLOOKUP($A776,Register!$B$3:$E$1409,7,FALSE)</f>
        <v>#REF!</v>
      </c>
      <c r="D776" s="32" t="e">
        <f>VLOOKUP($A776,Register!$B$3:$E$1409,8,FALSE)</f>
        <v>#REF!</v>
      </c>
      <c r="E776" s="34" t="s">
        <v>5330</v>
      </c>
      <c r="F776" s="34" t="s">
        <v>5331</v>
      </c>
      <c r="G776" s="34" t="s">
        <v>5332</v>
      </c>
    </row>
    <row r="777" spans="1:7" x14ac:dyDescent="0.25">
      <c r="A777" s="33" t="str" cm="1">
        <f t="array" ref="A777">IFERROR(INDEX(Register!$B$3:$B$1409,ROW(),0), "")</f>
        <v>Implant Media</v>
      </c>
      <c r="B777" s="32" t="e">
        <f>VLOOKUP($A777,Register!$B$3:$E$1409,6,FALSE)</f>
        <v>#REF!</v>
      </c>
      <c r="C777" s="32" t="e">
        <f>VLOOKUP($A777,Register!$B$3:$E$1409,7,FALSE)</f>
        <v>#REF!</v>
      </c>
      <c r="D777" s="32" t="e">
        <f>VLOOKUP($A777,Register!$B$3:$E$1409,8,FALSE)</f>
        <v>#REF!</v>
      </c>
      <c r="E777" s="34" t="s">
        <v>148</v>
      </c>
    </row>
    <row r="778" spans="1:7" x14ac:dyDescent="0.25">
      <c r="A778" s="33" t="str" cm="1">
        <f t="array" ref="A778">IFERROR(INDEX(Register!$B$3:$B$1409,ROW(),0), "")</f>
        <v>Officeworks</v>
      </c>
      <c r="B778" s="32" t="e">
        <f>VLOOKUP($A778,Register!$B$3:$E$1409,6,FALSE)</f>
        <v>#REF!</v>
      </c>
      <c r="C778" s="32" t="e">
        <f>VLOOKUP($A778,Register!$B$3:$E$1409,7,FALSE)</f>
        <v>#REF!</v>
      </c>
      <c r="D778" s="32" t="e">
        <f>VLOOKUP($A778,Register!$B$3:$E$1409,8,FALSE)</f>
        <v>#REF!</v>
      </c>
      <c r="E778" s="34" t="s">
        <v>148</v>
      </c>
    </row>
    <row r="779" spans="1:7" x14ac:dyDescent="0.25">
      <c r="A779" s="33" t="str" cm="1">
        <f t="array" ref="A779">IFERROR(INDEX(Register!$B$3:$B$1409,ROW(),0), "")</f>
        <v>STAMP CONNECTIONS.COM</v>
      </c>
      <c r="B779" s="32" t="e">
        <f>VLOOKUP($A779,Register!$B$3:$E$1409,6,FALSE)</f>
        <v>#REF!</v>
      </c>
      <c r="C779" s="32" t="e">
        <f>VLOOKUP($A779,Register!$B$3:$E$1409,7,FALSE)</f>
        <v>#REF!</v>
      </c>
      <c r="D779" s="32" t="e">
        <f>VLOOKUP($A779,Register!$B$3:$E$1409,8,FALSE)</f>
        <v>#REF!</v>
      </c>
      <c r="E779" s="34" t="s">
        <v>5333</v>
      </c>
    </row>
    <row r="780" spans="1:7" x14ac:dyDescent="0.25">
      <c r="A780" s="33" t="str" cm="1">
        <f t="array" ref="A780">IFERROR(INDEX(Register!$B$3:$B$1409,ROW(),0), "")</f>
        <v>PTOUCHDIRECT.COM</v>
      </c>
      <c r="B780" s="32" t="e">
        <f>VLOOKUP($A780,Register!$B$3:$E$1409,6,FALSE)</f>
        <v>#REF!</v>
      </c>
      <c r="C780" s="32" t="e">
        <f>VLOOKUP($A780,Register!$B$3:$E$1409,7,FALSE)</f>
        <v>#REF!</v>
      </c>
      <c r="D780" s="32" t="e">
        <f>VLOOKUP($A780,Register!$B$3:$E$1409,8,FALSE)</f>
        <v>#REF!</v>
      </c>
      <c r="E780" s="34" t="s">
        <v>148</v>
      </c>
    </row>
    <row r="781" spans="1:7" x14ac:dyDescent="0.25">
      <c r="A781" s="33" t="str" cm="1">
        <f t="array" ref="A781">IFERROR(INDEX(Register!$B$3:$B$1409,ROW(),0), "")</f>
        <v>Heritage Window Coverings</v>
      </c>
      <c r="B781" s="32" t="e">
        <f>VLOOKUP($A781,Register!$B$3:$E$1409,6,FALSE)</f>
        <v>#REF!</v>
      </c>
      <c r="C781" s="32" t="e">
        <f>VLOOKUP($A781,Register!$B$3:$E$1409,7,FALSE)</f>
        <v>#REF!</v>
      </c>
      <c r="D781" s="32" t="e">
        <f>VLOOKUP($A781,Register!$B$3:$E$1409,8,FALSE)</f>
        <v>#REF!</v>
      </c>
      <c r="E781" s="34" t="s">
        <v>148</v>
      </c>
    </row>
    <row r="782" spans="1:7" x14ac:dyDescent="0.25">
      <c r="A782" s="33" t="str" cm="1">
        <f t="array" ref="A782">IFERROR(INDEX(Register!$B$3:$B$1409,ROW(),0), "")</f>
        <v>VALUEMANDER Inc.</v>
      </c>
      <c r="B782" s="32" t="e">
        <f>VLOOKUP($A782,Register!$B$3:$E$1409,6,FALSE)</f>
        <v>#REF!</v>
      </c>
      <c r="C782" s="32" t="e">
        <f>VLOOKUP($A782,Register!$B$3:$E$1409,7,FALSE)</f>
        <v>#REF!</v>
      </c>
      <c r="D782" s="32" t="e">
        <f>VLOOKUP($A782,Register!$B$3:$E$1409,8,FALSE)</f>
        <v>#REF!</v>
      </c>
      <c r="E782" s="34" t="s">
        <v>5334</v>
      </c>
    </row>
    <row r="783" spans="1:7" x14ac:dyDescent="0.25">
      <c r="A783" s="33" t="str" cm="1">
        <f t="array" ref="A783">IFERROR(INDEX(Register!$B$3:$B$1409,ROW(),0), "")</f>
        <v>Green Monster Pest &amp; Bldg Services</v>
      </c>
      <c r="B783" s="32" t="e">
        <f>VLOOKUP($A783,Register!$B$3:$E$1409,6,FALSE)</f>
        <v>#REF!</v>
      </c>
      <c r="C783" s="32" t="e">
        <f>VLOOKUP($A783,Register!$B$3:$E$1409,7,FALSE)</f>
        <v>#REF!</v>
      </c>
      <c r="D783" s="32" t="e">
        <f>VLOOKUP($A783,Register!$B$3:$E$1409,8,FALSE)</f>
        <v>#REF!</v>
      </c>
      <c r="E783" s="34" t="s">
        <v>148</v>
      </c>
    </row>
    <row r="784" spans="1:7" x14ac:dyDescent="0.25">
      <c r="A784" s="33" t="str" cm="1">
        <f t="array" ref="A784">IFERROR(INDEX(Register!$B$3:$B$1409,ROW(),0), "")</f>
        <v>Roller Indutries Inc.</v>
      </c>
      <c r="B784" s="32" t="e">
        <f>VLOOKUP($A784,Register!$B$3:$E$1409,6,FALSE)</f>
        <v>#REF!</v>
      </c>
      <c r="C784" s="32" t="e">
        <f>VLOOKUP($A784,Register!$B$3:$E$1409,7,FALSE)</f>
        <v>#REF!</v>
      </c>
      <c r="D784" s="32" t="e">
        <f>VLOOKUP($A784,Register!$B$3:$E$1409,8,FALSE)</f>
        <v>#REF!</v>
      </c>
      <c r="E784" s="34" t="s">
        <v>148</v>
      </c>
    </row>
    <row r="785" spans="1:8" x14ac:dyDescent="0.25">
      <c r="A785" s="33" t="str" cm="1">
        <f t="array" ref="A785">IFERROR(INDEX(Register!$B$3:$B$1409,ROW(),0), "")</f>
        <v>Costco Business Center</v>
      </c>
      <c r="B785" s="32" t="e">
        <f>VLOOKUP($A785,Register!$B$3:$E$1409,6,FALSE)</f>
        <v>#REF!</v>
      </c>
      <c r="C785" s="32" t="e">
        <f>VLOOKUP($A785,Register!$B$3:$E$1409,7,FALSE)</f>
        <v>#REF!</v>
      </c>
      <c r="D785" s="32" t="e">
        <f>VLOOKUP($A785,Register!$B$3:$E$1409,8,FALSE)</f>
        <v>#REF!</v>
      </c>
      <c r="E785" s="34" t="s">
        <v>148</v>
      </c>
    </row>
    <row r="786" spans="1:8" x14ac:dyDescent="0.25">
      <c r="A786" s="33" t="str" cm="1">
        <f t="array" ref="A786">IFERROR(INDEX(Register!$B$3:$B$1409,ROW(),0), "")</f>
        <v>HOME DEPOT</v>
      </c>
      <c r="B786" s="32" t="e">
        <f>VLOOKUP($A786,Register!$B$3:$E$1409,6,FALSE)</f>
        <v>#REF!</v>
      </c>
      <c r="C786" s="32" t="e">
        <f>VLOOKUP($A786,Register!$B$3:$E$1409,7,FALSE)</f>
        <v>#REF!</v>
      </c>
      <c r="D786" s="32" t="e">
        <f>VLOOKUP($A786,Register!$B$3:$E$1409,8,FALSE)</f>
        <v>#REF!</v>
      </c>
      <c r="E786" s="34" t="s">
        <v>148</v>
      </c>
    </row>
    <row r="787" spans="1:8" x14ac:dyDescent="0.25">
      <c r="A787" s="33" t="str" cm="1">
        <f t="array" ref="A787">IFERROR(INDEX(Register!$B$3:$B$1409,ROW(),0), "")</f>
        <v>Livingstone International Pty Ltd</v>
      </c>
      <c r="B787" s="32" t="e">
        <f>VLOOKUP($A787,Register!$B$3:$E$1409,6,FALSE)</f>
        <v>#REF!</v>
      </c>
      <c r="C787" s="32" t="e">
        <f>VLOOKUP($A787,Register!$B$3:$E$1409,7,FALSE)</f>
        <v>#REF!</v>
      </c>
      <c r="D787" s="32" t="e">
        <f>VLOOKUP($A787,Register!$B$3:$E$1409,8,FALSE)</f>
        <v>#REF!</v>
      </c>
      <c r="E787" s="34" t="s">
        <v>148</v>
      </c>
    </row>
    <row r="788" spans="1:8" x14ac:dyDescent="0.25">
      <c r="A788" s="33" t="str" cm="1">
        <f t="array" ref="A788">IFERROR(INDEX(Register!$B$3:$B$1409,ROW(),0), "")</f>
        <v>OMC Corporation Limited</v>
      </c>
      <c r="B788" s="32" t="e">
        <f>VLOOKUP($A788,Register!$B$3:$E$1409,6,FALSE)</f>
        <v>#REF!</v>
      </c>
      <c r="C788" s="32" t="e">
        <f>VLOOKUP($A788,Register!$B$3:$E$1409,7,FALSE)</f>
        <v>#REF!</v>
      </c>
      <c r="D788" s="32" t="e">
        <f>VLOOKUP($A788,Register!$B$3:$E$1409,8,FALSE)</f>
        <v>#REF!</v>
      </c>
      <c r="E788" s="34" t="s">
        <v>5335</v>
      </c>
      <c r="F788" s="34" t="s">
        <v>5336</v>
      </c>
      <c r="G788" s="34" t="s">
        <v>5337</v>
      </c>
      <c r="H788" s="34" t="s">
        <v>5338</v>
      </c>
    </row>
    <row r="789" spans="1:8" x14ac:dyDescent="0.25">
      <c r="A789" s="33" t="str" cm="1">
        <f t="array" ref="A789">IFERROR(INDEX(Register!$B$3:$B$1409,ROW(),0), "")</f>
        <v>UDEMY</v>
      </c>
      <c r="B789" s="32" t="e">
        <f>VLOOKUP($A789,Register!$B$3:$E$1409,6,FALSE)</f>
        <v>#REF!</v>
      </c>
      <c r="C789" s="32" t="e">
        <f>VLOOKUP($A789,Register!$B$3:$E$1409,7,FALSE)</f>
        <v>#REF!</v>
      </c>
      <c r="D789" s="32" t="e">
        <f>VLOOKUP($A789,Register!$B$3:$E$1409,8,FALSE)</f>
        <v>#REF!</v>
      </c>
      <c r="E789" s="34" t="s">
        <v>148</v>
      </c>
    </row>
    <row r="790" spans="1:8" x14ac:dyDescent="0.25">
      <c r="A790" s="33" t="str" cm="1">
        <f t="array" ref="A790">IFERROR(INDEX(Register!$B$3:$B$1409,ROW(),0), "")</f>
        <v>Alluxa Inc</v>
      </c>
      <c r="B790" s="32" t="e">
        <f>VLOOKUP($A790,Register!$B$3:$E$1409,6,FALSE)</f>
        <v>#REF!</v>
      </c>
      <c r="C790" s="32" t="e">
        <f>VLOOKUP($A790,Register!$B$3:$E$1409,7,FALSE)</f>
        <v>#REF!</v>
      </c>
      <c r="D790" s="32" t="e">
        <f>VLOOKUP($A790,Register!$B$3:$E$1409,8,FALSE)</f>
        <v>#REF!</v>
      </c>
      <c r="E790" s="34" t="s">
        <v>148</v>
      </c>
    </row>
    <row r="791" spans="1:8" x14ac:dyDescent="0.25">
      <c r="A791" s="33" t="str" cm="1">
        <f t="array" ref="A791">IFERROR(INDEX(Register!$B$3:$B$1409,ROW(),0), "")</f>
        <v>Aunet Pty Ltd (DinoLite)</v>
      </c>
      <c r="B791" s="32" t="e">
        <f>VLOOKUP($A791,Register!$B$3:$E$1409,6,FALSE)</f>
        <v>#REF!</v>
      </c>
      <c r="C791" s="32" t="e">
        <f>VLOOKUP($A791,Register!$B$3:$E$1409,7,FALSE)</f>
        <v>#REF!</v>
      </c>
      <c r="D791" s="32" t="e">
        <f>VLOOKUP($A791,Register!$B$3:$E$1409,8,FALSE)</f>
        <v>#REF!</v>
      </c>
      <c r="E791" s="34" t="s">
        <v>148</v>
      </c>
    </row>
    <row r="792" spans="1:8" x14ac:dyDescent="0.25">
      <c r="A792" s="33" t="str" cm="1">
        <f t="array" ref="A792">IFERROR(INDEX(Register!$B$3:$B$1409,ROW(),0), "")</f>
        <v>CVI LASER OPTICS</v>
      </c>
      <c r="B792" s="32" t="e">
        <f>VLOOKUP($A792,Register!$B$3:$E$1409,6,FALSE)</f>
        <v>#REF!</v>
      </c>
      <c r="C792" s="32" t="e">
        <f>VLOOKUP($A792,Register!$B$3:$E$1409,7,FALSE)</f>
        <v>#REF!</v>
      </c>
      <c r="D792" s="32" t="e">
        <f>VLOOKUP($A792,Register!$B$3:$E$1409,8,FALSE)</f>
        <v>#REF!</v>
      </c>
      <c r="E792" s="34" t="s">
        <v>148</v>
      </c>
    </row>
    <row r="793" spans="1:8" x14ac:dyDescent="0.25">
      <c r="A793" s="33" t="str" cm="1">
        <f t="array" ref="A793">IFERROR(INDEX(Register!$B$3:$B$1409,ROW(),0), "")</f>
        <v>Emgrid Australia</v>
      </c>
      <c r="B793" s="32" t="e">
        <f>VLOOKUP($A793,Register!$B$3:$E$1409,6,FALSE)</f>
        <v>#REF!</v>
      </c>
      <c r="C793" s="32" t="e">
        <f>VLOOKUP($A793,Register!$B$3:$E$1409,7,FALSE)</f>
        <v>#REF!</v>
      </c>
      <c r="D793" s="32" t="e">
        <f>VLOOKUP($A793,Register!$B$3:$E$1409,8,FALSE)</f>
        <v>#REF!</v>
      </c>
      <c r="E793" s="34" t="s">
        <v>148</v>
      </c>
    </row>
    <row r="794" spans="1:8" x14ac:dyDescent="0.25">
      <c r="A794" s="33" t="str" cm="1">
        <f t="array" ref="A794">IFERROR(INDEX(Register!$B$3:$B$1409,ROW(),0), "")</f>
        <v>Evident Australia</v>
      </c>
      <c r="B794" s="32" t="e">
        <f>VLOOKUP($A794,Register!$B$3:$E$1409,6,FALSE)</f>
        <v>#REF!</v>
      </c>
      <c r="C794" s="32" t="e">
        <f>VLOOKUP($A794,Register!$B$3:$E$1409,7,FALSE)</f>
        <v>#REF!</v>
      </c>
      <c r="D794" s="32" t="e">
        <f>VLOOKUP($A794,Register!$B$3:$E$1409,8,FALSE)</f>
        <v>#REF!</v>
      </c>
      <c r="E794" s="34" t="s">
        <v>148</v>
      </c>
    </row>
    <row r="795" spans="1:8" x14ac:dyDescent="0.25">
      <c r="A795" s="33" t="str" cm="1">
        <f t="array" ref="A795">IFERROR(INDEX(Register!$B$3:$B$1409,ROW(),0), "")</f>
        <v>Gould Fibre Optics</v>
      </c>
      <c r="B795" s="32" t="e">
        <f>VLOOKUP($A795,Register!$B$3:$E$1409,6,FALSE)</f>
        <v>#REF!</v>
      </c>
      <c r="C795" s="32" t="e">
        <f>VLOOKUP($A795,Register!$B$3:$E$1409,7,FALSE)</f>
        <v>#REF!</v>
      </c>
      <c r="D795" s="32" t="e">
        <f>VLOOKUP($A795,Register!$B$3:$E$1409,8,FALSE)</f>
        <v>#REF!</v>
      </c>
      <c r="E795" s="34" t="s">
        <v>148</v>
      </c>
    </row>
    <row r="796" spans="1:8" x14ac:dyDescent="0.25">
      <c r="A796" s="33" t="str" cm="1">
        <f t="array" ref="A796">IFERROR(INDEX(Register!$B$3:$B$1409,ROW(),0), "")</f>
        <v>LABSPHERE</v>
      </c>
      <c r="B796" s="32" t="e">
        <f>VLOOKUP($A796,Register!$B$3:$E$1409,6,FALSE)</f>
        <v>#REF!</v>
      </c>
      <c r="C796" s="32" t="e">
        <f>VLOOKUP($A796,Register!$B$3:$E$1409,7,FALSE)</f>
        <v>#REF!</v>
      </c>
      <c r="D796" s="32" t="e">
        <f>VLOOKUP($A796,Register!$B$3:$E$1409,8,FALSE)</f>
        <v>#REF!</v>
      </c>
      <c r="E796" s="34" t="s">
        <v>148</v>
      </c>
    </row>
    <row r="797" spans="1:8" x14ac:dyDescent="0.25">
      <c r="A797" s="33" t="str" cm="1">
        <f t="array" ref="A797">IFERROR(INDEX(Register!$B$3:$B$1409,ROW(),0), "")</f>
        <v>MaxEmil Photonics Corporation</v>
      </c>
      <c r="B797" s="32" t="e">
        <f>VLOOKUP($A797,Register!$B$3:$E$1409,6,FALSE)</f>
        <v>#REF!</v>
      </c>
      <c r="C797" s="32" t="e">
        <f>VLOOKUP($A797,Register!$B$3:$E$1409,7,FALSE)</f>
        <v>#REF!</v>
      </c>
      <c r="D797" s="32" t="e">
        <f>VLOOKUP($A797,Register!$B$3:$E$1409,8,FALSE)</f>
        <v>#REF!</v>
      </c>
      <c r="E797" s="34" t="s">
        <v>148</v>
      </c>
    </row>
    <row r="798" spans="1:8" x14ac:dyDescent="0.25">
      <c r="A798" s="33" t="str" cm="1">
        <f t="array" ref="A798">IFERROR(INDEX(Register!$B$3:$B$1409,ROW(),0), "")</f>
        <v>QUADICA DEVELOPMENTS INC</v>
      </c>
      <c r="B798" s="32" t="e">
        <f>VLOOKUP($A798,Register!$B$3:$E$1409,6,FALSE)</f>
        <v>#REF!</v>
      </c>
      <c r="C798" s="32" t="e">
        <f>VLOOKUP($A798,Register!$B$3:$E$1409,7,FALSE)</f>
        <v>#REF!</v>
      </c>
      <c r="D798" s="32" t="e">
        <f>VLOOKUP($A798,Register!$B$3:$E$1409,8,FALSE)</f>
        <v>#REF!</v>
      </c>
      <c r="E798" s="34" t="s">
        <v>148</v>
      </c>
    </row>
    <row r="799" spans="1:8" x14ac:dyDescent="0.25">
      <c r="A799" s="33" t="str" cm="1">
        <f t="array" ref="A799">IFERROR(INDEX(Register!$B$3:$B$1409,ROW(),0), "")</f>
        <v>Salvo Technologies</v>
      </c>
      <c r="B799" s="32" t="e">
        <f>VLOOKUP($A799,Register!$B$3:$E$1409,6,FALSE)</f>
        <v>#REF!</v>
      </c>
      <c r="C799" s="32" t="e">
        <f>VLOOKUP($A799,Register!$B$3:$E$1409,7,FALSE)</f>
        <v>#REF!</v>
      </c>
      <c r="D799" s="32" t="e">
        <f>VLOOKUP($A799,Register!$B$3:$E$1409,8,FALSE)</f>
        <v>#REF!</v>
      </c>
      <c r="E799" s="34" t="s">
        <v>5339</v>
      </c>
    </row>
    <row r="800" spans="1:8" x14ac:dyDescent="0.25">
      <c r="A800" s="33" t="str" cm="1">
        <f t="array" ref="A800">IFERROR(INDEX(Register!$B$3:$B$1409,ROW(),0), "")</f>
        <v>Adept Turnkey Pty Ltd</v>
      </c>
      <c r="B800" s="32" t="e">
        <f>VLOOKUP($A800,Register!$B$3:$E$1409,6,FALSE)</f>
        <v>#REF!</v>
      </c>
      <c r="C800" s="32" t="e">
        <f>VLOOKUP($A800,Register!$B$3:$E$1409,7,FALSE)</f>
        <v>#REF!</v>
      </c>
      <c r="D800" s="32" t="e">
        <f>VLOOKUP($A800,Register!$B$3:$E$1409,8,FALSE)</f>
        <v>#REF!</v>
      </c>
      <c r="E800" s="34" t="s">
        <v>5339</v>
      </c>
    </row>
    <row r="801" spans="1:5" x14ac:dyDescent="0.25">
      <c r="A801" s="33" t="str" cm="1">
        <f t="array" ref="A801">IFERROR(INDEX(Register!$B$3:$B$1409,ROW(),0), "")</f>
        <v>Atlantek Vision Pty Ltd</v>
      </c>
      <c r="B801" s="32" t="e">
        <f>VLOOKUP($A801,Register!$B$3:$E$1409,6,FALSE)</f>
        <v>#REF!</v>
      </c>
      <c r="C801" s="32" t="e">
        <f>VLOOKUP($A801,Register!$B$3:$E$1409,7,FALSE)</f>
        <v>#REF!</v>
      </c>
      <c r="D801" s="32" t="e">
        <f>VLOOKUP($A801,Register!$B$3:$E$1409,8,FALSE)</f>
        <v>#REF!</v>
      </c>
      <c r="E801" s="34" t="s">
        <v>5339</v>
      </c>
    </row>
    <row r="802" spans="1:5" x14ac:dyDescent="0.25">
      <c r="A802" s="33" t="str" cm="1">
        <f t="array" ref="A802">IFERROR(INDEX(Register!$B$3:$B$1409,ROW(),0), "")</f>
        <v>Avantes Inc</v>
      </c>
      <c r="B802" s="32" t="e">
        <f>VLOOKUP($A802,Register!$B$3:$E$1409,6,FALSE)</f>
        <v>#REF!</v>
      </c>
      <c r="C802" s="32" t="e">
        <f>VLOOKUP($A802,Register!$B$3:$E$1409,7,FALSE)</f>
        <v>#REF!</v>
      </c>
      <c r="D802" s="32" t="e">
        <f>VLOOKUP($A802,Register!$B$3:$E$1409,8,FALSE)</f>
        <v>#REF!</v>
      </c>
      <c r="E802" s="34" t="s">
        <v>5339</v>
      </c>
    </row>
    <row r="803" spans="1:5" x14ac:dyDescent="0.25">
      <c r="A803" s="33" t="str" cm="1">
        <f t="array" ref="A803">IFERROR(INDEX(Register!$B$3:$B$1409,ROW(),0), "")</f>
        <v>Basler AG</v>
      </c>
      <c r="B803" s="32" t="e">
        <f>VLOOKUP($A803,Register!$B$3:$E$1409,6,FALSE)</f>
        <v>#REF!</v>
      </c>
      <c r="C803" s="32" t="e">
        <f>VLOOKUP($A803,Register!$B$3:$E$1409,7,FALSE)</f>
        <v>#REF!</v>
      </c>
      <c r="D803" s="32" t="e">
        <f>VLOOKUP($A803,Register!$B$3:$E$1409,8,FALSE)</f>
        <v>#REF!</v>
      </c>
      <c r="E803" s="34" t="s">
        <v>5339</v>
      </c>
    </row>
    <row r="804" spans="1:5" x14ac:dyDescent="0.25">
      <c r="A804" s="33" t="str" cm="1">
        <f t="array" ref="A804">IFERROR(INDEX(Register!$B$3:$B$1409,ROW(),0), "")</f>
        <v>CHESHIRE OPTICAL</v>
      </c>
      <c r="B804" s="32" t="e">
        <f>VLOOKUP($A804,Register!$B$3:$E$1409,6,FALSE)</f>
        <v>#REF!</v>
      </c>
      <c r="C804" s="32" t="e">
        <f>VLOOKUP($A804,Register!$B$3:$E$1409,7,FALSE)</f>
        <v>#REF!</v>
      </c>
      <c r="D804" s="32" t="e">
        <f>VLOOKUP($A804,Register!$B$3:$E$1409,8,FALSE)</f>
        <v>#REF!</v>
      </c>
      <c r="E804" s="34" t="s">
        <v>5339</v>
      </c>
    </row>
    <row r="805" spans="1:5" x14ac:dyDescent="0.25">
      <c r="A805" s="33" t="str" cm="1">
        <f t="array" ref="A805">IFERROR(INDEX(Register!$B$3:$B$1409,ROW(),0), "")</f>
        <v>UQG LTD.</v>
      </c>
      <c r="B805" s="32" t="e">
        <f>VLOOKUP($A805,Register!$B$3:$E$1409,6,FALSE)</f>
        <v>#REF!</v>
      </c>
      <c r="C805" s="32" t="e">
        <f>VLOOKUP($A805,Register!$B$3:$E$1409,7,FALSE)</f>
        <v>#REF!</v>
      </c>
      <c r="D805" s="32" t="e">
        <f>VLOOKUP($A805,Register!$B$3:$E$1409,8,FALSE)</f>
        <v>#REF!</v>
      </c>
      <c r="E805" s="34" t="s">
        <v>5339</v>
      </c>
    </row>
    <row r="806" spans="1:5" x14ac:dyDescent="0.25">
      <c r="A806" s="33" t="str" cm="1">
        <f t="array" ref="A806">IFERROR(INDEX(Register!$B$3:$B$1409,ROW(),0), "")</f>
        <v>Chroma Technology Corp</v>
      </c>
      <c r="B806" s="32" t="e">
        <f>VLOOKUP($A806,Register!$B$3:$E$1409,6,FALSE)</f>
        <v>#REF!</v>
      </c>
      <c r="C806" s="32" t="e">
        <f>VLOOKUP($A806,Register!$B$3:$E$1409,7,FALSE)</f>
        <v>#REF!</v>
      </c>
      <c r="D806" s="32" t="e">
        <f>VLOOKUP($A806,Register!$B$3:$E$1409,8,FALSE)</f>
        <v>#REF!</v>
      </c>
      <c r="E806" s="34" t="s">
        <v>5339</v>
      </c>
    </row>
    <row r="807" spans="1:5" x14ac:dyDescent="0.25">
      <c r="A807" s="33" t="str" cm="1">
        <f t="array" ref="A807">IFERROR(INDEX(Register!$B$3:$B$1409,ROW(),0), "")</f>
        <v>CHROMA TECHNOLOGY CORP.</v>
      </c>
      <c r="B807" s="32" t="e">
        <f>VLOOKUP($A807,Register!$B$3:$E$1409,6,FALSE)</f>
        <v>#REF!</v>
      </c>
      <c r="C807" s="32" t="e">
        <f>VLOOKUP($A807,Register!$B$3:$E$1409,7,FALSE)</f>
        <v>#REF!</v>
      </c>
      <c r="D807" s="32" t="e">
        <f>VLOOKUP($A807,Register!$B$3:$E$1409,8,FALSE)</f>
        <v>#REF!</v>
      </c>
      <c r="E807" s="34" t="s">
        <v>5339</v>
      </c>
    </row>
    <row r="808" spans="1:5" x14ac:dyDescent="0.25">
      <c r="A808" s="33" t="str" cm="1">
        <f t="array" ref="A808">IFERROR(INDEX(Register!$B$3:$B$1409,ROW(),0), "")</f>
        <v>Cognex Corporation</v>
      </c>
      <c r="B808" s="32" t="e">
        <f>VLOOKUP($A808,Register!$B$3:$E$1409,6,FALSE)</f>
        <v>#REF!</v>
      </c>
      <c r="C808" s="32" t="e">
        <f>VLOOKUP($A808,Register!$B$3:$E$1409,7,FALSE)</f>
        <v>#REF!</v>
      </c>
      <c r="D808" s="32" t="e">
        <f>VLOOKUP($A808,Register!$B$3:$E$1409,8,FALSE)</f>
        <v>#REF!</v>
      </c>
      <c r="E808" s="34" t="s">
        <v>5339</v>
      </c>
    </row>
    <row r="809" spans="1:5" x14ac:dyDescent="0.25">
      <c r="A809" s="33" t="str" cm="1">
        <f t="array" ref="A809">IFERROR(INDEX(Register!$B$3:$B$1409,ROW(),0), "")</f>
        <v>Cognex Ireland Limited</v>
      </c>
      <c r="B809" s="32" t="e">
        <f>VLOOKUP($A809,Register!$B$3:$E$1409,6,FALSE)</f>
        <v>#REF!</v>
      </c>
      <c r="C809" s="32" t="e">
        <f>VLOOKUP($A809,Register!$B$3:$E$1409,7,FALSE)</f>
        <v>#REF!</v>
      </c>
      <c r="D809" s="32" t="e">
        <f>VLOOKUP($A809,Register!$B$3:$E$1409,8,FALSE)</f>
        <v>#REF!</v>
      </c>
      <c r="E809" s="34" t="s">
        <v>5339</v>
      </c>
    </row>
    <row r="810" spans="1:5" x14ac:dyDescent="0.25">
      <c r="A810" s="33" t="str" cm="1">
        <f t="array" ref="A810">IFERROR(INDEX(Register!$B$3:$B$1409,ROW(),0), "")</f>
        <v>Coherent Scientific Pty Ltd</v>
      </c>
      <c r="B810" s="32" t="e">
        <f>VLOOKUP($A810,Register!$B$3:$E$1409,6,FALSE)</f>
        <v>#REF!</v>
      </c>
      <c r="C810" s="32" t="e">
        <f>VLOOKUP($A810,Register!$B$3:$E$1409,7,FALSE)</f>
        <v>#REF!</v>
      </c>
      <c r="D810" s="32" t="e">
        <f>VLOOKUP($A810,Register!$B$3:$E$1409,8,FALSE)</f>
        <v>#REF!</v>
      </c>
      <c r="E810" s="34" t="s">
        <v>5339</v>
      </c>
    </row>
    <row r="811" spans="1:5" x14ac:dyDescent="0.25">
      <c r="A811" s="33" t="str" cm="1">
        <f t="array" ref="A811">IFERROR(INDEX(Register!$B$3:$B$1409,ROW(),0), "")</f>
        <v>Coherent Scientific Pty Ltd</v>
      </c>
      <c r="B811" s="32" t="e">
        <f>VLOOKUP($A811,Register!$B$3:$E$1409,6,FALSE)</f>
        <v>#REF!</v>
      </c>
      <c r="C811" s="32" t="e">
        <f>VLOOKUP($A811,Register!$B$3:$E$1409,7,FALSE)</f>
        <v>#REF!</v>
      </c>
      <c r="D811" s="32" t="e">
        <f>VLOOKUP($A811,Register!$B$3:$E$1409,8,FALSE)</f>
        <v>#REF!</v>
      </c>
      <c r="E811" s="34" t="s">
        <v>5339</v>
      </c>
    </row>
    <row r="812" spans="1:5" x14ac:dyDescent="0.25">
      <c r="A812" s="33" t="str" cm="1">
        <f t="array" ref="A812">IFERROR(INDEX(Register!$B$3:$B$1409,ROW(),0), "")</f>
        <v>Edmund Optics Singapore</v>
      </c>
      <c r="B812" s="32" t="e">
        <f>VLOOKUP($A812,Register!$B$3:$E$1409,6,FALSE)</f>
        <v>#REF!</v>
      </c>
      <c r="C812" s="32" t="e">
        <f>VLOOKUP($A812,Register!$B$3:$E$1409,7,FALSE)</f>
        <v>#REF!</v>
      </c>
      <c r="D812" s="32" t="e">
        <f>VLOOKUP($A812,Register!$B$3:$E$1409,8,FALSE)</f>
        <v>#REF!</v>
      </c>
      <c r="E812" s="34" t="s">
        <v>5339</v>
      </c>
    </row>
    <row r="813" spans="1:5" x14ac:dyDescent="0.25">
      <c r="A813" s="33" t="str" cm="1">
        <f t="array" ref="A813">IFERROR(INDEX(Register!$B$3:$B$1409,ROW(),0), "")</f>
        <v>EDMUND OPTICS, Inc</v>
      </c>
      <c r="B813" s="32" t="e">
        <f>VLOOKUP($A813,Register!$B$3:$E$1409,6,FALSE)</f>
        <v>#REF!</v>
      </c>
      <c r="C813" s="32" t="e">
        <f>VLOOKUP($A813,Register!$B$3:$E$1409,7,FALSE)</f>
        <v>#REF!</v>
      </c>
      <c r="D813" s="32" t="e">
        <f>VLOOKUP($A813,Register!$B$3:$E$1409,8,FALSE)</f>
        <v>#REF!</v>
      </c>
      <c r="E813" s="34" t="s">
        <v>5339</v>
      </c>
    </row>
    <row r="814" spans="1:5" x14ac:dyDescent="0.25">
      <c r="A814" s="33" t="str" cm="1">
        <f t="array" ref="A814">IFERROR(INDEX(Register!$B$3:$B$1409,ROW(),0), "")</f>
        <v>Evident Nagano Corporation</v>
      </c>
      <c r="B814" s="32" t="e">
        <f>VLOOKUP($A814,Register!$B$3:$E$1409,6,FALSE)</f>
        <v>#REF!</v>
      </c>
      <c r="C814" s="32" t="e">
        <f>VLOOKUP($A814,Register!$B$3:$E$1409,7,FALSE)</f>
        <v>#REF!</v>
      </c>
      <c r="D814" s="32" t="e">
        <f>VLOOKUP($A814,Register!$B$3:$E$1409,8,FALSE)</f>
        <v>#REF!</v>
      </c>
      <c r="E814" s="34" t="s">
        <v>5339</v>
      </c>
    </row>
    <row r="815" spans="1:5" x14ac:dyDescent="0.25">
      <c r="A815" s="33" t="str" cm="1">
        <f t="array" ref="A815">IFERROR(INDEX(Register!$B$3:$B$1409,ROW(),0), "")</f>
        <v>Foctek Photonics Inc</v>
      </c>
      <c r="B815" s="32" t="e">
        <f>VLOOKUP($A815,Register!$B$3:$E$1409,6,FALSE)</f>
        <v>#REF!</v>
      </c>
      <c r="C815" s="32" t="e">
        <f>VLOOKUP($A815,Register!$B$3:$E$1409,7,FALSE)</f>
        <v>#REF!</v>
      </c>
      <c r="D815" s="32" t="e">
        <f>VLOOKUP($A815,Register!$B$3:$E$1409,8,FALSE)</f>
        <v>#REF!</v>
      </c>
      <c r="E815" s="34" t="s">
        <v>5339</v>
      </c>
    </row>
    <row r="816" spans="1:5" x14ac:dyDescent="0.25">
      <c r="A816" s="33" t="str" cm="1">
        <f t="array" ref="A816">IFERROR(INDEX(Register!$B$3:$B$1409,ROW(),0), "")</f>
        <v>Hamamatsu Corporation</v>
      </c>
      <c r="B816" s="32" t="e">
        <f>VLOOKUP($A816,Register!$B$3:$E$1409,6,FALSE)</f>
        <v>#REF!</v>
      </c>
      <c r="C816" s="32" t="e">
        <f>VLOOKUP($A816,Register!$B$3:$E$1409,7,FALSE)</f>
        <v>#REF!</v>
      </c>
      <c r="D816" s="32" t="e">
        <f>VLOOKUP($A816,Register!$B$3:$E$1409,8,FALSE)</f>
        <v>#REF!</v>
      </c>
      <c r="E816" s="34" t="s">
        <v>5339</v>
      </c>
    </row>
    <row r="817" spans="1:5" x14ac:dyDescent="0.25">
      <c r="A817" s="33" t="str" cm="1">
        <f t="array" ref="A817">IFERROR(INDEX(Register!$B$3:$B$1409,ROW(),0), "")</f>
        <v>IDEX Health &amp; Science LLC</v>
      </c>
      <c r="B817" s="32" t="e">
        <f>VLOOKUP($A817,Register!$B$3:$E$1409,6,FALSE)</f>
        <v>#REF!</v>
      </c>
      <c r="C817" s="32" t="e">
        <f>VLOOKUP($A817,Register!$B$3:$E$1409,7,FALSE)</f>
        <v>#REF!</v>
      </c>
      <c r="D817" s="32" t="e">
        <f>VLOOKUP($A817,Register!$B$3:$E$1409,8,FALSE)</f>
        <v>#REF!</v>
      </c>
      <c r="E817" s="34" t="s">
        <v>5339</v>
      </c>
    </row>
    <row r="818" spans="1:5" x14ac:dyDescent="0.25">
      <c r="A818" s="33" t="str" cm="1">
        <f t="array" ref="A818">IFERROR(INDEX(Register!$B$3:$B$1409,ROW(),0), "")</f>
        <v>Met Optix (DWE Systems Pty Ltd)</v>
      </c>
      <c r="B818" s="32" t="e">
        <f>VLOOKUP($A818,Register!$B$3:$E$1409,6,FALSE)</f>
        <v>#REF!</v>
      </c>
      <c r="C818" s="32" t="e">
        <f>VLOOKUP($A818,Register!$B$3:$E$1409,7,FALSE)</f>
        <v>#REF!</v>
      </c>
      <c r="D818" s="32" t="e">
        <f>VLOOKUP($A818,Register!$B$3:$E$1409,8,FALSE)</f>
        <v>#REF!</v>
      </c>
      <c r="E818" s="34" t="s">
        <v>5339</v>
      </c>
    </row>
    <row r="819" spans="1:5" x14ac:dyDescent="0.25">
      <c r="A819" s="33" t="str" cm="1">
        <f t="array" ref="A819">IFERROR(INDEX(Register!$B$3:$B$1409,ROW(),0), "")</f>
        <v>Navitar Inc</v>
      </c>
      <c r="B819" s="32" t="e">
        <f>VLOOKUP($A819,Register!$B$3:$E$1409,6,FALSE)</f>
        <v>#REF!</v>
      </c>
      <c r="C819" s="32" t="e">
        <f>VLOOKUP($A819,Register!$B$3:$E$1409,7,FALSE)</f>
        <v>#REF!</v>
      </c>
      <c r="D819" s="32" t="e">
        <f>VLOOKUP($A819,Register!$B$3:$E$1409,8,FALSE)</f>
        <v>#REF!</v>
      </c>
      <c r="E819" s="34" t="s">
        <v>5339</v>
      </c>
    </row>
    <row r="820" spans="1:5" x14ac:dyDescent="0.25">
      <c r="A820" s="33" t="str" cm="1">
        <f t="array" ref="A820">IFERROR(INDEX(Register!$B$3:$B$1409,ROW(),0), "")</f>
        <v>Novanta Corporation</v>
      </c>
      <c r="B820" s="32" t="e">
        <f>VLOOKUP($A820,Register!$B$3:$E$1409,6,FALSE)</f>
        <v>#REF!</v>
      </c>
      <c r="C820" s="32" t="e">
        <f>VLOOKUP($A820,Register!$B$3:$E$1409,7,FALSE)</f>
        <v>#REF!</v>
      </c>
      <c r="D820" s="32" t="e">
        <f>VLOOKUP($A820,Register!$B$3:$E$1409,8,FALSE)</f>
        <v>#REF!</v>
      </c>
      <c r="E820" s="34" t="s">
        <v>5339</v>
      </c>
    </row>
    <row r="821" spans="1:5" x14ac:dyDescent="0.25">
      <c r="A821" s="33" t="str" cm="1">
        <f t="array" ref="A821">IFERROR(INDEX(Register!$B$3:$B$1409,ROW(),0), "")</f>
        <v>OMEGA OPTICAL INCORPORATED</v>
      </c>
      <c r="B821" s="32" t="e">
        <f>VLOOKUP($A821,Register!$B$3:$E$1409,6,FALSE)</f>
        <v>#REF!</v>
      </c>
      <c r="C821" s="32" t="e">
        <f>VLOOKUP($A821,Register!$B$3:$E$1409,7,FALSE)</f>
        <v>#REF!</v>
      </c>
      <c r="D821" s="32" t="e">
        <f>VLOOKUP($A821,Register!$B$3:$E$1409,8,FALSE)</f>
        <v>#REF!</v>
      </c>
      <c r="E821" s="34" t="s">
        <v>5339</v>
      </c>
    </row>
    <row r="822" spans="1:5" x14ac:dyDescent="0.25">
      <c r="A822" s="33" t="str" cm="1">
        <f t="array" ref="A822">IFERROR(INDEX(Register!$B$3:$B$1409,ROW(),0), "")</f>
        <v>Quark Photonics Pty Ltd</v>
      </c>
      <c r="B822" s="32" t="e">
        <f>VLOOKUP($A822,Register!$B$3:$E$1409,6,FALSE)</f>
        <v>#REF!</v>
      </c>
      <c r="C822" s="32" t="e">
        <f>VLOOKUP($A822,Register!$B$3:$E$1409,7,FALSE)</f>
        <v>#REF!</v>
      </c>
      <c r="D822" s="32" t="e">
        <f>VLOOKUP($A822,Register!$B$3:$E$1409,8,FALSE)</f>
        <v>#REF!</v>
      </c>
      <c r="E822" s="34" t="s">
        <v>5339</v>
      </c>
    </row>
    <row r="823" spans="1:5" x14ac:dyDescent="0.25">
      <c r="A823" s="33" t="str" cm="1">
        <f t="array" ref="A823">IFERROR(INDEX(Register!$B$3:$B$1409,ROW(),0), "")</f>
        <v>R Specialty Optical Fibers LLC</v>
      </c>
      <c r="B823" s="32" t="e">
        <f>VLOOKUP($A823,Register!$B$3:$E$1409,6,FALSE)</f>
        <v>#REF!</v>
      </c>
      <c r="C823" s="32" t="e">
        <f>VLOOKUP($A823,Register!$B$3:$E$1409,7,FALSE)</f>
        <v>#REF!</v>
      </c>
      <c r="D823" s="32" t="e">
        <f>VLOOKUP($A823,Register!$B$3:$E$1409,8,FALSE)</f>
        <v>#REF!</v>
      </c>
      <c r="E823" s="34" t="s">
        <v>5339</v>
      </c>
    </row>
    <row r="824" spans="1:5" x14ac:dyDescent="0.25">
      <c r="A824" s="33" t="str" cm="1">
        <f t="array" ref="A824">IFERROR(INDEX(Register!$B$3:$B$1409,ROW(),0), "")</f>
        <v>Schafter+Kirchhoff GmbH</v>
      </c>
      <c r="B824" s="32" t="e">
        <f>VLOOKUP($A824,Register!$B$3:$E$1409,6,FALSE)</f>
        <v>#REF!</v>
      </c>
      <c r="C824" s="32" t="e">
        <f>VLOOKUP($A824,Register!$B$3:$E$1409,7,FALSE)</f>
        <v>#REF!</v>
      </c>
      <c r="D824" s="32" t="e">
        <f>VLOOKUP($A824,Register!$B$3:$E$1409,8,FALSE)</f>
        <v>#REF!</v>
      </c>
      <c r="E824" s="34" t="s">
        <v>5339</v>
      </c>
    </row>
    <row r="825" spans="1:5" x14ac:dyDescent="0.25">
      <c r="A825" s="33" t="str" cm="1">
        <f t="array" ref="A825">IFERROR(INDEX(Register!$B$3:$B$1409,ROW(),0), "")</f>
        <v>Spectro-Film</v>
      </c>
      <c r="B825" s="32" t="e">
        <f>VLOOKUP($A825,Register!$B$3:$E$1409,6,FALSE)</f>
        <v>#REF!</v>
      </c>
      <c r="C825" s="32" t="e">
        <f>VLOOKUP($A825,Register!$B$3:$E$1409,7,FALSE)</f>
        <v>#REF!</v>
      </c>
      <c r="D825" s="32" t="e">
        <f>VLOOKUP($A825,Register!$B$3:$E$1409,8,FALSE)</f>
        <v>#REF!</v>
      </c>
      <c r="E825" s="34" t="s">
        <v>5339</v>
      </c>
    </row>
    <row r="826" spans="1:5" x14ac:dyDescent="0.25">
      <c r="A826" s="33" t="str" cm="1">
        <f t="array" ref="A826">IFERROR(INDEX(Register!$B$3:$B$1409,ROW(),0), "")</f>
        <v>Sunday Optics (Changchun Sunday Optoelectronics Co)</v>
      </c>
      <c r="B826" s="32" t="e">
        <f>VLOOKUP($A826,Register!$B$3:$E$1409,6,FALSE)</f>
        <v>#REF!</v>
      </c>
      <c r="C826" s="32" t="e">
        <f>VLOOKUP($A826,Register!$B$3:$E$1409,7,FALSE)</f>
        <v>#REF!</v>
      </c>
      <c r="D826" s="32" t="e">
        <f>VLOOKUP($A826,Register!$B$3:$E$1409,8,FALSE)</f>
        <v>#REF!</v>
      </c>
      <c r="E826" s="34" t="s">
        <v>5339</v>
      </c>
    </row>
    <row r="827" spans="1:5" x14ac:dyDescent="0.25">
      <c r="A827" s="33" t="str" cm="1">
        <f t="array" ref="A827">IFERROR(INDEX(Register!$B$3:$B$1409,ROW(),0), "")</f>
        <v>Sunex Inc</v>
      </c>
      <c r="B827" s="32" t="e">
        <f>VLOOKUP($A827,Register!$B$3:$E$1409,6,FALSE)</f>
        <v>#REF!</v>
      </c>
      <c r="C827" s="32" t="e">
        <f>VLOOKUP($A827,Register!$B$3:$E$1409,7,FALSE)</f>
        <v>#REF!</v>
      </c>
      <c r="D827" s="32" t="e">
        <f>VLOOKUP($A827,Register!$B$3:$E$1409,8,FALSE)</f>
        <v>#REF!</v>
      </c>
      <c r="E827" s="34" t="s">
        <v>5339</v>
      </c>
    </row>
    <row r="828" spans="1:5" x14ac:dyDescent="0.25">
      <c r="A828" s="33" t="str" cm="1">
        <f t="array" ref="A828">IFERROR(INDEX(Register!$B$3:$B$1409,ROW(),0), "")</f>
        <v>THORLABS, INC.</v>
      </c>
      <c r="B828" s="32" t="e">
        <f>VLOOKUP($A828,Register!$B$3:$E$1409,6,FALSE)</f>
        <v>#REF!</v>
      </c>
      <c r="C828" s="32" t="e">
        <f>VLOOKUP($A828,Register!$B$3:$E$1409,7,FALSE)</f>
        <v>#REF!</v>
      </c>
      <c r="D828" s="32" t="e">
        <f>VLOOKUP($A828,Register!$B$3:$E$1409,8,FALSE)</f>
        <v>#REF!</v>
      </c>
      <c r="E828" s="34" t="s">
        <v>5339</v>
      </c>
    </row>
    <row r="829" spans="1:5" x14ac:dyDescent="0.25">
      <c r="A829" s="33" t="str" cm="1">
        <f t="array" ref="A829">IFERROR(INDEX(Register!$B$3:$B$1409,ROW(),0), "")</f>
        <v>UNI Optics Co. Ltd</v>
      </c>
      <c r="B829" s="32" t="e">
        <f>VLOOKUP($A829,Register!$B$3:$E$1409,6,FALSE)</f>
        <v>#REF!</v>
      </c>
      <c r="C829" s="32" t="e">
        <f>VLOOKUP($A829,Register!$B$3:$E$1409,7,FALSE)</f>
        <v>#REF!</v>
      </c>
      <c r="D829" s="32" t="e">
        <f>VLOOKUP($A829,Register!$B$3:$E$1409,8,FALSE)</f>
        <v>#REF!</v>
      </c>
      <c r="E829" s="34" t="s">
        <v>5339</v>
      </c>
    </row>
    <row r="830" spans="1:5" x14ac:dyDescent="0.25">
      <c r="A830" s="33" t="str" cm="1">
        <f t="array" ref="A830">IFERROR(INDEX(Register!$B$3:$B$1409,ROW(),0), "")</f>
        <v>VS Technology (Thailand) Co Ltd</v>
      </c>
      <c r="B830" s="32" t="e">
        <f>VLOOKUP($A830,Register!$B$3:$E$1409,6,FALSE)</f>
        <v>#REF!</v>
      </c>
      <c r="C830" s="32" t="e">
        <f>VLOOKUP($A830,Register!$B$3:$E$1409,7,FALSE)</f>
        <v>#REF!</v>
      </c>
      <c r="D830" s="32" t="e">
        <f>VLOOKUP($A830,Register!$B$3:$E$1409,8,FALSE)</f>
        <v>#REF!</v>
      </c>
      <c r="E830" s="34" t="s">
        <v>5339</v>
      </c>
    </row>
    <row r="831" spans="1:5" x14ac:dyDescent="0.25">
      <c r="A831" s="33" t="str" cm="1">
        <f t="array" ref="A831">IFERROR(INDEX(Register!$B$3:$B$1409,ROW(),0), "")</f>
        <v>Shanghai Mega-9 Optoelectronic Co. Ltd</v>
      </c>
      <c r="B831" s="32" t="e">
        <f>VLOOKUP($A831,Register!$B$3:$E$1409,6,FALSE)</f>
        <v>#REF!</v>
      </c>
      <c r="C831" s="32" t="e">
        <f>VLOOKUP($A831,Register!$B$3:$E$1409,7,FALSE)</f>
        <v>#REF!</v>
      </c>
      <c r="D831" s="32" t="e">
        <f>VLOOKUP($A831,Register!$B$3:$E$1409,8,FALSE)</f>
        <v>#REF!</v>
      </c>
      <c r="E831" s="34" t="s">
        <v>5339</v>
      </c>
    </row>
    <row r="832" spans="1:5" x14ac:dyDescent="0.25">
      <c r="A832" s="33" t="str" cm="1">
        <f t="array" ref="A832">IFERROR(INDEX(Register!$B$3:$B$1409,ROW(),0), "")</f>
        <v>UAB STANDA</v>
      </c>
      <c r="B832" s="32" t="e">
        <f>VLOOKUP($A832,Register!$B$3:$E$1409,6,FALSE)</f>
        <v>#REF!</v>
      </c>
      <c r="C832" s="32" t="e">
        <f>VLOOKUP($A832,Register!$B$3:$E$1409,7,FALSE)</f>
        <v>#REF!</v>
      </c>
      <c r="D832" s="32" t="e">
        <f>VLOOKUP($A832,Register!$B$3:$E$1409,8,FALSE)</f>
        <v>#REF!</v>
      </c>
      <c r="E832" s="34" t="s">
        <v>5339</v>
      </c>
    </row>
    <row r="833" spans="1:5" x14ac:dyDescent="0.25">
      <c r="A833" s="33" t="str" cm="1">
        <f t="array" ref="A833">IFERROR(INDEX(Register!$B$3:$B$1409,ROW(),0), "")</f>
        <v>ALLEN FIELD COMPANY, INC.</v>
      </c>
      <c r="B833" s="32" t="e">
        <f>VLOOKUP($A833,Register!$B$3:$E$1409,6,FALSE)</f>
        <v>#REF!</v>
      </c>
      <c r="C833" s="32" t="e">
        <f>VLOOKUP($A833,Register!$B$3:$E$1409,7,FALSE)</f>
        <v>#REF!</v>
      </c>
      <c r="D833" s="32" t="e">
        <f>VLOOKUP($A833,Register!$B$3:$E$1409,8,FALSE)</f>
        <v>#REF!</v>
      </c>
      <c r="E833" s="34" t="s">
        <v>5339</v>
      </c>
    </row>
    <row r="834" spans="1:5" x14ac:dyDescent="0.25">
      <c r="A834" s="33" t="str" cm="1">
        <f t="array" ref="A834">IFERROR(INDEX(Register!$B$3:$B$1409,ROW(),0), "")</f>
        <v>Bay Cities Packaging and Design</v>
      </c>
      <c r="B834" s="32" t="e">
        <f>VLOOKUP($A834,Register!$B$3:$E$1409,6,FALSE)</f>
        <v>#REF!</v>
      </c>
      <c r="C834" s="32" t="e">
        <f>VLOOKUP($A834,Register!$B$3:$E$1409,7,FALSE)</f>
        <v>#REF!</v>
      </c>
      <c r="D834" s="32" t="e">
        <f>VLOOKUP($A834,Register!$B$3:$E$1409,8,FALSE)</f>
        <v>#REF!</v>
      </c>
      <c r="E834" s="34" t="s">
        <v>5339</v>
      </c>
    </row>
    <row r="835" spans="1:5" x14ac:dyDescent="0.25">
      <c r="A835" s="33" t="str" cm="1">
        <f t="array" ref="A835">IFERROR(INDEX(Register!$B$3:$B$1409,ROW(),0), "")</f>
        <v>Impak Corporation</v>
      </c>
      <c r="B835" s="32" t="e">
        <f>VLOOKUP($A835,Register!$B$3:$E$1409,6,FALSE)</f>
        <v>#REF!</v>
      </c>
      <c r="C835" s="32" t="e">
        <f>VLOOKUP($A835,Register!$B$3:$E$1409,7,FALSE)</f>
        <v>#REF!</v>
      </c>
      <c r="D835" s="32" t="e">
        <f>VLOOKUP($A835,Register!$B$3:$E$1409,8,FALSE)</f>
        <v>#REF!</v>
      </c>
      <c r="E835" s="34" t="s">
        <v>5339</v>
      </c>
    </row>
    <row r="836" spans="1:5" x14ac:dyDescent="0.25">
      <c r="A836" s="33" t="str" cm="1">
        <f t="array" ref="A836">IFERROR(INDEX(Register!$B$3:$B$1409,ROW(),0), "")</f>
        <v>PANIC PLASTICS, INC</v>
      </c>
      <c r="B836" s="32" t="e">
        <f>VLOOKUP($A836,Register!$B$3:$E$1409,6,FALSE)</f>
        <v>#REF!</v>
      </c>
      <c r="C836" s="32" t="e">
        <f>VLOOKUP($A836,Register!$B$3:$E$1409,7,FALSE)</f>
        <v>#REF!</v>
      </c>
      <c r="D836" s="32" t="e">
        <f>VLOOKUP($A836,Register!$B$3:$E$1409,8,FALSE)</f>
        <v>#REF!</v>
      </c>
      <c r="E836" s="34" t="s">
        <v>5339</v>
      </c>
    </row>
    <row r="837" spans="1:5" x14ac:dyDescent="0.25">
      <c r="A837" s="33" t="str" cm="1">
        <f t="array" ref="A837">IFERROR(INDEX(Register!$B$3:$B$1409,ROW(),0), "")</f>
        <v>Tappi.Org</v>
      </c>
      <c r="B837" s="32" t="e">
        <f>VLOOKUP($A837,Register!$B$3:$E$1409,6,FALSE)</f>
        <v>#REF!</v>
      </c>
      <c r="C837" s="32" t="e">
        <f>VLOOKUP($A837,Register!$B$3:$E$1409,7,FALSE)</f>
        <v>#REF!</v>
      </c>
      <c r="D837" s="32" t="e">
        <f>VLOOKUP($A837,Register!$B$3:$E$1409,8,FALSE)</f>
        <v>#REF!</v>
      </c>
      <c r="E837" s="34" t="s">
        <v>5339</v>
      </c>
    </row>
    <row r="838" spans="1:5" x14ac:dyDescent="0.25">
      <c r="A838" s="33" t="str" cm="1">
        <f t="array" ref="A838">IFERROR(INDEX(Register!$B$3:$B$1409,ROW(),0), "")</f>
        <v>Acorn Paper Products Co.</v>
      </c>
      <c r="B838" s="32" t="e">
        <f>VLOOKUP($A838,Register!$B$3:$E$1409,6,FALSE)</f>
        <v>#REF!</v>
      </c>
      <c r="C838" s="32" t="e">
        <f>VLOOKUP($A838,Register!$B$3:$E$1409,7,FALSE)</f>
        <v>#REF!</v>
      </c>
      <c r="D838" s="32" t="e">
        <f>VLOOKUP($A838,Register!$B$3:$E$1409,8,FALSE)</f>
        <v>#REF!</v>
      </c>
      <c r="E838" s="34" t="s">
        <v>5339</v>
      </c>
    </row>
    <row r="839" spans="1:5" x14ac:dyDescent="0.25">
      <c r="A839" s="33" t="str" cm="1">
        <f t="array" ref="A839">IFERROR(INDEX(Register!$B$3:$B$1409,ROW(),0), "")</f>
        <v>Alchemy Performance Packaging Pty Ltd</v>
      </c>
      <c r="B839" s="32" t="e">
        <f>VLOOKUP($A839,Register!$B$3:$E$1409,6,FALSE)</f>
        <v>#REF!</v>
      </c>
      <c r="C839" s="32" t="e">
        <f>VLOOKUP($A839,Register!$B$3:$E$1409,7,FALSE)</f>
        <v>#REF!</v>
      </c>
      <c r="D839" s="32" t="e">
        <f>VLOOKUP($A839,Register!$B$3:$E$1409,8,FALSE)</f>
        <v>#REF!</v>
      </c>
      <c r="E839" s="34" t="s">
        <v>5339</v>
      </c>
    </row>
    <row r="840" spans="1:5" x14ac:dyDescent="0.25">
      <c r="A840" s="33" t="str" cm="1">
        <f t="array" ref="A840">IFERROR(INDEX(Register!$B$3:$B$1409,ROW(),0), "")</f>
        <v>ARBO BOX INC</v>
      </c>
      <c r="B840" s="32" t="e">
        <f>VLOOKUP($A840,Register!$B$3:$E$1409,6,FALSE)</f>
        <v>#REF!</v>
      </c>
      <c r="C840" s="32" t="e">
        <f>VLOOKUP($A840,Register!$B$3:$E$1409,7,FALSE)</f>
        <v>#REF!</v>
      </c>
      <c r="D840" s="32" t="e">
        <f>VLOOKUP($A840,Register!$B$3:$E$1409,8,FALSE)</f>
        <v>#REF!</v>
      </c>
      <c r="E840" s="34" t="s">
        <v>5339</v>
      </c>
    </row>
    <row r="841" spans="1:5" x14ac:dyDescent="0.25">
      <c r="A841" s="33" t="str" cm="1">
        <f t="array" ref="A841">IFERROR(INDEX(Register!$B$3:$B$1409,ROW(),0), "")</f>
        <v>ATA Distributors Pty Ltd</v>
      </c>
      <c r="B841" s="32" t="e">
        <f>VLOOKUP($A841,Register!$B$3:$E$1409,6,FALSE)</f>
        <v>#REF!</v>
      </c>
      <c r="C841" s="32" t="e">
        <f>VLOOKUP($A841,Register!$B$3:$E$1409,7,FALSE)</f>
        <v>#REF!</v>
      </c>
      <c r="D841" s="32" t="e">
        <f>VLOOKUP($A841,Register!$B$3:$E$1409,8,FALSE)</f>
        <v>#REF!</v>
      </c>
      <c r="E841" s="34" t="s">
        <v>5339</v>
      </c>
    </row>
    <row r="842" spans="1:5" x14ac:dyDescent="0.25">
      <c r="A842" s="33" t="str" cm="1">
        <f t="array" ref="A842">IFERROR(INDEX(Register!$B$3:$B$1409,ROW(),0), "")</f>
        <v>BROWN PACKAGING</v>
      </c>
      <c r="B842" s="32" t="e">
        <f>VLOOKUP($A842,Register!$B$3:$E$1409,6,FALSE)</f>
        <v>#REF!</v>
      </c>
      <c r="C842" s="32" t="e">
        <f>VLOOKUP($A842,Register!$B$3:$E$1409,7,FALSE)</f>
        <v>#REF!</v>
      </c>
      <c r="D842" s="32" t="e">
        <f>VLOOKUP($A842,Register!$B$3:$E$1409,8,FALSE)</f>
        <v>#REF!</v>
      </c>
      <c r="E842" s="34" t="s">
        <v>5339</v>
      </c>
    </row>
    <row r="843" spans="1:5" x14ac:dyDescent="0.25">
      <c r="A843" s="33" t="str" cm="1">
        <f t="array" ref="A843">IFERROR(INDEX(Register!$B$3:$B$1409,ROW(),0), "")</f>
        <v>EDEN OUTSOURCE INDUSTRIES, INC</v>
      </c>
      <c r="B843" s="32" t="e">
        <f>VLOOKUP($A843,Register!$B$3:$E$1409,6,FALSE)</f>
        <v>#REF!</v>
      </c>
      <c r="C843" s="32" t="e">
        <f>VLOOKUP($A843,Register!$B$3:$E$1409,7,FALSE)</f>
        <v>#REF!</v>
      </c>
      <c r="D843" s="32" t="e">
        <f>VLOOKUP($A843,Register!$B$3:$E$1409,8,FALSE)</f>
        <v>#REF!</v>
      </c>
      <c r="E843" s="34" t="s">
        <v>5339</v>
      </c>
    </row>
    <row r="844" spans="1:5" x14ac:dyDescent="0.25">
      <c r="A844" s="33" t="str" cm="1">
        <f t="array" ref="A844">IFERROR(INDEX(Register!$B$3:$B$1409,ROW(),0), "")</f>
        <v>Export Pallets (D &amp; S Nielsen Pty Ltd)</v>
      </c>
      <c r="B844" s="32" t="e">
        <f>VLOOKUP($A844,Register!$B$3:$E$1409,6,FALSE)</f>
        <v>#REF!</v>
      </c>
      <c r="C844" s="32" t="e">
        <f>VLOOKUP($A844,Register!$B$3:$E$1409,7,FALSE)</f>
        <v>#REF!</v>
      </c>
      <c r="D844" s="32" t="e">
        <f>VLOOKUP($A844,Register!$B$3:$E$1409,8,FALSE)</f>
        <v>#REF!</v>
      </c>
      <c r="E844" s="34" t="s">
        <v>5339</v>
      </c>
    </row>
    <row r="845" spans="1:5" x14ac:dyDescent="0.25">
      <c r="A845" s="33" t="str" cm="1">
        <f t="array" ref="A845">IFERROR(INDEX(Register!$B$3:$B$1409,ROW(),0), "")</f>
        <v>Jaydee Packaging</v>
      </c>
      <c r="B845" s="32" t="e">
        <f>VLOOKUP($A845,Register!$B$3:$E$1409,6,FALSE)</f>
        <v>#REF!</v>
      </c>
      <c r="C845" s="32" t="e">
        <f>VLOOKUP($A845,Register!$B$3:$E$1409,7,FALSE)</f>
        <v>#REF!</v>
      </c>
      <c r="D845" s="32" t="e">
        <f>VLOOKUP($A845,Register!$B$3:$E$1409,8,FALSE)</f>
        <v>#REF!</v>
      </c>
      <c r="E845" s="34" t="s">
        <v>5339</v>
      </c>
    </row>
    <row r="846" spans="1:5" x14ac:dyDescent="0.25">
      <c r="A846" s="33" t="str" cm="1">
        <f t="array" ref="A846">IFERROR(INDEX(Register!$B$3:$B$1409,ROW(),0), "")</f>
        <v>Judd Paper Company</v>
      </c>
      <c r="B846" s="32" t="e">
        <f>VLOOKUP($A846,Register!$B$3:$E$1409,6,FALSE)</f>
        <v>#REF!</v>
      </c>
      <c r="C846" s="32" t="e">
        <f>VLOOKUP($A846,Register!$B$3:$E$1409,7,FALSE)</f>
        <v>#REF!</v>
      </c>
      <c r="D846" s="32" t="e">
        <f>VLOOKUP($A846,Register!$B$3:$E$1409,8,FALSE)</f>
        <v>#REF!</v>
      </c>
      <c r="E846" s="34" t="s">
        <v>5339</v>
      </c>
    </row>
    <row r="847" spans="1:5" x14ac:dyDescent="0.25">
      <c r="A847" s="33" t="str" cm="1">
        <f t="array" ref="A847">IFERROR(INDEX(Register!$B$3:$B$1409,ROW(),0), "")</f>
        <v>Networkpak Partnership</v>
      </c>
      <c r="B847" s="32" t="e">
        <f>VLOOKUP($A847,Register!$B$3:$E$1409,6,FALSE)</f>
        <v>#REF!</v>
      </c>
      <c r="C847" s="32" t="e">
        <f>VLOOKUP($A847,Register!$B$3:$E$1409,7,FALSE)</f>
        <v>#REF!</v>
      </c>
      <c r="D847" s="32" t="e">
        <f>VLOOKUP($A847,Register!$B$3:$E$1409,8,FALSE)</f>
        <v>#REF!</v>
      </c>
      <c r="E847" s="34" t="s">
        <v>5339</v>
      </c>
    </row>
    <row r="848" spans="1:5" x14ac:dyDescent="0.25">
      <c r="A848" s="33" t="str" cm="1">
        <f t="array" ref="A848">IFERROR(INDEX(Register!$B$3:$B$1409,ROW(),0), "")</f>
        <v>PPC Flexible Packaging, LLC</v>
      </c>
      <c r="B848" s="32" t="e">
        <f>VLOOKUP($A848,Register!$B$3:$E$1409,6,FALSE)</f>
        <v>#REF!</v>
      </c>
      <c r="C848" s="32" t="e">
        <f>VLOOKUP($A848,Register!$B$3:$E$1409,7,FALSE)</f>
        <v>#REF!</v>
      </c>
      <c r="D848" s="32" t="e">
        <f>VLOOKUP($A848,Register!$B$3:$E$1409,8,FALSE)</f>
        <v>#REF!</v>
      </c>
      <c r="E848" s="34" t="s">
        <v>5339</v>
      </c>
    </row>
    <row r="849" spans="1:5" x14ac:dyDescent="0.25">
      <c r="A849" s="33" t="str" cm="1">
        <f t="array" ref="A849">IFERROR(INDEX(Register!$B$3:$B$1409,ROW(),0), "")</f>
        <v>REFLEX PACKAGING</v>
      </c>
      <c r="B849" s="32" t="e">
        <f>VLOOKUP($A849,Register!$B$3:$E$1409,6,FALSE)</f>
        <v>#REF!</v>
      </c>
      <c r="C849" s="32" t="e">
        <f>VLOOKUP($A849,Register!$B$3:$E$1409,7,FALSE)</f>
        <v>#REF!</v>
      </c>
      <c r="D849" s="32" t="e">
        <f>VLOOKUP($A849,Register!$B$3:$E$1409,8,FALSE)</f>
        <v>#REF!</v>
      </c>
      <c r="E849" s="34" t="s">
        <v>5339</v>
      </c>
    </row>
    <row r="850" spans="1:5" x14ac:dyDescent="0.25">
      <c r="A850" s="33" t="str" cm="1">
        <f t="array" ref="A850">IFERROR(INDEX(Register!$B$3:$B$1409,ROW(),0), "")</f>
        <v>Sabre Medical</v>
      </c>
      <c r="B850" s="32" t="e">
        <f>VLOOKUP($A850,Register!$B$3:$E$1409,6,FALSE)</f>
        <v>#REF!</v>
      </c>
      <c r="C850" s="32" t="e">
        <f>VLOOKUP($A850,Register!$B$3:$E$1409,7,FALSE)</f>
        <v>#REF!</v>
      </c>
      <c r="D850" s="32" t="e">
        <f>VLOOKUP($A850,Register!$B$3:$E$1409,8,FALSE)</f>
        <v>#REF!</v>
      </c>
      <c r="E850" s="34" t="s">
        <v>5339</v>
      </c>
    </row>
    <row r="851" spans="1:5" x14ac:dyDescent="0.25">
      <c r="A851" s="33" t="str" cm="1">
        <f t="array" ref="A851">IFERROR(INDEX(Register!$B$3:$B$1409,ROW(),0), "")</f>
        <v>Shannon Packaging</v>
      </c>
      <c r="B851" s="32" t="e">
        <f>VLOOKUP($A851,Register!$B$3:$E$1409,6,FALSE)</f>
        <v>#REF!</v>
      </c>
      <c r="C851" s="32" t="e">
        <f>VLOOKUP($A851,Register!$B$3:$E$1409,7,FALSE)</f>
        <v>#REF!</v>
      </c>
      <c r="D851" s="32" t="e">
        <f>VLOOKUP($A851,Register!$B$3:$E$1409,8,FALSE)</f>
        <v>#REF!</v>
      </c>
      <c r="E851" s="34" t="s">
        <v>5339</v>
      </c>
    </row>
    <row r="852" spans="1:5" x14ac:dyDescent="0.25">
      <c r="A852" s="33" t="str" cm="1">
        <f t="array" ref="A852">IFERROR(INDEX(Register!$B$3:$B$1409,ROW(),0), "")</f>
        <v>Shockwatch Pty Ltd</v>
      </c>
      <c r="B852" s="32" t="e">
        <f>VLOOKUP($A852,Register!$B$3:$E$1409,6,FALSE)</f>
        <v>#REF!</v>
      </c>
      <c r="C852" s="32" t="e">
        <f>VLOOKUP($A852,Register!$B$3:$E$1409,7,FALSE)</f>
        <v>#REF!</v>
      </c>
      <c r="D852" s="32" t="e">
        <f>VLOOKUP($A852,Register!$B$3:$E$1409,8,FALSE)</f>
        <v>#REF!</v>
      </c>
      <c r="E852" s="34" t="s">
        <v>5339</v>
      </c>
    </row>
    <row r="853" spans="1:5" x14ac:dyDescent="0.25">
      <c r="A853" s="33" t="str" cm="1">
        <f t="array" ref="A853">IFERROR(INDEX(Register!$B$3:$B$1409,ROW(),0), "")</f>
        <v>Tigerpak Packaging (CMT Group Pty Ltd)</v>
      </c>
      <c r="B853" s="32" t="e">
        <f>VLOOKUP($A853,Register!$B$3:$E$1409,6,FALSE)</f>
        <v>#REF!</v>
      </c>
      <c r="C853" s="32" t="e">
        <f>VLOOKUP($A853,Register!$B$3:$E$1409,7,FALSE)</f>
        <v>#REF!</v>
      </c>
      <c r="D853" s="32" t="e">
        <f>VLOOKUP($A853,Register!$B$3:$E$1409,8,FALSE)</f>
        <v>#REF!</v>
      </c>
      <c r="E853" s="34" t="s">
        <v>5339</v>
      </c>
    </row>
    <row r="854" spans="1:5" x14ac:dyDescent="0.25">
      <c r="A854" s="33" t="str" cm="1">
        <f t="array" ref="A854">IFERROR(INDEX(Register!$B$3:$B$1409,ROW(),0), "")</f>
        <v>Transpak Inc.</v>
      </c>
      <c r="B854" s="32" t="e">
        <f>VLOOKUP($A854,Register!$B$3:$E$1409,6,FALSE)</f>
        <v>#REF!</v>
      </c>
      <c r="C854" s="32" t="e">
        <f>VLOOKUP($A854,Register!$B$3:$E$1409,7,FALSE)</f>
        <v>#REF!</v>
      </c>
      <c r="D854" s="32" t="e">
        <f>VLOOKUP($A854,Register!$B$3:$E$1409,8,FALSE)</f>
        <v>#REF!</v>
      </c>
      <c r="E854" s="34" t="s">
        <v>5339</v>
      </c>
    </row>
    <row r="855" spans="1:5" x14ac:dyDescent="0.25">
      <c r="A855" s="33" t="str" cm="1">
        <f t="array" ref="A855">IFERROR(INDEX(Register!$B$3:$B$1409,ROW(),0), "")</f>
        <v>ULINE SHIPPING SUPPLY</v>
      </c>
      <c r="B855" s="32" t="e">
        <f>VLOOKUP($A855,Register!$B$3:$E$1409,6,FALSE)</f>
        <v>#REF!</v>
      </c>
      <c r="C855" s="32" t="e">
        <f>VLOOKUP($A855,Register!$B$3:$E$1409,7,FALSE)</f>
        <v>#REF!</v>
      </c>
      <c r="D855" s="32" t="e">
        <f>VLOOKUP($A855,Register!$B$3:$E$1409,8,FALSE)</f>
        <v>#REF!</v>
      </c>
      <c r="E855" s="34" t="s">
        <v>5339</v>
      </c>
    </row>
    <row r="856" spans="1:5" x14ac:dyDescent="0.25">
      <c r="A856" s="33" t="str" cm="1">
        <f t="array" ref="A856">IFERROR(INDEX(Register!$B$3:$B$1409,ROW(),0), "")</f>
        <v>Unicorr Packaging Group dba Nutmeg Packaging Group</v>
      </c>
      <c r="B856" s="32" t="e">
        <f>VLOOKUP($A856,Register!$B$3:$E$1409,6,FALSE)</f>
        <v>#REF!</v>
      </c>
      <c r="C856" s="32" t="e">
        <f>VLOOKUP($A856,Register!$B$3:$E$1409,7,FALSE)</f>
        <v>#REF!</v>
      </c>
      <c r="D856" s="32" t="e">
        <f>VLOOKUP($A856,Register!$B$3:$E$1409,8,FALSE)</f>
        <v>#REF!</v>
      </c>
      <c r="E856" s="34" t="s">
        <v>5339</v>
      </c>
    </row>
    <row r="857" spans="1:5" x14ac:dyDescent="0.25">
      <c r="A857" s="33" t="str" cm="1">
        <f t="array" ref="A857">IFERROR(INDEX(Register!$B$3:$B$1409,ROW(),0), "")</f>
        <v>West's Packaging</v>
      </c>
      <c r="B857" s="32" t="e">
        <f>VLOOKUP($A857,Register!$B$3:$E$1409,6,FALSE)</f>
        <v>#REF!</v>
      </c>
      <c r="C857" s="32" t="e">
        <f>VLOOKUP($A857,Register!$B$3:$E$1409,7,FALSE)</f>
        <v>#REF!</v>
      </c>
      <c r="D857" s="32" t="e">
        <f>VLOOKUP($A857,Register!$B$3:$E$1409,8,FALSE)</f>
        <v>#REF!</v>
      </c>
      <c r="E857" s="34" t="s">
        <v>5339</v>
      </c>
    </row>
    <row r="858" spans="1:5" x14ac:dyDescent="0.25">
      <c r="A858" s="33" t="str" cm="1">
        <f t="array" ref="A858">IFERROR(INDEX(Register!$B$3:$B$1409,ROW(),0), "")</f>
        <v>D&amp;M Auto Industrial Spray Painting</v>
      </c>
      <c r="B858" s="32" t="e">
        <f>VLOOKUP($A858,Register!$B$3:$E$1409,6,FALSE)</f>
        <v>#REF!</v>
      </c>
      <c r="C858" s="32" t="e">
        <f>VLOOKUP($A858,Register!$B$3:$E$1409,7,FALSE)</f>
        <v>#REF!</v>
      </c>
      <c r="D858" s="32" t="e">
        <f>VLOOKUP($A858,Register!$B$3:$E$1409,8,FALSE)</f>
        <v>#REF!</v>
      </c>
      <c r="E858" s="34" t="s">
        <v>5339</v>
      </c>
    </row>
    <row r="859" spans="1:5" x14ac:dyDescent="0.25">
      <c r="A859" s="33" t="str" cm="1">
        <f t="array" ref="A859">IFERROR(INDEX(Register!$B$3:$B$1409,ROW(),0), "")</f>
        <v>Crosslink Paints</v>
      </c>
      <c r="B859" s="32" t="e">
        <f>VLOOKUP($A859,Register!$B$3:$E$1409,6,FALSE)</f>
        <v>#REF!</v>
      </c>
      <c r="C859" s="32" t="e">
        <f>VLOOKUP($A859,Register!$B$3:$E$1409,7,FALSE)</f>
        <v>#REF!</v>
      </c>
      <c r="D859" s="32" t="e">
        <f>VLOOKUP($A859,Register!$B$3:$E$1409,8,FALSE)</f>
        <v>#REF!</v>
      </c>
      <c r="E859" s="34" t="s">
        <v>5339</v>
      </c>
    </row>
    <row r="860" spans="1:5" x14ac:dyDescent="0.25">
      <c r="A860" s="33" t="str" cm="1">
        <f t="array" ref="A860">IFERROR(INDEX(Register!$B$3:$B$1409,ROW(),0), "")</f>
        <v>Pickwick Paper Products</v>
      </c>
      <c r="B860" s="32" t="e">
        <f>VLOOKUP($A860,Register!$B$3:$E$1409,6,FALSE)</f>
        <v>#REF!</v>
      </c>
      <c r="C860" s="32" t="e">
        <f>VLOOKUP($A860,Register!$B$3:$E$1409,7,FALSE)</f>
        <v>#REF!</v>
      </c>
      <c r="D860" s="32" t="e">
        <f>VLOOKUP($A860,Register!$B$3:$E$1409,8,FALSE)</f>
        <v>#REF!</v>
      </c>
      <c r="E860" s="34" t="s">
        <v>5339</v>
      </c>
    </row>
    <row r="861" spans="1:5" x14ac:dyDescent="0.25">
      <c r="A861" s="33" t="str" cm="1">
        <f t="array" ref="A861">IFERROR(INDEX(Register!$B$3:$B$1409,ROW(),0), "")</f>
        <v>Gentherm</v>
      </c>
      <c r="B861" s="32" t="e">
        <f>VLOOKUP($A861,Register!$B$3:$E$1409,6,FALSE)</f>
        <v>#REF!</v>
      </c>
      <c r="C861" s="32" t="e">
        <f>VLOOKUP($A861,Register!$B$3:$E$1409,7,FALSE)</f>
        <v>#REF!</v>
      </c>
      <c r="D861" s="32" t="e">
        <f>VLOOKUP($A861,Register!$B$3:$E$1409,8,FALSE)</f>
        <v>#REF!</v>
      </c>
      <c r="E861" s="34" t="s">
        <v>5339</v>
      </c>
    </row>
    <row r="862" spans="1:5" x14ac:dyDescent="0.25">
      <c r="A862" s="33" t="str" cm="1">
        <f t="array" ref="A862">IFERROR(INDEX(Register!$B$3:$B$1409,ROW(),0), "")</f>
        <v>PHOTO CHEMICAL PRODUCTS CORP.</v>
      </c>
      <c r="B862" s="32" t="e">
        <f>VLOOKUP($A862,Register!$B$3:$E$1409,6,FALSE)</f>
        <v>#REF!</v>
      </c>
      <c r="C862" s="32" t="e">
        <f>VLOOKUP($A862,Register!$B$3:$E$1409,7,FALSE)</f>
        <v>#REF!</v>
      </c>
      <c r="D862" s="32" t="e">
        <f>VLOOKUP($A862,Register!$B$3:$E$1409,8,FALSE)</f>
        <v>#REF!</v>
      </c>
      <c r="E862" s="34" t="s">
        <v>5339</v>
      </c>
    </row>
    <row r="863" spans="1:5" x14ac:dyDescent="0.25">
      <c r="A863" s="33" t="str" cm="1">
        <f t="array" ref="A863">IFERROR(INDEX(Register!$B$3:$B$1409,ROW(),0), "")</f>
        <v>Best Technology PCB (Shenzhen Danyu Electronics)</v>
      </c>
      <c r="B863" s="32" t="e">
        <f>VLOOKUP($A863,Register!$B$3:$E$1409,6,FALSE)</f>
        <v>#REF!</v>
      </c>
      <c r="C863" s="32" t="e">
        <f>VLOOKUP($A863,Register!$B$3:$E$1409,7,FALSE)</f>
        <v>#REF!</v>
      </c>
      <c r="D863" s="32" t="e">
        <f>VLOOKUP($A863,Register!$B$3:$E$1409,8,FALSE)</f>
        <v>#REF!</v>
      </c>
      <c r="E863" s="34" t="s">
        <v>5339</v>
      </c>
    </row>
    <row r="864" spans="1:5" x14ac:dyDescent="0.25">
      <c r="A864" s="33" t="str" cm="1">
        <f t="array" ref="A864">IFERROR(INDEX(Register!$B$3:$B$1409,ROW(),0), "")</f>
        <v>Green Circuits, Inc.</v>
      </c>
      <c r="B864" s="32" t="e">
        <f>VLOOKUP($A864,Register!$B$3:$E$1409,6,FALSE)</f>
        <v>#REF!</v>
      </c>
      <c r="C864" s="32" t="e">
        <f>VLOOKUP($A864,Register!$B$3:$E$1409,7,FALSE)</f>
        <v>#REF!</v>
      </c>
      <c r="D864" s="32" t="e">
        <f>VLOOKUP($A864,Register!$B$3:$E$1409,8,FALSE)</f>
        <v>#REF!</v>
      </c>
      <c r="E864" s="34" t="s">
        <v>5339</v>
      </c>
    </row>
    <row r="865" spans="1:5" x14ac:dyDescent="0.25">
      <c r="A865" s="33" t="str" cm="1">
        <f t="array" ref="A865">IFERROR(INDEX(Register!$B$3:$B$1409,ROW(),0), "")</f>
        <v>ICAPE group</v>
      </c>
      <c r="B865" s="32" t="e">
        <f>VLOOKUP($A865,Register!$B$3:$E$1409,6,FALSE)</f>
        <v>#REF!</v>
      </c>
      <c r="C865" s="32" t="e">
        <f>VLOOKUP($A865,Register!$B$3:$E$1409,7,FALSE)</f>
        <v>#REF!</v>
      </c>
      <c r="D865" s="32" t="e">
        <f>VLOOKUP($A865,Register!$B$3:$E$1409,8,FALSE)</f>
        <v>#REF!</v>
      </c>
      <c r="E865" s="34" t="s">
        <v>5339</v>
      </c>
    </row>
    <row r="866" spans="1:5" x14ac:dyDescent="0.25">
      <c r="A866" s="33" t="str" cm="1">
        <f t="array" ref="A866">IFERROR(INDEX(Register!$B$3:$B$1409,ROW(),0), "")</f>
        <v>ROYAL CIRCUIT SOLUTIONS</v>
      </c>
      <c r="B866" s="32" t="e">
        <f>VLOOKUP($A866,Register!$B$3:$E$1409,6,FALSE)</f>
        <v>#REF!</v>
      </c>
      <c r="C866" s="32" t="e">
        <f>VLOOKUP($A866,Register!$B$3:$E$1409,7,FALSE)</f>
        <v>#REF!</v>
      </c>
      <c r="D866" s="32" t="e">
        <f>VLOOKUP($A866,Register!$B$3:$E$1409,8,FALSE)</f>
        <v>#REF!</v>
      </c>
      <c r="E866" s="34" t="s">
        <v>5339</v>
      </c>
    </row>
    <row r="867" spans="1:5" x14ac:dyDescent="0.25">
      <c r="A867" s="33" t="str" cm="1">
        <f t="array" ref="A867">IFERROR(INDEX(Register!$B$3:$B$1409,ROW(),0), "")</f>
        <v>Welco</v>
      </c>
      <c r="B867" s="32" t="e">
        <f>VLOOKUP($A867,Register!$B$3:$E$1409,6,FALSE)</f>
        <v>#REF!</v>
      </c>
      <c r="C867" s="32" t="e">
        <f>VLOOKUP($A867,Register!$B$3:$E$1409,7,FALSE)</f>
        <v>#REF!</v>
      </c>
      <c r="D867" s="32" t="e">
        <f>VLOOKUP($A867,Register!$B$3:$E$1409,8,FALSE)</f>
        <v>#REF!</v>
      </c>
      <c r="E867" s="34" t="s">
        <v>5339</v>
      </c>
    </row>
    <row r="868" spans="1:5" x14ac:dyDescent="0.25">
      <c r="A868" s="33" t="str" cm="1">
        <f t="array" ref="A868">IFERROR(INDEX(Register!$B$3:$B$1409,ROW(),0), "")</f>
        <v>Western Exterminator Company</v>
      </c>
      <c r="B868" s="32" t="e">
        <f>VLOOKUP($A868,Register!$B$3:$E$1409,6,FALSE)</f>
        <v>#REF!</v>
      </c>
      <c r="C868" s="32" t="e">
        <f>VLOOKUP($A868,Register!$B$3:$E$1409,7,FALSE)</f>
        <v>#REF!</v>
      </c>
      <c r="D868" s="32" t="e">
        <f>VLOOKUP($A868,Register!$B$3:$E$1409,8,FALSE)</f>
        <v>#REF!</v>
      </c>
      <c r="E868" s="34" t="s">
        <v>5339</v>
      </c>
    </row>
    <row r="869" spans="1:5" x14ac:dyDescent="0.25">
      <c r="A869" s="33" t="str" cm="1">
        <f t="array" ref="A869">IFERROR(INDEX(Register!$B$3:$B$1409,ROW(),0), "")</f>
        <v>Ted's Camera Stores (Vic) Pty Ltd</v>
      </c>
      <c r="B869" s="32" t="e">
        <f>VLOOKUP($A869,Register!$B$3:$E$1409,6,FALSE)</f>
        <v>#REF!</v>
      </c>
      <c r="C869" s="32" t="e">
        <f>VLOOKUP($A869,Register!$B$3:$E$1409,7,FALSE)</f>
        <v>#REF!</v>
      </c>
      <c r="D869" s="32" t="e">
        <f>VLOOKUP($A869,Register!$B$3:$E$1409,8,FALSE)</f>
        <v>#REF!</v>
      </c>
      <c r="E869" s="34" t="s">
        <v>5339</v>
      </c>
    </row>
    <row r="870" spans="1:5" x14ac:dyDescent="0.25">
      <c r="A870" s="33" t="str" cm="1">
        <f t="array" ref="A870">IFERROR(INDEX(Register!$B$3:$B$1409,ROW(),0), "")</f>
        <v>Stouffer Industries, Inc.</v>
      </c>
      <c r="B870" s="32" t="e">
        <f>VLOOKUP($A870,Register!$B$3:$E$1409,6,FALSE)</f>
        <v>#REF!</v>
      </c>
      <c r="C870" s="32" t="e">
        <f>VLOOKUP($A870,Register!$B$3:$E$1409,7,FALSE)</f>
        <v>#REF!</v>
      </c>
      <c r="D870" s="32" t="e">
        <f>VLOOKUP($A870,Register!$B$3:$E$1409,8,FALSE)</f>
        <v>#REF!</v>
      </c>
      <c r="E870" s="34" t="s">
        <v>5339</v>
      </c>
    </row>
    <row r="871" spans="1:5" x14ac:dyDescent="0.25">
      <c r="A871" s="33" t="str" cm="1">
        <f t="array" ref="A871">IFERROR(INDEX(Register!$B$3:$B$1409,ROW(),0), "")</f>
        <v>Zhongshan Prorui Photographic Equipmnet (Bexin)</v>
      </c>
      <c r="B871" s="32" t="e">
        <f>VLOOKUP($A871,Register!$B$3:$E$1409,6,FALSE)</f>
        <v>#REF!</v>
      </c>
      <c r="C871" s="32" t="e">
        <f>VLOOKUP($A871,Register!$B$3:$E$1409,7,FALSE)</f>
        <v>#REF!</v>
      </c>
      <c r="D871" s="32" t="e">
        <f>VLOOKUP($A871,Register!$B$3:$E$1409,8,FALSE)</f>
        <v>#REF!</v>
      </c>
      <c r="E871" s="34" t="s">
        <v>5339</v>
      </c>
    </row>
    <row r="872" spans="1:5" x14ac:dyDescent="0.25">
      <c r="A872" s="33" t="str" cm="1">
        <f t="array" ref="A872">IFERROR(INDEX(Register!$B$3:$B$1409,ROW(),0), "")</f>
        <v>APC International (American Piezo)</v>
      </c>
      <c r="B872" s="32" t="e">
        <f>VLOOKUP($A872,Register!$B$3:$E$1409,6,FALSE)</f>
        <v>#REF!</v>
      </c>
      <c r="C872" s="32" t="e">
        <f>VLOOKUP($A872,Register!$B$3:$E$1409,7,FALSE)</f>
        <v>#REF!</v>
      </c>
      <c r="D872" s="32" t="e">
        <f>VLOOKUP($A872,Register!$B$3:$E$1409,8,FALSE)</f>
        <v>#REF!</v>
      </c>
      <c r="E872" s="34" t="s">
        <v>5339</v>
      </c>
    </row>
    <row r="873" spans="1:5" x14ac:dyDescent="0.25">
      <c r="A873" s="33" t="str" cm="1">
        <f t="array" ref="A873">IFERROR(INDEX(Register!$B$3:$B$1409,ROW(),0), "")</f>
        <v>Plasma Technology Systems</v>
      </c>
      <c r="B873" s="32" t="e">
        <f>VLOOKUP($A873,Register!$B$3:$E$1409,6,FALSE)</f>
        <v>#REF!</v>
      </c>
      <c r="C873" s="32" t="e">
        <f>VLOOKUP($A873,Register!$B$3:$E$1409,7,FALSE)</f>
        <v>#REF!</v>
      </c>
      <c r="D873" s="32" t="e">
        <f>VLOOKUP($A873,Register!$B$3:$E$1409,8,FALSE)</f>
        <v>#REF!</v>
      </c>
      <c r="E873" s="34" t="s">
        <v>5339</v>
      </c>
    </row>
    <row r="874" spans="1:5" x14ac:dyDescent="0.25">
      <c r="A874" s="33" t="str" cm="1">
        <f t="array" ref="A874">IFERROR(INDEX(Register!$B$3:$B$1409,ROW(),0), "")</f>
        <v>Kelseal Rubber Mouldings</v>
      </c>
      <c r="B874" s="32" t="e">
        <f>VLOOKUP($A874,Register!$B$3:$E$1409,6,FALSE)</f>
        <v>#REF!</v>
      </c>
      <c r="C874" s="32" t="e">
        <f>VLOOKUP($A874,Register!$B$3:$E$1409,7,FALSE)</f>
        <v>#REF!</v>
      </c>
      <c r="D874" s="32" t="e">
        <f>VLOOKUP($A874,Register!$B$3:$E$1409,8,FALSE)</f>
        <v>#REF!</v>
      </c>
      <c r="E874" s="34" t="s">
        <v>5339</v>
      </c>
    </row>
    <row r="875" spans="1:5" x14ac:dyDescent="0.25">
      <c r="A875" s="33" t="str" cm="1">
        <f t="array" ref="A875">IFERROR(INDEX(Register!$B$3:$B$1409,ROW(),0), "")</f>
        <v>Kelseal Rubber Mouldings Group Pty Ltd</v>
      </c>
      <c r="B875" s="32" t="e">
        <f>VLOOKUP($A875,Register!$B$3:$E$1409,6,FALSE)</f>
        <v>#REF!</v>
      </c>
      <c r="C875" s="32" t="e">
        <f>VLOOKUP($A875,Register!$B$3:$E$1409,7,FALSE)</f>
        <v>#REF!</v>
      </c>
      <c r="D875" s="32" t="e">
        <f>VLOOKUP($A875,Register!$B$3:$E$1409,8,FALSE)</f>
        <v>#REF!</v>
      </c>
      <c r="E875" s="34" t="s">
        <v>5339</v>
      </c>
    </row>
    <row r="876" spans="1:5" x14ac:dyDescent="0.25">
      <c r="A876" s="33" t="str" cm="1">
        <f t="array" ref="A876">IFERROR(INDEX(Register!$B$3:$B$1409,ROW(),0), "")</f>
        <v>Parade Jasa Sdn Bhd</v>
      </c>
      <c r="B876" s="32" t="e">
        <f>VLOOKUP($A876,Register!$B$3:$E$1409,6,FALSE)</f>
        <v>#REF!</v>
      </c>
      <c r="C876" s="32" t="e">
        <f>VLOOKUP($A876,Register!$B$3:$E$1409,7,FALSE)</f>
        <v>#REF!</v>
      </c>
      <c r="D876" s="32" t="e">
        <f>VLOOKUP($A876,Register!$B$3:$E$1409,8,FALSE)</f>
        <v>#REF!</v>
      </c>
      <c r="E876" s="34" t="s">
        <v>5339</v>
      </c>
    </row>
    <row r="877" spans="1:5" x14ac:dyDescent="0.25">
      <c r="A877" s="33" t="str" cm="1">
        <f t="array" ref="A877">IFERROR(INDEX(Register!$B$3:$B$1409,ROW(),0), "")</f>
        <v>GIBRALTAR PLASTIC PROD. CORP.</v>
      </c>
      <c r="B877" s="32" t="e">
        <f>VLOOKUP($A877,Register!$B$3:$E$1409,6,FALSE)</f>
        <v>#REF!</v>
      </c>
      <c r="C877" s="32" t="e">
        <f>VLOOKUP($A877,Register!$B$3:$E$1409,7,FALSE)</f>
        <v>#REF!</v>
      </c>
      <c r="D877" s="32" t="e">
        <f>VLOOKUP($A877,Register!$B$3:$E$1409,8,FALSE)</f>
        <v>#REF!</v>
      </c>
      <c r="E877" s="34" t="s">
        <v>5339</v>
      </c>
    </row>
    <row r="878" spans="1:5" x14ac:dyDescent="0.25">
      <c r="A878" s="33" t="str" cm="1">
        <f t="array" ref="A878">IFERROR(INDEX(Register!$B$3:$B$1409,ROW(),0), "")</f>
        <v>Grand Canyon Plastics</v>
      </c>
      <c r="B878" s="32" t="e">
        <f>VLOOKUP($A878,Register!$B$3:$E$1409,6,FALSE)</f>
        <v>#REF!</v>
      </c>
      <c r="C878" s="32" t="e">
        <f>VLOOKUP($A878,Register!$B$3:$E$1409,7,FALSE)</f>
        <v>#REF!</v>
      </c>
      <c r="D878" s="32" t="e">
        <f>VLOOKUP($A878,Register!$B$3:$E$1409,8,FALSE)</f>
        <v>#REF!</v>
      </c>
      <c r="E878" s="34" t="s">
        <v>5339</v>
      </c>
    </row>
    <row r="879" spans="1:5" x14ac:dyDescent="0.25">
      <c r="A879" s="33" t="str" cm="1">
        <f t="array" ref="A879">IFERROR(INDEX(Register!$B$3:$B$1409,ROW(),0), "")</f>
        <v>Providien Thermoforming (Specialty Manufacturing)</v>
      </c>
      <c r="B879" s="32" t="e">
        <f>VLOOKUP($A879,Register!$B$3:$E$1409,6,FALSE)</f>
        <v>#REF!</v>
      </c>
      <c r="C879" s="32" t="e">
        <f>VLOOKUP($A879,Register!$B$3:$E$1409,7,FALSE)</f>
        <v>#REF!</v>
      </c>
      <c r="D879" s="32" t="e">
        <f>VLOOKUP($A879,Register!$B$3:$E$1409,8,FALSE)</f>
        <v>#REF!</v>
      </c>
      <c r="E879" s="34" t="s">
        <v>5339</v>
      </c>
    </row>
    <row r="880" spans="1:5" x14ac:dyDescent="0.25">
      <c r="A880" s="33" t="str" cm="1">
        <f t="array" ref="A880">IFERROR(INDEX(Register!$B$3:$B$1409,ROW(),0), "")</f>
        <v>Warringah Plastics Pty Ltd</v>
      </c>
      <c r="B880" s="32" t="e">
        <f>VLOOKUP($A880,Register!$B$3:$E$1409,6,FALSE)</f>
        <v>#REF!</v>
      </c>
      <c r="C880" s="32" t="e">
        <f>VLOOKUP($A880,Register!$B$3:$E$1409,7,FALSE)</f>
        <v>#REF!</v>
      </c>
      <c r="D880" s="32" t="e">
        <f>VLOOKUP($A880,Register!$B$3:$E$1409,8,FALSE)</f>
        <v>#REF!</v>
      </c>
      <c r="E880" s="34" t="s">
        <v>5339</v>
      </c>
    </row>
    <row r="881" spans="1:5" x14ac:dyDescent="0.25">
      <c r="A881" s="33" t="str" cm="1">
        <f t="array" ref="A881">IFERROR(INDEX(Register!$B$3:$B$1409,ROW(),0), "")</f>
        <v>Ace Tooling Pty Ltd</v>
      </c>
      <c r="B881" s="32" t="e">
        <f>VLOOKUP($A881,Register!$B$3:$E$1409,6,FALSE)</f>
        <v>#REF!</v>
      </c>
      <c r="C881" s="32" t="e">
        <f>VLOOKUP($A881,Register!$B$3:$E$1409,7,FALSE)</f>
        <v>#REF!</v>
      </c>
      <c r="D881" s="32" t="e">
        <f>VLOOKUP($A881,Register!$B$3:$E$1409,8,FALSE)</f>
        <v>#REF!</v>
      </c>
      <c r="E881" s="34" t="s">
        <v>5339</v>
      </c>
    </row>
    <row r="882" spans="1:5" x14ac:dyDescent="0.25">
      <c r="A882" s="33" t="str" cm="1">
        <f t="array" ref="A882">IFERROR(INDEX(Register!$B$3:$B$1409,ROW(),0), "")</f>
        <v>Acron Plastics Pty Ltd</v>
      </c>
      <c r="B882" s="32" t="e">
        <f>VLOOKUP($A882,Register!$B$3:$E$1409,6,FALSE)</f>
        <v>#REF!</v>
      </c>
      <c r="C882" s="32" t="e">
        <f>VLOOKUP($A882,Register!$B$3:$E$1409,7,FALSE)</f>
        <v>#REF!</v>
      </c>
      <c r="D882" s="32" t="e">
        <f>VLOOKUP($A882,Register!$B$3:$E$1409,8,FALSE)</f>
        <v>#REF!</v>
      </c>
      <c r="E882" s="34" t="s">
        <v>5339</v>
      </c>
    </row>
    <row r="883" spans="1:5" x14ac:dyDescent="0.25">
      <c r="A883" s="33" t="str" cm="1">
        <f t="array" ref="A883">IFERROR(INDEX(Register!$B$3:$B$1409,ROW(),0), "")</f>
        <v>Baron Rubber</v>
      </c>
      <c r="B883" s="32" t="e">
        <f>VLOOKUP($A883,Register!$B$3:$E$1409,6,FALSE)</f>
        <v>#REF!</v>
      </c>
      <c r="C883" s="32" t="e">
        <f>VLOOKUP($A883,Register!$B$3:$E$1409,7,FALSE)</f>
        <v>#REF!</v>
      </c>
      <c r="D883" s="32" t="e">
        <f>VLOOKUP($A883,Register!$B$3:$E$1409,8,FALSE)</f>
        <v>#REF!</v>
      </c>
      <c r="E883" s="34" t="s">
        <v>5339</v>
      </c>
    </row>
    <row r="884" spans="1:5" x14ac:dyDescent="0.25">
      <c r="A884" s="33" t="str" cm="1">
        <f t="array" ref="A884">IFERROR(INDEX(Register!$B$3:$B$1409,ROW(),0), "")</f>
        <v>CPI Penang</v>
      </c>
      <c r="B884" s="32" t="e">
        <f>VLOOKUP($A884,Register!$B$3:$E$1409,6,FALSE)</f>
        <v>#REF!</v>
      </c>
      <c r="C884" s="32" t="e">
        <f>VLOOKUP($A884,Register!$B$3:$E$1409,7,FALSE)</f>
        <v>#REF!</v>
      </c>
      <c r="D884" s="32" t="e">
        <f>VLOOKUP($A884,Register!$B$3:$E$1409,8,FALSE)</f>
        <v>#REF!</v>
      </c>
      <c r="E884" s="34" t="s">
        <v>5339</v>
      </c>
    </row>
    <row r="885" spans="1:5" x14ac:dyDescent="0.25">
      <c r="A885" s="33" t="str" cm="1">
        <f t="array" ref="A885">IFERROR(INDEX(Register!$B$3:$B$1409,ROW(),0), "")</f>
        <v>Fit Mould Co</v>
      </c>
      <c r="B885" s="32" t="e">
        <f>VLOOKUP($A885,Register!$B$3:$E$1409,6,FALSE)</f>
        <v>#REF!</v>
      </c>
      <c r="C885" s="32" t="e">
        <f>VLOOKUP($A885,Register!$B$3:$E$1409,7,FALSE)</f>
        <v>#REF!</v>
      </c>
      <c r="D885" s="32" t="e">
        <f>VLOOKUP($A885,Register!$B$3:$E$1409,8,FALSE)</f>
        <v>#REF!</v>
      </c>
      <c r="E885" s="34" t="s">
        <v>5339</v>
      </c>
    </row>
    <row r="886" spans="1:5" x14ac:dyDescent="0.25">
      <c r="A886" s="33" t="str" cm="1">
        <f t="array" ref="A886">IFERROR(INDEX(Register!$B$3:$B$1409,ROW(),0), "")</f>
        <v>Ada Mould Technology Limited</v>
      </c>
      <c r="B886" s="32" t="e">
        <f>VLOOKUP($A886,Register!$B$3:$E$1409,6,FALSE)</f>
        <v>#REF!</v>
      </c>
      <c r="C886" s="32" t="e">
        <f>VLOOKUP($A886,Register!$B$3:$E$1409,7,FALSE)</f>
        <v>#REF!</v>
      </c>
      <c r="D886" s="32" t="e">
        <f>VLOOKUP($A886,Register!$B$3:$E$1409,8,FALSE)</f>
        <v>#REF!</v>
      </c>
      <c r="E886" s="34" t="s">
        <v>5339</v>
      </c>
    </row>
    <row r="887" spans="1:5" x14ac:dyDescent="0.25">
      <c r="A887" s="33" t="str" cm="1">
        <f t="array" ref="A887">IFERROR(INDEX(Register!$B$3:$B$1409,ROW(),0), "")</f>
        <v>FRIED KUNSTSTOFFTECHNIK GMBH</v>
      </c>
      <c r="B887" s="32" t="e">
        <f>VLOOKUP($A887,Register!$B$3:$E$1409,6,FALSE)</f>
        <v>#REF!</v>
      </c>
      <c r="C887" s="32" t="e">
        <f>VLOOKUP($A887,Register!$B$3:$E$1409,7,FALSE)</f>
        <v>#REF!</v>
      </c>
      <c r="D887" s="32" t="e">
        <f>VLOOKUP($A887,Register!$B$3:$E$1409,8,FALSE)</f>
        <v>#REF!</v>
      </c>
      <c r="E887" s="34" t="s">
        <v>5339</v>
      </c>
    </row>
    <row r="888" spans="1:5" x14ac:dyDescent="0.25">
      <c r="A888" s="33" t="str" cm="1">
        <f t="array" ref="A888">IFERROR(INDEX(Register!$B$3:$B$1409,ROW(),0), "")</f>
        <v>APPLE RUBBER PRODUCTS</v>
      </c>
      <c r="B888" s="32" t="e">
        <f>VLOOKUP($A888,Register!$B$3:$E$1409,6,FALSE)</f>
        <v>#REF!</v>
      </c>
      <c r="C888" s="32" t="e">
        <f>VLOOKUP($A888,Register!$B$3:$E$1409,7,FALSE)</f>
        <v>#REF!</v>
      </c>
      <c r="D888" s="32" t="e">
        <f>VLOOKUP($A888,Register!$B$3:$E$1409,8,FALSE)</f>
        <v>#REF!</v>
      </c>
      <c r="E888" s="34" t="s">
        <v>5339</v>
      </c>
    </row>
    <row r="889" spans="1:5" x14ac:dyDescent="0.25">
      <c r="A889" s="33" t="str" cm="1">
        <f t="array" ref="A889">IFERROR(INDEX(Register!$B$3:$B$1409,ROW(),0), "")</f>
        <v>Dotmar Engineering Plastic Products</v>
      </c>
      <c r="B889" s="32" t="e">
        <f>VLOOKUP($A889,Register!$B$3:$E$1409,6,FALSE)</f>
        <v>#REF!</v>
      </c>
      <c r="C889" s="32" t="e">
        <f>VLOOKUP($A889,Register!$B$3:$E$1409,7,FALSE)</f>
        <v>#REF!</v>
      </c>
      <c r="D889" s="32" t="e">
        <f>VLOOKUP($A889,Register!$B$3:$E$1409,8,FALSE)</f>
        <v>#REF!</v>
      </c>
      <c r="E889" s="34" t="s">
        <v>5339</v>
      </c>
    </row>
    <row r="890" spans="1:5" x14ac:dyDescent="0.25">
      <c r="A890" s="33" t="str" cm="1">
        <f t="array" ref="A890">IFERROR(INDEX(Register!$B$3:$B$1409,ROW(),0), "")</f>
        <v>King Tech Mould Co Ltd</v>
      </c>
      <c r="B890" s="32" t="e">
        <f>VLOOKUP($A890,Register!$B$3:$E$1409,6,FALSE)</f>
        <v>#REF!</v>
      </c>
      <c r="C890" s="32" t="e">
        <f>VLOOKUP($A890,Register!$B$3:$E$1409,7,FALSE)</f>
        <v>#REF!</v>
      </c>
      <c r="D890" s="32" t="e">
        <f>VLOOKUP($A890,Register!$B$3:$E$1409,8,FALSE)</f>
        <v>#REF!</v>
      </c>
      <c r="E890" s="34" t="s">
        <v>5339</v>
      </c>
    </row>
    <row r="891" spans="1:5" x14ac:dyDescent="0.25">
      <c r="A891" s="33" t="str" cm="1">
        <f t="array" ref="A891">IFERROR(INDEX(Register!$B$3:$B$1409,ROW(),0), "")</f>
        <v>EVERRED (HONG KONG) Ltd</v>
      </c>
      <c r="B891" s="32" t="e">
        <f>VLOOKUP($A891,Register!$B$3:$E$1409,6,FALSE)</f>
        <v>#REF!</v>
      </c>
      <c r="C891" s="32" t="e">
        <f>VLOOKUP($A891,Register!$B$3:$E$1409,7,FALSE)</f>
        <v>#REF!</v>
      </c>
      <c r="D891" s="32" t="e">
        <f>VLOOKUP($A891,Register!$B$3:$E$1409,8,FALSE)</f>
        <v>#REF!</v>
      </c>
      <c r="E891" s="34" t="s">
        <v>5339</v>
      </c>
    </row>
    <row r="892" spans="1:5" x14ac:dyDescent="0.25">
      <c r="A892" s="33" t="str" cm="1">
        <f t="array" ref="A892">IFERROR(INDEX(Register!$B$3:$B$1409,ROW(),0), "")</f>
        <v>Forme Technologies</v>
      </c>
      <c r="B892" s="32" t="e">
        <f>VLOOKUP($A892,Register!$B$3:$E$1409,6,FALSE)</f>
        <v>#REF!</v>
      </c>
      <c r="C892" s="32" t="e">
        <f>VLOOKUP($A892,Register!$B$3:$E$1409,7,FALSE)</f>
        <v>#REF!</v>
      </c>
      <c r="D892" s="32" t="e">
        <f>VLOOKUP($A892,Register!$B$3:$E$1409,8,FALSE)</f>
        <v>#REF!</v>
      </c>
      <c r="E892" s="34" t="s">
        <v>5339</v>
      </c>
    </row>
    <row r="893" spans="1:5" x14ac:dyDescent="0.25">
      <c r="A893" s="33" t="str" cm="1">
        <f t="array" ref="A893">IFERROR(INDEX(Register!$B$3:$B$1409,ROW(),0), "")</f>
        <v>Forme Technologies</v>
      </c>
      <c r="B893" s="32" t="e">
        <f>VLOOKUP($A893,Register!$B$3:$E$1409,6,FALSE)</f>
        <v>#REF!</v>
      </c>
      <c r="C893" s="32" t="e">
        <f>VLOOKUP($A893,Register!$B$3:$E$1409,7,FALSE)</f>
        <v>#REF!</v>
      </c>
      <c r="D893" s="32" t="e">
        <f>VLOOKUP($A893,Register!$B$3:$E$1409,8,FALSE)</f>
        <v>#REF!</v>
      </c>
      <c r="E893" s="34" t="s">
        <v>5339</v>
      </c>
    </row>
    <row r="894" spans="1:5" x14ac:dyDescent="0.25">
      <c r="A894" s="33" t="str" cm="1">
        <f t="array" ref="A894">IFERROR(INDEX(Register!$B$3:$B$1409,ROW(),0), "")</f>
        <v>Hochuen Medical Technology Co Ltd</v>
      </c>
      <c r="B894" s="32" t="e">
        <f>VLOOKUP($A894,Register!$B$3:$E$1409,6,FALSE)</f>
        <v>#REF!</v>
      </c>
      <c r="C894" s="32" t="e">
        <f>VLOOKUP($A894,Register!$B$3:$E$1409,7,FALSE)</f>
        <v>#REF!</v>
      </c>
      <c r="D894" s="32" t="e">
        <f>VLOOKUP($A894,Register!$B$3:$E$1409,8,FALSE)</f>
        <v>#REF!</v>
      </c>
      <c r="E894" s="34" t="s">
        <v>5339</v>
      </c>
    </row>
    <row r="895" spans="1:5" x14ac:dyDescent="0.25">
      <c r="A895" s="33" t="str" cm="1">
        <f t="array" ref="A895">IFERROR(INDEX(Register!$B$3:$B$1409,ROW(),0), "")</f>
        <v>Medbio Holding LLC</v>
      </c>
      <c r="B895" s="32" t="e">
        <f>VLOOKUP($A895,Register!$B$3:$E$1409,6,FALSE)</f>
        <v>#REF!</v>
      </c>
      <c r="C895" s="32" t="e">
        <f>VLOOKUP($A895,Register!$B$3:$E$1409,7,FALSE)</f>
        <v>#REF!</v>
      </c>
      <c r="D895" s="32" t="e">
        <f>VLOOKUP($A895,Register!$B$3:$E$1409,8,FALSE)</f>
        <v>#REF!</v>
      </c>
      <c r="E895" s="34" t="s">
        <v>5339</v>
      </c>
    </row>
    <row r="896" spans="1:5" x14ac:dyDescent="0.25">
      <c r="A896" s="33" t="str" cm="1">
        <f t="array" ref="A896">IFERROR(INDEX(Register!$B$3:$B$1409,ROW(),0), "")</f>
        <v>Hosico Engineering Group Pty Ltd (Hosico Eng)</v>
      </c>
      <c r="B896" s="32" t="e">
        <f>VLOOKUP($A896,Register!$B$3:$E$1409,6,FALSE)</f>
        <v>#REF!</v>
      </c>
      <c r="C896" s="32" t="e">
        <f>VLOOKUP($A896,Register!$B$3:$E$1409,7,FALSE)</f>
        <v>#REF!</v>
      </c>
      <c r="D896" s="32" t="e">
        <f>VLOOKUP($A896,Register!$B$3:$E$1409,8,FALSE)</f>
        <v>#REF!</v>
      </c>
      <c r="E896" s="34" t="s">
        <v>5339</v>
      </c>
    </row>
    <row r="897" spans="1:5" x14ac:dyDescent="0.25">
      <c r="A897" s="33" t="str" cm="1">
        <f t="array" ref="A897">IFERROR(INDEX(Register!$B$3:$B$1409,ROW(),0), "")</f>
        <v>KK Mold (Shenzhen) Co Ltd</v>
      </c>
      <c r="B897" s="32" t="e">
        <f>VLOOKUP($A897,Register!$B$3:$E$1409,6,FALSE)</f>
        <v>#REF!</v>
      </c>
      <c r="C897" s="32" t="e">
        <f>VLOOKUP($A897,Register!$B$3:$E$1409,7,FALSE)</f>
        <v>#REF!</v>
      </c>
      <c r="D897" s="32" t="e">
        <f>VLOOKUP($A897,Register!$B$3:$E$1409,8,FALSE)</f>
        <v>#REF!</v>
      </c>
      <c r="E897" s="34" t="s">
        <v>5339</v>
      </c>
    </row>
    <row r="898" spans="1:5" x14ac:dyDescent="0.25">
      <c r="A898" s="33" t="str" cm="1">
        <f t="array" ref="A898">IFERROR(INDEX(Register!$B$3:$B$1409,ROW(),0), "")</f>
        <v>Matchless Plastics, Inc.</v>
      </c>
      <c r="B898" s="32" t="e">
        <f>VLOOKUP($A898,Register!$B$3:$E$1409,6,FALSE)</f>
        <v>#REF!</v>
      </c>
      <c r="C898" s="32" t="e">
        <f>VLOOKUP($A898,Register!$B$3:$E$1409,7,FALSE)</f>
        <v>#REF!</v>
      </c>
      <c r="D898" s="32" t="e">
        <f>VLOOKUP($A898,Register!$B$3:$E$1409,8,FALSE)</f>
        <v>#REF!</v>
      </c>
      <c r="E898" s="34" t="s">
        <v>5339</v>
      </c>
    </row>
    <row r="899" spans="1:5" x14ac:dyDescent="0.25">
      <c r="A899" s="33" t="str" cm="1">
        <f t="array" ref="A899">IFERROR(INDEX(Register!$B$3:$B$1409,ROW(),0), "")</f>
        <v>Meiban Micro Pte Ltd</v>
      </c>
      <c r="B899" s="32" t="e">
        <f>VLOOKUP($A899,Register!$B$3:$E$1409,6,FALSE)</f>
        <v>#REF!</v>
      </c>
      <c r="C899" s="32" t="e">
        <f>VLOOKUP($A899,Register!$B$3:$E$1409,7,FALSE)</f>
        <v>#REF!</v>
      </c>
      <c r="D899" s="32" t="e">
        <f>VLOOKUP($A899,Register!$B$3:$E$1409,8,FALSE)</f>
        <v>#REF!</v>
      </c>
      <c r="E899" s="34" t="s">
        <v>5339</v>
      </c>
    </row>
    <row r="900" spans="1:5" x14ac:dyDescent="0.25">
      <c r="A900" s="33" t="str" cm="1">
        <f t="array" ref="A900">IFERROR(INDEX(Register!$B$3:$B$1409,ROW(),0), "")</f>
        <v>Meiban Mold Manufacture Pte Ltd</v>
      </c>
      <c r="B900" s="32" t="e">
        <f>VLOOKUP($A900,Register!$B$3:$E$1409,6,FALSE)</f>
        <v>#REF!</v>
      </c>
      <c r="C900" s="32" t="e">
        <f>VLOOKUP($A900,Register!$B$3:$E$1409,7,FALSE)</f>
        <v>#REF!</v>
      </c>
      <c r="D900" s="32" t="e">
        <f>VLOOKUP($A900,Register!$B$3:$E$1409,8,FALSE)</f>
        <v>#REF!</v>
      </c>
      <c r="E900" s="34" t="s">
        <v>5339</v>
      </c>
    </row>
    <row r="901" spans="1:5" x14ac:dyDescent="0.25">
      <c r="A901" s="33" t="str" cm="1">
        <f t="array" ref="A901">IFERROR(INDEX(Register!$B$3:$B$1409,ROW(),0), "")</f>
        <v>Plastics Moulding and Tooling</v>
      </c>
      <c r="B901" s="32" t="e">
        <f>VLOOKUP($A901,Register!$B$3:$E$1409,6,FALSE)</f>
        <v>#REF!</v>
      </c>
      <c r="C901" s="32" t="e">
        <f>VLOOKUP($A901,Register!$B$3:$E$1409,7,FALSE)</f>
        <v>#REF!</v>
      </c>
      <c r="D901" s="32" t="e">
        <f>VLOOKUP($A901,Register!$B$3:$E$1409,8,FALSE)</f>
        <v>#REF!</v>
      </c>
      <c r="E901" s="34" t="s">
        <v>5339</v>
      </c>
    </row>
    <row r="902" spans="1:5" x14ac:dyDescent="0.25">
      <c r="A902" s="33" t="str" cm="1">
        <f t="array" ref="A902">IFERROR(INDEX(Register!$B$3:$B$1409,ROW(),0), "")</f>
        <v>Plastopia Molding Limited</v>
      </c>
      <c r="B902" s="32" t="e">
        <f>VLOOKUP($A902,Register!$B$3:$E$1409,6,FALSE)</f>
        <v>#REF!</v>
      </c>
      <c r="C902" s="32" t="e">
        <f>VLOOKUP($A902,Register!$B$3:$E$1409,7,FALSE)</f>
        <v>#REF!</v>
      </c>
      <c r="D902" s="32" t="e">
        <f>VLOOKUP($A902,Register!$B$3:$E$1409,8,FALSE)</f>
        <v>#REF!</v>
      </c>
      <c r="E902" s="34" t="s">
        <v>5339</v>
      </c>
    </row>
    <row r="903" spans="1:5" x14ac:dyDescent="0.25">
      <c r="A903" s="33" t="str" cm="1">
        <f t="array" ref="A903">IFERROR(INDEX(Register!$B$3:$B$1409,ROW(),0), "")</f>
        <v>Romar Engineering Pty Ltd</v>
      </c>
      <c r="B903" s="32" t="e">
        <f>VLOOKUP($A903,Register!$B$3:$E$1409,6,FALSE)</f>
        <v>#REF!</v>
      </c>
      <c r="C903" s="32" t="e">
        <f>VLOOKUP($A903,Register!$B$3:$E$1409,7,FALSE)</f>
        <v>#REF!</v>
      </c>
      <c r="D903" s="32" t="e">
        <f>VLOOKUP($A903,Register!$B$3:$E$1409,8,FALSE)</f>
        <v>#REF!</v>
      </c>
      <c r="E903" s="34" t="s">
        <v>5339</v>
      </c>
    </row>
    <row r="904" spans="1:5" x14ac:dyDescent="0.25">
      <c r="A904" s="33" t="str" cm="1">
        <f t="array" ref="A904">IFERROR(INDEX(Register!$B$3:$B$1409,ROW(),0), "")</f>
        <v>Shenzhen CE Mold Co Ltd</v>
      </c>
      <c r="B904" s="32" t="e">
        <f>VLOOKUP($A904,Register!$B$3:$E$1409,6,FALSE)</f>
        <v>#REF!</v>
      </c>
      <c r="C904" s="32" t="e">
        <f>VLOOKUP($A904,Register!$B$3:$E$1409,7,FALSE)</f>
        <v>#REF!</v>
      </c>
      <c r="D904" s="32" t="e">
        <f>VLOOKUP($A904,Register!$B$3:$E$1409,8,FALSE)</f>
        <v>#REF!</v>
      </c>
      <c r="E904" s="34" t="s">
        <v>5339</v>
      </c>
    </row>
    <row r="905" spans="1:5" x14ac:dyDescent="0.25">
      <c r="A905" s="33" t="str" cm="1">
        <f t="array" ref="A905">IFERROR(INDEX(Register!$B$3:$B$1409,ROW(),0), "")</f>
        <v>Shenzhen Chanson Precision Mold Co Ltd</v>
      </c>
      <c r="B905" s="32" t="e">
        <f>VLOOKUP($A905,Register!$B$3:$E$1409,6,FALSE)</f>
        <v>#REF!</v>
      </c>
      <c r="C905" s="32" t="e">
        <f>VLOOKUP($A905,Register!$B$3:$E$1409,7,FALSE)</f>
        <v>#REF!</v>
      </c>
      <c r="D905" s="32" t="e">
        <f>VLOOKUP($A905,Register!$B$3:$E$1409,8,FALSE)</f>
        <v>#REF!</v>
      </c>
      <c r="E905" s="34" t="s">
        <v>5339</v>
      </c>
    </row>
    <row r="906" spans="1:5" x14ac:dyDescent="0.25">
      <c r="A906" s="33" t="str" cm="1">
        <f t="array" ref="A906">IFERROR(INDEX(Register!$B$3:$B$1409,ROW(),0), "")</f>
        <v>Shenzhen Hochuen Technologies Co.</v>
      </c>
      <c r="B906" s="32" t="e">
        <f>VLOOKUP($A906,Register!$B$3:$E$1409,6,FALSE)</f>
        <v>#REF!</v>
      </c>
      <c r="C906" s="32" t="e">
        <f>VLOOKUP($A906,Register!$B$3:$E$1409,7,FALSE)</f>
        <v>#REF!</v>
      </c>
      <c r="D906" s="32" t="e">
        <f>VLOOKUP($A906,Register!$B$3:$E$1409,8,FALSE)</f>
        <v>#REF!</v>
      </c>
      <c r="E906" s="34" t="s">
        <v>5339</v>
      </c>
    </row>
    <row r="907" spans="1:5" x14ac:dyDescent="0.25">
      <c r="A907" s="33" t="str" cm="1">
        <f t="array" ref="A907">IFERROR(INDEX(Register!$B$3:$B$1409,ROW(),0), "")</f>
        <v>Shenzhen Johnhalm PDTec.,Ltd</v>
      </c>
      <c r="B907" s="32" t="e">
        <f>VLOOKUP($A907,Register!$B$3:$E$1409,6,FALSE)</f>
        <v>#REF!</v>
      </c>
      <c r="C907" s="32" t="e">
        <f>VLOOKUP($A907,Register!$B$3:$E$1409,7,FALSE)</f>
        <v>#REF!</v>
      </c>
      <c r="D907" s="32" t="e">
        <f>VLOOKUP($A907,Register!$B$3:$E$1409,8,FALSE)</f>
        <v>#REF!</v>
      </c>
      <c r="E907" s="34" t="s">
        <v>5339</v>
      </c>
    </row>
    <row r="908" spans="1:5" x14ac:dyDescent="0.25">
      <c r="A908" s="33" t="str" cm="1">
        <f t="array" ref="A908">IFERROR(INDEX(Register!$B$3:$B$1409,ROW(),0), "")</f>
        <v>Tessy Plastics Shanghai Co Ltd</v>
      </c>
      <c r="B908" s="32" t="e">
        <f>VLOOKUP($A908,Register!$B$3:$E$1409,6,FALSE)</f>
        <v>#REF!</v>
      </c>
      <c r="C908" s="32" t="e">
        <f>VLOOKUP($A908,Register!$B$3:$E$1409,7,FALSE)</f>
        <v>#REF!</v>
      </c>
      <c r="D908" s="32" t="e">
        <f>VLOOKUP($A908,Register!$B$3:$E$1409,8,FALSE)</f>
        <v>#REF!</v>
      </c>
      <c r="E908" s="34" t="s">
        <v>5339</v>
      </c>
    </row>
    <row r="909" spans="1:5" x14ac:dyDescent="0.25">
      <c r="A909" s="33" t="str" cm="1">
        <f t="array" ref="A909">IFERROR(INDEX(Register!$B$3:$B$1409,ROW(),0), "")</f>
        <v>Threegon Electro-Mechanical OEM Products</v>
      </c>
      <c r="B909" s="32" t="e">
        <f>VLOOKUP($A909,Register!$B$3:$E$1409,6,FALSE)</f>
        <v>#REF!</v>
      </c>
      <c r="C909" s="32" t="e">
        <f>VLOOKUP($A909,Register!$B$3:$E$1409,7,FALSE)</f>
        <v>#REF!</v>
      </c>
      <c r="D909" s="32" t="e">
        <f>VLOOKUP($A909,Register!$B$3:$E$1409,8,FALSE)</f>
        <v>#REF!</v>
      </c>
      <c r="E909" s="34" t="s">
        <v>5339</v>
      </c>
    </row>
    <row r="910" spans="1:5" x14ac:dyDescent="0.25">
      <c r="A910" s="33" t="str" cm="1">
        <f t="array" ref="A910">IFERROR(INDEX(Register!$B$3:$B$1409,ROW(),0), "")</f>
        <v>Topwell Spring Development Ltd</v>
      </c>
      <c r="B910" s="32" t="e">
        <f>VLOOKUP($A910,Register!$B$3:$E$1409,6,FALSE)</f>
        <v>#REF!</v>
      </c>
      <c r="C910" s="32" t="e">
        <f>VLOOKUP($A910,Register!$B$3:$E$1409,7,FALSE)</f>
        <v>#REF!</v>
      </c>
      <c r="D910" s="32" t="e">
        <f>VLOOKUP($A910,Register!$B$3:$E$1409,8,FALSE)</f>
        <v>#REF!</v>
      </c>
      <c r="E910" s="34" t="s">
        <v>5339</v>
      </c>
    </row>
    <row r="911" spans="1:5" x14ac:dyDescent="0.25">
      <c r="A911" s="33" t="str" cm="1">
        <f t="array" ref="A911">IFERROR(INDEX(Register!$B$3:$B$1409,ROW(),0), "")</f>
        <v>VEM (Thailand) Co.,Ltd.</v>
      </c>
      <c r="B911" s="32" t="e">
        <f>VLOOKUP($A911,Register!$B$3:$E$1409,6,FALSE)</f>
        <v>#REF!</v>
      </c>
      <c r="C911" s="32" t="e">
        <f>VLOOKUP($A911,Register!$B$3:$E$1409,7,FALSE)</f>
        <v>#REF!</v>
      </c>
      <c r="D911" s="32" t="e">
        <f>VLOOKUP($A911,Register!$B$3:$E$1409,8,FALSE)</f>
        <v>#REF!</v>
      </c>
      <c r="E911" s="34" t="s">
        <v>5339</v>
      </c>
    </row>
    <row r="912" spans="1:5" x14ac:dyDescent="0.25">
      <c r="A912" s="33" t="str" cm="1">
        <f t="array" ref="A912">IFERROR(INDEX(Register!$B$3:$B$1409,ROW(),0), "")</f>
        <v>Sunningdale Tech</v>
      </c>
      <c r="B912" s="32" t="e">
        <f>VLOOKUP($A912,Register!$B$3:$E$1409,6,FALSE)</f>
        <v>#REF!</v>
      </c>
      <c r="C912" s="32" t="e">
        <f>VLOOKUP($A912,Register!$B$3:$E$1409,7,FALSE)</f>
        <v>#REF!</v>
      </c>
      <c r="D912" s="32" t="e">
        <f>VLOOKUP($A912,Register!$B$3:$E$1409,8,FALSE)</f>
        <v>#REF!</v>
      </c>
      <c r="E912" s="34" t="s">
        <v>5339</v>
      </c>
    </row>
    <row r="913" spans="1:5" x14ac:dyDescent="0.25">
      <c r="A913" s="33" t="str" cm="1">
        <f t="array" ref="A913">IFERROR(INDEX(Register!$B$3:$B$1409,ROW(),0), "")</f>
        <v>Westfall Technik Inc.</v>
      </c>
      <c r="B913" s="32" t="e">
        <f>VLOOKUP($A913,Register!$B$3:$E$1409,6,FALSE)</f>
        <v>#REF!</v>
      </c>
      <c r="C913" s="32" t="e">
        <f>VLOOKUP($A913,Register!$B$3:$E$1409,7,FALSE)</f>
        <v>#REF!</v>
      </c>
      <c r="D913" s="32" t="e">
        <f>VLOOKUP($A913,Register!$B$3:$E$1409,8,FALSE)</f>
        <v>#REF!</v>
      </c>
      <c r="E913" s="34" t="s">
        <v>5339</v>
      </c>
    </row>
    <row r="914" spans="1:5" x14ac:dyDescent="0.25">
      <c r="A914" s="33" t="str" cm="1">
        <f t="array" ref="A914">IFERROR(INDEX(Register!$B$3:$B$1409,ROW(),0), "")</f>
        <v>PLASTIC-MART.COM</v>
      </c>
      <c r="B914" s="32" t="e">
        <f>VLOOKUP($A914,Register!$B$3:$E$1409,6,FALSE)</f>
        <v>#REF!</v>
      </c>
      <c r="C914" s="32" t="e">
        <f>VLOOKUP($A914,Register!$B$3:$E$1409,7,FALSE)</f>
        <v>#REF!</v>
      </c>
      <c r="D914" s="32" t="e">
        <f>VLOOKUP($A914,Register!$B$3:$E$1409,8,FALSE)</f>
        <v>#REF!</v>
      </c>
      <c r="E914" s="34" t="s">
        <v>5339</v>
      </c>
    </row>
    <row r="915" spans="1:5" x14ac:dyDescent="0.25">
      <c r="A915" s="33" t="str" cm="1">
        <f t="array" ref="A915">IFERROR(INDEX(Register!$B$3:$B$1409,ROW(),0), "")</f>
        <v>ROGAN CORPORATION</v>
      </c>
      <c r="B915" s="32" t="e">
        <f>VLOOKUP($A915,Register!$B$3:$E$1409,6,FALSE)</f>
        <v>#REF!</v>
      </c>
      <c r="C915" s="32" t="e">
        <f>VLOOKUP($A915,Register!$B$3:$E$1409,7,FALSE)</f>
        <v>#REF!</v>
      </c>
      <c r="D915" s="32" t="e">
        <f>VLOOKUP($A915,Register!$B$3:$E$1409,8,FALSE)</f>
        <v>#REF!</v>
      </c>
      <c r="E915" s="34" t="s">
        <v>5339</v>
      </c>
    </row>
    <row r="916" spans="1:5" x14ac:dyDescent="0.25">
      <c r="A916" s="33" t="str" cm="1">
        <f t="array" ref="A916">IFERROR(INDEX(Register!$B$3:$B$1409,ROW(),0), "")</f>
        <v>PROFESSIONAL PLASTICS</v>
      </c>
      <c r="B916" s="32" t="e">
        <f>VLOOKUP($A916,Register!$B$3:$E$1409,6,FALSE)</f>
        <v>#REF!</v>
      </c>
      <c r="C916" s="32" t="e">
        <f>VLOOKUP($A916,Register!$B$3:$E$1409,7,FALSE)</f>
        <v>#REF!</v>
      </c>
      <c r="D916" s="32" t="e">
        <f>VLOOKUP($A916,Register!$B$3:$E$1409,8,FALSE)</f>
        <v>#REF!</v>
      </c>
      <c r="E916" s="34" t="s">
        <v>5339</v>
      </c>
    </row>
    <row r="917" spans="1:5" x14ac:dyDescent="0.25">
      <c r="A917" s="33" t="str" cm="1">
        <f t="array" ref="A917">IFERROR(INDEX(Register!$B$3:$B$1409,ROW(),0), "")</f>
        <v>SAINT-GOBAIN PERFORMANCE PLAST</v>
      </c>
      <c r="B917" s="32" t="e">
        <f>VLOOKUP($A917,Register!$B$3:$E$1409,6,FALSE)</f>
        <v>#REF!</v>
      </c>
      <c r="C917" s="32" t="e">
        <f>VLOOKUP($A917,Register!$B$3:$E$1409,7,FALSE)</f>
        <v>#REF!</v>
      </c>
      <c r="D917" s="32" t="e">
        <f>VLOOKUP($A917,Register!$B$3:$E$1409,8,FALSE)</f>
        <v>#REF!</v>
      </c>
      <c r="E917" s="34" t="s">
        <v>5339</v>
      </c>
    </row>
    <row r="918" spans="1:5" x14ac:dyDescent="0.25">
      <c r="A918" s="33" t="str" cm="1">
        <f t="array" ref="A918">IFERROR(INDEX(Register!$B$3:$B$1409,ROW(),0), "")</f>
        <v>US PLASTIC</v>
      </c>
      <c r="B918" s="32" t="e">
        <f>VLOOKUP($A918,Register!$B$3:$E$1409,6,FALSE)</f>
        <v>#REF!</v>
      </c>
      <c r="C918" s="32" t="e">
        <f>VLOOKUP($A918,Register!$B$3:$E$1409,7,FALSE)</f>
        <v>#REF!</v>
      </c>
      <c r="D918" s="32" t="e">
        <f>VLOOKUP($A918,Register!$B$3:$E$1409,8,FALSE)</f>
        <v>#REF!</v>
      </c>
      <c r="E918" s="34" t="s">
        <v>5339</v>
      </c>
    </row>
    <row r="919" spans="1:5" x14ac:dyDescent="0.25">
      <c r="A919" s="33" t="str" cm="1">
        <f t="array" ref="A919">IFERROR(INDEX(Register!$B$3:$B$1409,ROW(),0), "")</f>
        <v>Melbourne Rotomould Pty Ltd (Melro)</v>
      </c>
      <c r="B919" s="32" t="e">
        <f>VLOOKUP($A919,Register!$B$3:$E$1409,6,FALSE)</f>
        <v>#REF!</v>
      </c>
      <c r="C919" s="32" t="e">
        <f>VLOOKUP($A919,Register!$B$3:$E$1409,7,FALSE)</f>
        <v>#REF!</v>
      </c>
      <c r="D919" s="32" t="e">
        <f>VLOOKUP($A919,Register!$B$3:$E$1409,8,FALSE)</f>
        <v>#REF!</v>
      </c>
      <c r="E919" s="34" t="s">
        <v>5339</v>
      </c>
    </row>
    <row r="920" spans="1:5" x14ac:dyDescent="0.25">
      <c r="A920" s="33" t="str" cm="1">
        <f t="array" ref="A920">IFERROR(INDEX(Register!$B$3:$B$1409,ROW(),0), "")</f>
        <v>Preview Industries Australia (Preview Plastics)</v>
      </c>
      <c r="B920" s="32" t="e">
        <f>VLOOKUP($A920,Register!$B$3:$E$1409,6,FALSE)</f>
        <v>#REF!</v>
      </c>
      <c r="C920" s="32" t="e">
        <f>VLOOKUP($A920,Register!$B$3:$E$1409,7,FALSE)</f>
        <v>#REF!</v>
      </c>
      <c r="D920" s="32" t="e">
        <f>VLOOKUP($A920,Register!$B$3:$E$1409,8,FALSE)</f>
        <v>#REF!</v>
      </c>
      <c r="E920" s="34" t="s">
        <v>5339</v>
      </c>
    </row>
    <row r="921" spans="1:5" x14ac:dyDescent="0.25">
      <c r="A921" s="33" t="str" cm="1">
        <f t="array" ref="A921">IFERROR(INDEX(Register!$B$3:$B$1409,ROW(),0), "")</f>
        <v>Plastics for Industry Pty Ltd</v>
      </c>
      <c r="B921" s="32" t="e">
        <f>VLOOKUP($A921,Register!$B$3:$E$1409,6,FALSE)</f>
        <v>#REF!</v>
      </c>
      <c r="C921" s="32" t="e">
        <f>VLOOKUP($A921,Register!$B$3:$E$1409,7,FALSE)</f>
        <v>#REF!</v>
      </c>
      <c r="D921" s="32" t="e">
        <f>VLOOKUP($A921,Register!$B$3:$E$1409,8,FALSE)</f>
        <v>#REF!</v>
      </c>
      <c r="E921" s="34" t="s">
        <v>5339</v>
      </c>
    </row>
    <row r="922" spans="1:5" x14ac:dyDescent="0.25">
      <c r="A922" s="33" t="str" cm="1">
        <f t="array" ref="A922">IFERROR(INDEX(Register!$B$3:$B$1409,ROW(),0), "")</f>
        <v>The Plastic Man (Bell Investment Co)</v>
      </c>
      <c r="B922" s="32" t="e">
        <f>VLOOKUP($A922,Register!$B$3:$E$1409,6,FALSE)</f>
        <v>#REF!</v>
      </c>
      <c r="C922" s="32" t="e">
        <f>VLOOKUP($A922,Register!$B$3:$E$1409,7,FALSE)</f>
        <v>#REF!</v>
      </c>
      <c r="D922" s="32" t="e">
        <f>VLOOKUP($A922,Register!$B$3:$E$1409,8,FALSE)</f>
        <v>#REF!</v>
      </c>
      <c r="E922" s="34" t="s">
        <v>5339</v>
      </c>
    </row>
    <row r="923" spans="1:5" x14ac:dyDescent="0.25">
      <c r="A923" s="33" t="str" cm="1">
        <f t="array" ref="A923">IFERROR(INDEX(Register!$B$3:$B$1409,ROW(),0), "")</f>
        <v>United States Plastic Corporation</v>
      </c>
      <c r="B923" s="32" t="e">
        <f>VLOOKUP($A923,Register!$B$3:$E$1409,6,FALSE)</f>
        <v>#REF!</v>
      </c>
      <c r="C923" s="32" t="e">
        <f>VLOOKUP($A923,Register!$B$3:$E$1409,7,FALSE)</f>
        <v>#REF!</v>
      </c>
      <c r="D923" s="32" t="e">
        <f>VLOOKUP($A923,Register!$B$3:$E$1409,8,FALSE)</f>
        <v>#REF!</v>
      </c>
      <c r="E923" s="34" t="s">
        <v>5339</v>
      </c>
    </row>
    <row r="924" spans="1:5" x14ac:dyDescent="0.25">
      <c r="A924" s="33" t="str" cm="1">
        <f t="array" ref="A924">IFERROR(INDEX(Register!$B$3:$B$1409,ROW(),0), "")</f>
        <v>ROOTER HERO PLUMBING</v>
      </c>
      <c r="B924" s="32" t="e">
        <f>VLOOKUP($A924,Register!$B$3:$E$1409,6,FALSE)</f>
        <v>#REF!</v>
      </c>
      <c r="C924" s="32" t="e">
        <f>VLOOKUP($A924,Register!$B$3:$E$1409,7,FALSE)</f>
        <v>#REF!</v>
      </c>
      <c r="D924" s="32" t="e">
        <f>VLOOKUP($A924,Register!$B$3:$E$1409,8,FALSE)</f>
        <v>#REF!</v>
      </c>
      <c r="E924" s="34" t="s">
        <v>5339</v>
      </c>
    </row>
    <row r="925" spans="1:5" x14ac:dyDescent="0.25">
      <c r="A925" s="33" t="str" cm="1">
        <f t="array" ref="A925">IFERROR(INDEX(Register!$B$3:$B$1409,ROW(),0), "")</f>
        <v>Orange Coast Pneumatics</v>
      </c>
      <c r="B925" s="32" t="e">
        <f>VLOOKUP($A925,Register!$B$3:$E$1409,6,FALSE)</f>
        <v>#REF!</v>
      </c>
      <c r="C925" s="32" t="e">
        <f>VLOOKUP($A925,Register!$B$3:$E$1409,7,FALSE)</f>
        <v>#REF!</v>
      </c>
      <c r="D925" s="32" t="e">
        <f>VLOOKUP($A925,Register!$B$3:$E$1409,8,FALSE)</f>
        <v>#REF!</v>
      </c>
      <c r="E925" s="34" t="s">
        <v>5339</v>
      </c>
    </row>
    <row r="926" spans="1:5" x14ac:dyDescent="0.25">
      <c r="A926" s="33" t="str" cm="1">
        <f t="array" ref="A926">IFERROR(INDEX(Register!$B$3:$B$1409,ROW(),0), "")</f>
        <v>Pneumatic Solutions Australia</v>
      </c>
      <c r="B926" s="32" t="e">
        <f>VLOOKUP($A926,Register!$B$3:$E$1409,6,FALSE)</f>
        <v>#REF!</v>
      </c>
      <c r="C926" s="32" t="e">
        <f>VLOOKUP($A926,Register!$B$3:$E$1409,7,FALSE)</f>
        <v>#REF!</v>
      </c>
      <c r="D926" s="32" t="e">
        <f>VLOOKUP($A926,Register!$B$3:$E$1409,8,FALSE)</f>
        <v>#REF!</v>
      </c>
      <c r="E926" s="34" t="s">
        <v>5339</v>
      </c>
    </row>
    <row r="927" spans="1:5" x14ac:dyDescent="0.25">
      <c r="A927" s="33" t="str" cm="1">
        <f t="array" ref="A927">IFERROR(INDEX(Register!$B$3:$B$1409,ROW(),0), "")</f>
        <v>Pneutech Pty Ltd</v>
      </c>
      <c r="B927" s="32" t="e">
        <f>VLOOKUP($A927,Register!$B$3:$E$1409,6,FALSE)</f>
        <v>#REF!</v>
      </c>
      <c r="C927" s="32" t="e">
        <f>VLOOKUP($A927,Register!$B$3:$E$1409,7,FALSE)</f>
        <v>#REF!</v>
      </c>
      <c r="D927" s="32" t="e">
        <f>VLOOKUP($A927,Register!$B$3:$E$1409,8,FALSE)</f>
        <v>#REF!</v>
      </c>
      <c r="E927" s="34" t="s">
        <v>5339</v>
      </c>
    </row>
    <row r="928" spans="1:5" x14ac:dyDescent="0.25">
      <c r="A928" s="33" t="str" cm="1">
        <f t="array" ref="A928">IFERROR(INDEX(Register!$B$3:$B$1409,ROW(),0), "")</f>
        <v>SMC Corporation (Australia) Pty Ltd</v>
      </c>
      <c r="B928" s="32" t="e">
        <f>VLOOKUP($A928,Register!$B$3:$E$1409,6,FALSE)</f>
        <v>#REF!</v>
      </c>
      <c r="C928" s="32" t="e">
        <f>VLOOKUP($A928,Register!$B$3:$E$1409,7,FALSE)</f>
        <v>#REF!</v>
      </c>
      <c r="D928" s="32" t="e">
        <f>VLOOKUP($A928,Register!$B$3:$E$1409,8,FALSE)</f>
        <v>#REF!</v>
      </c>
      <c r="E928" s="34" t="s">
        <v>5339</v>
      </c>
    </row>
    <row r="929" spans="1:5" x14ac:dyDescent="0.25">
      <c r="A929" s="33" t="str" cm="1">
        <f t="array" ref="A929">IFERROR(INDEX(Register!$B$3:$B$1409,ROW(),0), "")</f>
        <v>SUSPA-NORTH AMERICA</v>
      </c>
      <c r="B929" s="32" t="e">
        <f>VLOOKUP($A929,Register!$B$3:$E$1409,6,FALSE)</f>
        <v>#REF!</v>
      </c>
      <c r="C929" s="32" t="e">
        <f>VLOOKUP($A929,Register!$B$3:$E$1409,7,FALSE)</f>
        <v>#REF!</v>
      </c>
      <c r="D929" s="32" t="e">
        <f>VLOOKUP($A929,Register!$B$3:$E$1409,8,FALSE)</f>
        <v>#REF!</v>
      </c>
      <c r="E929" s="34" t="s">
        <v>5339</v>
      </c>
    </row>
    <row r="930" spans="1:5" x14ac:dyDescent="0.25">
      <c r="A930" s="33" t="str" cm="1">
        <f t="array" ref="A930">IFERROR(INDEX(Register!$B$3:$B$1409,ROW(),0), "")</f>
        <v>Swagelok Eastern Australia</v>
      </c>
      <c r="B930" s="32" t="e">
        <f>VLOOKUP($A930,Register!$B$3:$E$1409,6,FALSE)</f>
        <v>#REF!</v>
      </c>
      <c r="C930" s="32" t="e">
        <f>VLOOKUP($A930,Register!$B$3:$E$1409,7,FALSE)</f>
        <v>#REF!</v>
      </c>
      <c r="D930" s="32" t="e">
        <f>VLOOKUP($A930,Register!$B$3:$E$1409,8,FALSE)</f>
        <v>#REF!</v>
      </c>
      <c r="E930" s="34" t="s">
        <v>5339</v>
      </c>
    </row>
    <row r="931" spans="1:5" x14ac:dyDescent="0.25">
      <c r="A931" s="33" t="str" cm="1">
        <f t="array" ref="A931">IFERROR(INDEX(Register!$B$3:$B$1409,ROW(),0), "")</f>
        <v>Townsend Chemicals</v>
      </c>
      <c r="B931" s="32" t="e">
        <f>VLOOKUP($A931,Register!$B$3:$E$1409,6,FALSE)</f>
        <v>#REF!</v>
      </c>
      <c r="C931" s="32" t="e">
        <f>VLOOKUP($A931,Register!$B$3:$E$1409,7,FALSE)</f>
        <v>#REF!</v>
      </c>
      <c r="D931" s="32" t="e">
        <f>VLOOKUP($A931,Register!$B$3:$E$1409,8,FALSE)</f>
        <v>#REF!</v>
      </c>
      <c r="E931" s="34" t="s">
        <v>5339</v>
      </c>
    </row>
    <row r="932" spans="1:5" x14ac:dyDescent="0.25">
      <c r="A932" s="33" t="str" cm="1">
        <f t="array" ref="A932">IFERROR(INDEX(Register!$B$3:$B$1409,ROW(),0), "")</f>
        <v>Oxyphen GmbH</v>
      </c>
      <c r="B932" s="32" t="e">
        <f>VLOOKUP($A932,Register!$B$3:$E$1409,6,FALSE)</f>
        <v>#REF!</v>
      </c>
      <c r="C932" s="32" t="e">
        <f>VLOOKUP($A932,Register!$B$3:$E$1409,7,FALSE)</f>
        <v>#REF!</v>
      </c>
      <c r="D932" s="32" t="e">
        <f>VLOOKUP($A932,Register!$B$3:$E$1409,8,FALSE)</f>
        <v>#REF!</v>
      </c>
      <c r="E932" s="34" t="s">
        <v>5339</v>
      </c>
    </row>
    <row r="933" spans="1:5" x14ac:dyDescent="0.25">
      <c r="A933" s="33" t="str" cm="1">
        <f t="array" ref="A933">IFERROR(INDEX(Register!$B$3:$B$1409,ROW(),0), "")</f>
        <v>P-Duke Technology, Inc.</v>
      </c>
      <c r="B933" s="32" t="e">
        <f>VLOOKUP($A933,Register!$B$3:$E$1409,6,FALSE)</f>
        <v>#REF!</v>
      </c>
      <c r="C933" s="32" t="e">
        <f>VLOOKUP($A933,Register!$B$3:$E$1409,7,FALSE)</f>
        <v>#REF!</v>
      </c>
      <c r="D933" s="32" t="e">
        <f>VLOOKUP($A933,Register!$B$3:$E$1409,8,FALSE)</f>
        <v>#REF!</v>
      </c>
      <c r="E933" s="34" t="s">
        <v>5339</v>
      </c>
    </row>
    <row r="934" spans="1:5" x14ac:dyDescent="0.25">
      <c r="A934" s="33" t="str" cm="1">
        <f t="array" ref="A934">IFERROR(INDEX(Register!$B$3:$B$1409,ROW(),0), "")</f>
        <v>OMNIPRINT, INC.</v>
      </c>
      <c r="B934" s="32" t="e">
        <f>VLOOKUP($A934,Register!$B$3:$E$1409,6,FALSE)</f>
        <v>#REF!</v>
      </c>
      <c r="C934" s="32" t="e">
        <f>VLOOKUP($A934,Register!$B$3:$E$1409,7,FALSE)</f>
        <v>#REF!</v>
      </c>
      <c r="D934" s="32" t="e">
        <f>VLOOKUP($A934,Register!$B$3:$E$1409,8,FALSE)</f>
        <v>#REF!</v>
      </c>
      <c r="E934" s="34" t="s">
        <v>5339</v>
      </c>
    </row>
    <row r="935" spans="1:5" x14ac:dyDescent="0.25">
      <c r="A935" s="33" t="str" cm="1">
        <f t="array" ref="A935">IFERROR(INDEX(Register!$B$3:$B$1409,ROW(),0), "")</f>
        <v>Stimare UK</v>
      </c>
      <c r="B935" s="32" t="e">
        <f>VLOOKUP($A935,Register!$B$3:$E$1409,6,FALSE)</f>
        <v>#REF!</v>
      </c>
      <c r="C935" s="32" t="e">
        <f>VLOOKUP($A935,Register!$B$3:$E$1409,7,FALSE)</f>
        <v>#REF!</v>
      </c>
      <c r="D935" s="32" t="e">
        <f>VLOOKUP($A935,Register!$B$3:$E$1409,8,FALSE)</f>
        <v>#REF!</v>
      </c>
      <c r="E935" s="34" t="s">
        <v>5339</v>
      </c>
    </row>
    <row r="936" spans="1:5" x14ac:dyDescent="0.25">
      <c r="A936" s="33" t="str" cm="1">
        <f t="array" ref="A936">IFERROR(INDEX(Register!$B$3:$B$1409,ROW(),0), "")</f>
        <v>Handel Specialty Printing</v>
      </c>
      <c r="B936" s="32" t="e">
        <f>VLOOKUP($A936,Register!$B$3:$E$1409,6,FALSE)</f>
        <v>#REF!</v>
      </c>
      <c r="C936" s="32" t="e">
        <f>VLOOKUP($A936,Register!$B$3:$E$1409,7,FALSE)</f>
        <v>#REF!</v>
      </c>
      <c r="D936" s="32" t="e">
        <f>VLOOKUP($A936,Register!$B$3:$E$1409,8,FALSE)</f>
        <v>#REF!</v>
      </c>
      <c r="E936" s="34" t="s">
        <v>5339</v>
      </c>
    </row>
    <row r="937" spans="1:5" x14ac:dyDescent="0.25">
      <c r="A937" s="33" t="str" cm="1">
        <f t="array" ref="A937">IFERROR(INDEX(Register!$B$3:$B$1409,ROW(),0), "")</f>
        <v>Kwik Kopy Box Hill</v>
      </c>
      <c r="B937" s="32" t="e">
        <f>VLOOKUP($A937,Register!$B$3:$E$1409,6,FALSE)</f>
        <v>#REF!</v>
      </c>
      <c r="C937" s="32" t="e">
        <f>VLOOKUP($A937,Register!$B$3:$E$1409,7,FALSE)</f>
        <v>#REF!</v>
      </c>
      <c r="D937" s="32" t="e">
        <f>VLOOKUP($A937,Register!$B$3:$E$1409,8,FALSE)</f>
        <v>#REF!</v>
      </c>
      <c r="E937" s="34" t="s">
        <v>5339</v>
      </c>
    </row>
    <row r="938" spans="1:5" x14ac:dyDescent="0.25">
      <c r="A938" s="33" t="str" cm="1">
        <f t="array" ref="A938">IFERROR(INDEX(Register!$B$3:$B$1409,ROW(),0), "")</f>
        <v>Bay Tech Label</v>
      </c>
      <c r="B938" s="32" t="e">
        <f>VLOOKUP($A938,Register!$B$3:$E$1409,6,FALSE)</f>
        <v>#REF!</v>
      </c>
      <c r="C938" s="32" t="e">
        <f>VLOOKUP($A938,Register!$B$3:$E$1409,7,FALSE)</f>
        <v>#REF!</v>
      </c>
      <c r="D938" s="32" t="e">
        <f>VLOOKUP($A938,Register!$B$3:$E$1409,8,FALSE)</f>
        <v>#REF!</v>
      </c>
      <c r="E938" s="34" t="s">
        <v>5339</v>
      </c>
    </row>
    <row r="939" spans="1:5" x14ac:dyDescent="0.25">
      <c r="A939" s="33" t="str" cm="1">
        <f t="array" ref="A939">IFERROR(INDEX(Register!$B$3:$B$1409,ROW(),0), "")</f>
        <v>J.S. MC CARTHY PRINTERS</v>
      </c>
      <c r="B939" s="32" t="e">
        <f>VLOOKUP($A939,Register!$B$3:$E$1409,6,FALSE)</f>
        <v>#REF!</v>
      </c>
      <c r="C939" s="32" t="e">
        <f>VLOOKUP($A939,Register!$B$3:$E$1409,7,FALSE)</f>
        <v>#REF!</v>
      </c>
      <c r="D939" s="32" t="e">
        <f>VLOOKUP($A939,Register!$B$3:$E$1409,8,FALSE)</f>
        <v>#REF!</v>
      </c>
      <c r="E939" s="34" t="s">
        <v>5339</v>
      </c>
    </row>
    <row r="940" spans="1:5" x14ac:dyDescent="0.25">
      <c r="A940" s="33" t="str" cm="1">
        <f t="array" ref="A940">IFERROR(INDEX(Register!$B$3:$B$1409,ROW(),0), "")</f>
        <v>Label Power Pty Ltd</v>
      </c>
      <c r="B940" s="32" t="e">
        <f>VLOOKUP($A940,Register!$B$3:$E$1409,6,FALSE)</f>
        <v>#REF!</v>
      </c>
      <c r="C940" s="32" t="e">
        <f>VLOOKUP($A940,Register!$B$3:$E$1409,7,FALSE)</f>
        <v>#REF!</v>
      </c>
      <c r="D940" s="32" t="e">
        <f>VLOOKUP($A940,Register!$B$3:$E$1409,8,FALSE)</f>
        <v>#REF!</v>
      </c>
      <c r="E940" s="34" t="s">
        <v>5339</v>
      </c>
    </row>
    <row r="941" spans="1:5" x14ac:dyDescent="0.25">
      <c r="A941" s="33" t="str" cm="1">
        <f t="array" ref="A941">IFERROR(INDEX(Register!$B$3:$B$1409,ROW(),0), "")</f>
        <v>Labels.online.co.uk</v>
      </c>
      <c r="B941" s="32" t="e">
        <f>VLOOKUP($A941,Register!$B$3:$E$1409,6,FALSE)</f>
        <v>#REF!</v>
      </c>
      <c r="C941" s="32" t="e">
        <f>VLOOKUP($A941,Register!$B$3:$E$1409,7,FALSE)</f>
        <v>#REF!</v>
      </c>
      <c r="D941" s="32" t="e">
        <f>VLOOKUP($A941,Register!$B$3:$E$1409,8,FALSE)</f>
        <v>#REF!</v>
      </c>
      <c r="E941" s="34" t="s">
        <v>5339</v>
      </c>
    </row>
    <row r="942" spans="1:5" x14ac:dyDescent="0.25">
      <c r="A942" s="33" t="str" cm="1">
        <f t="array" ref="A942">IFERROR(INDEX(Register!$B$3:$B$1409,ROW(),0), "")</f>
        <v>Nameplates for Industry Inc (NFI Corp)</v>
      </c>
      <c r="B942" s="32" t="e">
        <f>VLOOKUP($A942,Register!$B$3:$E$1409,6,FALSE)</f>
        <v>#REF!</v>
      </c>
      <c r="C942" s="32" t="e">
        <f>VLOOKUP($A942,Register!$B$3:$E$1409,7,FALSE)</f>
        <v>#REF!</v>
      </c>
      <c r="D942" s="32" t="e">
        <f>VLOOKUP($A942,Register!$B$3:$E$1409,8,FALSE)</f>
        <v>#REF!</v>
      </c>
      <c r="E942" s="34" t="s">
        <v>5339</v>
      </c>
    </row>
    <row r="943" spans="1:5" x14ac:dyDescent="0.25">
      <c r="A943" s="33" t="str" cm="1">
        <f t="array" ref="A943">IFERROR(INDEX(Register!$B$3:$B$1409,ROW(),0), "")</f>
        <v>STREETER PRINTING</v>
      </c>
      <c r="B943" s="32" t="e">
        <f>VLOOKUP($A943,Register!$B$3:$E$1409,6,FALSE)</f>
        <v>#REF!</v>
      </c>
      <c r="C943" s="32" t="e">
        <f>VLOOKUP($A943,Register!$B$3:$E$1409,7,FALSE)</f>
        <v>#REF!</v>
      </c>
      <c r="D943" s="32" t="e">
        <f>VLOOKUP($A943,Register!$B$3:$E$1409,8,FALSE)</f>
        <v>#REF!</v>
      </c>
      <c r="E943" s="34" t="s">
        <v>5339</v>
      </c>
    </row>
    <row r="944" spans="1:5" x14ac:dyDescent="0.25">
      <c r="A944" s="33" t="str" cm="1">
        <f t="array" ref="A944">IFERROR(INDEX(Register!$B$3:$B$1409,ROW(),0), "")</f>
        <v>XpressMyself - Smartsign (My Safety Labels)</v>
      </c>
      <c r="B944" s="32" t="e">
        <f>VLOOKUP($A944,Register!$B$3:$E$1409,6,FALSE)</f>
        <v>#REF!</v>
      </c>
      <c r="C944" s="32" t="e">
        <f>VLOOKUP($A944,Register!$B$3:$E$1409,7,FALSE)</f>
        <v>#REF!</v>
      </c>
      <c r="D944" s="32" t="e">
        <f>VLOOKUP($A944,Register!$B$3:$E$1409,8,FALSE)</f>
        <v>#REF!</v>
      </c>
      <c r="E944" s="34" t="s">
        <v>5339</v>
      </c>
    </row>
    <row r="945" spans="1:5" x14ac:dyDescent="0.25">
      <c r="A945" s="33" t="str" cm="1">
        <f t="array" ref="A945">IFERROR(INDEX(Register!$B$3:$B$1409,ROW(),0), "")</f>
        <v>Jadak LLC.  Novanta</v>
      </c>
      <c r="B945" s="32" t="e">
        <f>VLOOKUP($A945,Register!$B$3:$E$1409,6,FALSE)</f>
        <v>#REF!</v>
      </c>
      <c r="C945" s="32" t="e">
        <f>VLOOKUP($A945,Register!$B$3:$E$1409,7,FALSE)</f>
        <v>#REF!</v>
      </c>
      <c r="D945" s="32" t="e">
        <f>VLOOKUP($A945,Register!$B$3:$E$1409,8,FALSE)</f>
        <v>#REF!</v>
      </c>
      <c r="E945" s="34" t="s">
        <v>5339</v>
      </c>
    </row>
    <row r="946" spans="1:5" x14ac:dyDescent="0.25">
      <c r="A946" s="33" t="str" cm="1">
        <f t="array" ref="A946">IFERROR(INDEX(Register!$B$3:$B$1409,ROW(),0), "")</f>
        <v>Tecnoideal</v>
      </c>
      <c r="B946" s="32" t="e">
        <f>VLOOKUP($A946,Register!$B$3:$E$1409,6,FALSE)</f>
        <v>#REF!</v>
      </c>
      <c r="C946" s="32" t="e">
        <f>VLOOKUP($A946,Register!$B$3:$E$1409,7,FALSE)</f>
        <v>#REF!</v>
      </c>
      <c r="D946" s="32" t="e">
        <f>VLOOKUP($A946,Register!$B$3:$E$1409,8,FALSE)</f>
        <v>#REF!</v>
      </c>
      <c r="E946" s="34" t="s">
        <v>5339</v>
      </c>
    </row>
    <row r="947" spans="1:5" x14ac:dyDescent="0.25">
      <c r="A947" s="33" t="str" cm="1">
        <f t="array" ref="A947">IFERROR(INDEX(Register!$B$3:$B$1409,ROW(),0), "")</f>
        <v>Creative Safety Supply</v>
      </c>
      <c r="B947" s="32" t="e">
        <f>VLOOKUP($A947,Register!$B$3:$E$1409,6,FALSE)</f>
        <v>#REF!</v>
      </c>
      <c r="C947" s="32" t="e">
        <f>VLOOKUP($A947,Register!$B$3:$E$1409,7,FALSE)</f>
        <v>#REF!</v>
      </c>
      <c r="D947" s="32" t="e">
        <f>VLOOKUP($A947,Register!$B$3:$E$1409,8,FALSE)</f>
        <v>#REF!</v>
      </c>
      <c r="E947" s="34" t="s">
        <v>5339</v>
      </c>
    </row>
    <row r="948" spans="1:5" x14ac:dyDescent="0.25">
      <c r="A948" s="33" t="str" cm="1">
        <f t="array" ref="A948">IFERROR(INDEX(Register!$B$3:$B$1409,ROW(),0), "")</f>
        <v>SAFETY LABEL SOLUTIONS</v>
      </c>
      <c r="B948" s="32" t="e">
        <f>VLOOKUP($A948,Register!$B$3:$E$1409,6,FALSE)</f>
        <v>#REF!</v>
      </c>
      <c r="C948" s="32" t="e">
        <f>VLOOKUP($A948,Register!$B$3:$E$1409,7,FALSE)</f>
        <v>#REF!</v>
      </c>
      <c r="D948" s="32" t="e">
        <f>VLOOKUP($A948,Register!$B$3:$E$1409,8,FALSE)</f>
        <v>#REF!</v>
      </c>
      <c r="E948" s="34" t="s">
        <v>5339</v>
      </c>
    </row>
    <row r="949" spans="1:5" x14ac:dyDescent="0.25">
      <c r="A949" s="33" t="str" cm="1">
        <f t="array" ref="A949">IFERROR(INDEX(Register!$B$3:$B$1409,ROW(),0), "")</f>
        <v>SAFETYSIGN.COM / BRIMAR INDUST</v>
      </c>
      <c r="B949" s="32" t="e">
        <f>VLOOKUP($A949,Register!$B$3:$E$1409,6,FALSE)</f>
        <v>#REF!</v>
      </c>
      <c r="C949" s="32" t="e">
        <f>VLOOKUP($A949,Register!$B$3:$E$1409,7,FALSE)</f>
        <v>#REF!</v>
      </c>
      <c r="D949" s="32" t="e">
        <f>VLOOKUP($A949,Register!$B$3:$E$1409,8,FALSE)</f>
        <v>#REF!</v>
      </c>
      <c r="E949" s="34" t="s">
        <v>5339</v>
      </c>
    </row>
    <row r="950" spans="1:5" x14ac:dyDescent="0.25">
      <c r="A950" s="33" t="str" cm="1">
        <f t="array" ref="A950">IFERROR(INDEX(Register!$B$3:$B$1409,ROW(),0), "")</f>
        <v>Sign Specialists Corporation</v>
      </c>
      <c r="B950" s="32" t="e">
        <f>VLOOKUP($A950,Register!$B$3:$E$1409,6,FALSE)</f>
        <v>#REF!</v>
      </c>
      <c r="C950" s="32" t="e">
        <f>VLOOKUP($A950,Register!$B$3:$E$1409,7,FALSE)</f>
        <v>#REF!</v>
      </c>
      <c r="D950" s="32" t="e">
        <f>VLOOKUP($A950,Register!$B$3:$E$1409,8,FALSE)</f>
        <v>#REF!</v>
      </c>
      <c r="E950" s="34" t="s">
        <v>5339</v>
      </c>
    </row>
    <row r="951" spans="1:5" x14ac:dyDescent="0.25">
      <c r="A951" s="33" t="str" cm="1">
        <f t="array" ref="A951">IFERROR(INDEX(Register!$B$3:$B$1409,ROW(),0), "")</f>
        <v>Bench Depot</v>
      </c>
      <c r="B951" s="32" t="e">
        <f>VLOOKUP($A951,Register!$B$3:$E$1409,6,FALSE)</f>
        <v>#REF!</v>
      </c>
      <c r="C951" s="32" t="e">
        <f>VLOOKUP($A951,Register!$B$3:$E$1409,7,FALSE)</f>
        <v>#REF!</v>
      </c>
      <c r="D951" s="32" t="e">
        <f>VLOOKUP($A951,Register!$B$3:$E$1409,8,FALSE)</f>
        <v>#REF!</v>
      </c>
      <c r="E951" s="34" t="s">
        <v>5339</v>
      </c>
    </row>
    <row r="952" spans="1:5" x14ac:dyDescent="0.25">
      <c r="A952" s="33" t="str" cm="1">
        <f t="array" ref="A952">IFERROR(INDEX(Register!$B$3:$B$1409,ROW(),0), "")</f>
        <v>CINTAS CORPORATION</v>
      </c>
      <c r="B952" s="32" t="e">
        <f>VLOOKUP($A952,Register!$B$3:$E$1409,6,FALSE)</f>
        <v>#REF!</v>
      </c>
      <c r="C952" s="32" t="e">
        <f>VLOOKUP($A952,Register!$B$3:$E$1409,7,FALSE)</f>
        <v>#REF!</v>
      </c>
      <c r="D952" s="32" t="e">
        <f>VLOOKUP($A952,Register!$B$3:$E$1409,8,FALSE)</f>
        <v>#REF!</v>
      </c>
      <c r="E952" s="34" t="s">
        <v>5339</v>
      </c>
    </row>
    <row r="953" spans="1:5" x14ac:dyDescent="0.25">
      <c r="A953" s="33" t="str" cm="1">
        <f t="array" ref="A953">IFERROR(INDEX(Register!$B$3:$B$1409,ROW(),0), "")</f>
        <v>CREFORM  Corporation</v>
      </c>
      <c r="B953" s="32" t="e">
        <f>VLOOKUP($A953,Register!$B$3:$E$1409,6,FALSE)</f>
        <v>#REF!</v>
      </c>
      <c r="C953" s="32" t="e">
        <f>VLOOKUP($A953,Register!$B$3:$E$1409,7,FALSE)</f>
        <v>#REF!</v>
      </c>
      <c r="D953" s="32" t="e">
        <f>VLOOKUP($A953,Register!$B$3:$E$1409,8,FALSE)</f>
        <v>#REF!</v>
      </c>
      <c r="E953" s="34" t="s">
        <v>5339</v>
      </c>
    </row>
    <row r="954" spans="1:5" x14ac:dyDescent="0.25">
      <c r="A954" s="33" t="str" cm="1">
        <f t="array" ref="A954">IFERROR(INDEX(Register!$B$3:$B$1409,ROW(),0), "")</f>
        <v>NAUMANN HOBBS</v>
      </c>
      <c r="B954" s="32" t="e">
        <f>VLOOKUP($A954,Register!$B$3:$E$1409,6,FALSE)</f>
        <v>#REF!</v>
      </c>
      <c r="C954" s="32" t="e">
        <f>VLOOKUP($A954,Register!$B$3:$E$1409,7,FALSE)</f>
        <v>#REF!</v>
      </c>
      <c r="D954" s="32" t="e">
        <f>VLOOKUP($A954,Register!$B$3:$E$1409,8,FALSE)</f>
        <v>#REF!</v>
      </c>
      <c r="E954" s="34" t="s">
        <v>5339</v>
      </c>
    </row>
    <row r="955" spans="1:5" x14ac:dyDescent="0.25">
      <c r="A955" s="33" t="str" cm="1">
        <f t="array" ref="A955">IFERROR(INDEX(Register!$B$3:$B$1409,ROW(),0), "")</f>
        <v>ONBoard Solutions Pty Ltd</v>
      </c>
      <c r="B955" s="32" t="e">
        <f>VLOOKUP($A955,Register!$B$3:$E$1409,6,FALSE)</f>
        <v>#REF!</v>
      </c>
      <c r="C955" s="32" t="e">
        <f>VLOOKUP($A955,Register!$B$3:$E$1409,7,FALSE)</f>
        <v>#REF!</v>
      </c>
      <c r="D955" s="32" t="e">
        <f>VLOOKUP($A955,Register!$B$3:$E$1409,8,FALSE)</f>
        <v>#REF!</v>
      </c>
      <c r="E955" s="34" t="s">
        <v>5339</v>
      </c>
    </row>
    <row r="956" spans="1:5" x14ac:dyDescent="0.25">
      <c r="A956" s="33" t="str" cm="1">
        <f t="array" ref="A956">IFERROR(INDEX(Register!$B$3:$B$1409,ROW(),0), "")</f>
        <v>Opticon Sensors Europe BV</v>
      </c>
      <c r="B956" s="32" t="e">
        <f>VLOOKUP($A956,Register!$B$3:$E$1409,6,FALSE)</f>
        <v>#REF!</v>
      </c>
      <c r="C956" s="32" t="e">
        <f>VLOOKUP($A956,Register!$B$3:$E$1409,7,FALSE)</f>
        <v>#REF!</v>
      </c>
      <c r="D956" s="32" t="e">
        <f>VLOOKUP($A956,Register!$B$3:$E$1409,8,FALSE)</f>
        <v>#REF!</v>
      </c>
      <c r="E956" s="34" t="s">
        <v>5339</v>
      </c>
    </row>
    <row r="957" spans="1:5" x14ac:dyDescent="0.25">
      <c r="A957" s="33" t="str" cm="1">
        <f t="array" ref="A957">IFERROR(INDEX(Register!$B$3:$B$1409,ROW(),0), "")</f>
        <v>Patlite (U.S.A.) Corp</v>
      </c>
      <c r="B957" s="32" t="e">
        <f>VLOOKUP($A957,Register!$B$3:$E$1409,6,FALSE)</f>
        <v>#REF!</v>
      </c>
      <c r="C957" s="32" t="e">
        <f>VLOOKUP($A957,Register!$B$3:$E$1409,7,FALSE)</f>
        <v>#REF!</v>
      </c>
      <c r="D957" s="32" t="e">
        <f>VLOOKUP($A957,Register!$B$3:$E$1409,8,FALSE)</f>
        <v>#REF!</v>
      </c>
      <c r="E957" s="34" t="s">
        <v>5339</v>
      </c>
    </row>
    <row r="958" spans="1:5" x14ac:dyDescent="0.25">
      <c r="A958" s="33" t="str" cm="1">
        <f t="array" ref="A958">IFERROR(INDEX(Register!$B$3:$B$1409,ROW(),0), "")</f>
        <v>Prosafe</v>
      </c>
      <c r="B958" s="32" t="e">
        <f>VLOOKUP($A958,Register!$B$3:$E$1409,6,FALSE)</f>
        <v>#REF!</v>
      </c>
      <c r="C958" s="32" t="e">
        <f>VLOOKUP($A958,Register!$B$3:$E$1409,7,FALSE)</f>
        <v>#REF!</v>
      </c>
      <c r="D958" s="32" t="e">
        <f>VLOOKUP($A958,Register!$B$3:$E$1409,8,FALSE)</f>
        <v>#REF!</v>
      </c>
      <c r="E958" s="34" t="s">
        <v>5339</v>
      </c>
    </row>
    <row r="959" spans="1:5" x14ac:dyDescent="0.25">
      <c r="A959" s="33" t="str" cm="1">
        <f t="array" ref="A959">IFERROR(INDEX(Register!$B$3:$B$1409,ROW(),0), "")</f>
        <v>Sektor Distributors Pty Ltd</v>
      </c>
      <c r="B959" s="32" t="e">
        <f>VLOOKUP($A959,Register!$B$3:$E$1409,6,FALSE)</f>
        <v>#REF!</v>
      </c>
      <c r="C959" s="32" t="e">
        <f>VLOOKUP($A959,Register!$B$3:$E$1409,7,FALSE)</f>
        <v>#REF!</v>
      </c>
      <c r="D959" s="32" t="e">
        <f>VLOOKUP($A959,Register!$B$3:$E$1409,8,FALSE)</f>
        <v>#REF!</v>
      </c>
      <c r="E959" s="34" t="s">
        <v>5339</v>
      </c>
    </row>
    <row r="960" spans="1:5" x14ac:dyDescent="0.25">
      <c r="A960" s="33" t="str" cm="1">
        <f t="array" ref="A960">IFERROR(INDEX(Register!$B$3:$B$1409,ROW(),0), "")</f>
        <v>Signarama</v>
      </c>
      <c r="B960" s="32" t="e">
        <f>VLOOKUP($A960,Register!$B$3:$E$1409,6,FALSE)</f>
        <v>#REF!</v>
      </c>
      <c r="C960" s="32" t="e">
        <f>VLOOKUP($A960,Register!$B$3:$E$1409,7,FALSE)</f>
        <v>#REF!</v>
      </c>
      <c r="D960" s="32" t="e">
        <f>VLOOKUP($A960,Register!$B$3:$E$1409,8,FALSE)</f>
        <v>#REF!</v>
      </c>
      <c r="E960" s="34" t="s">
        <v>5339</v>
      </c>
    </row>
    <row r="961" spans="1:5" x14ac:dyDescent="0.25">
      <c r="A961" s="33" t="str" cm="1">
        <f t="array" ref="A961">IFERROR(INDEX(Register!$B$3:$B$1409,ROW(),0), "")</f>
        <v>Signet Pty Ltd</v>
      </c>
      <c r="B961" s="32" t="e">
        <f>VLOOKUP($A961,Register!$B$3:$E$1409,6,FALSE)</f>
        <v>#REF!</v>
      </c>
      <c r="C961" s="32" t="e">
        <f>VLOOKUP($A961,Register!$B$3:$E$1409,7,FALSE)</f>
        <v>#REF!</v>
      </c>
      <c r="D961" s="32" t="e">
        <f>VLOOKUP($A961,Register!$B$3:$E$1409,8,FALSE)</f>
        <v>#REF!</v>
      </c>
      <c r="E961" s="34" t="s">
        <v>5339</v>
      </c>
    </row>
    <row r="962" spans="1:5" x14ac:dyDescent="0.25">
      <c r="A962" s="33" t="str" cm="1">
        <f t="array" ref="A962">IFERROR(INDEX(Register!$B$3:$B$1409,ROW(),0), "")</f>
        <v>FASTENAL</v>
      </c>
      <c r="B962" s="32" t="e">
        <f>VLOOKUP($A962,Register!$B$3:$E$1409,6,FALSE)</f>
        <v>#REF!</v>
      </c>
      <c r="C962" s="32" t="e">
        <f>VLOOKUP($A962,Register!$B$3:$E$1409,7,FALSE)</f>
        <v>#REF!</v>
      </c>
      <c r="D962" s="32" t="e">
        <f>VLOOKUP($A962,Register!$B$3:$E$1409,8,FALSE)</f>
        <v>#REF!</v>
      </c>
      <c r="E962" s="34" t="s">
        <v>5339</v>
      </c>
    </row>
    <row r="963" spans="1:5" x14ac:dyDescent="0.25">
      <c r="A963" s="33" t="str" cm="1">
        <f t="array" ref="A963">IFERROR(INDEX(Register!$B$3:$B$1409,ROW(),0), "")</f>
        <v>Thomas Warburton</v>
      </c>
      <c r="B963" s="32" t="e">
        <f>VLOOKUP($A963,Register!$B$3:$E$1409,6,FALSE)</f>
        <v>#REF!</v>
      </c>
      <c r="C963" s="32" t="e">
        <f>VLOOKUP($A963,Register!$B$3:$E$1409,7,FALSE)</f>
        <v>#REF!</v>
      </c>
      <c r="D963" s="32" t="e">
        <f>VLOOKUP($A963,Register!$B$3:$E$1409,8,FALSE)</f>
        <v>#REF!</v>
      </c>
      <c r="E963" s="34" t="s">
        <v>5339</v>
      </c>
    </row>
    <row r="964" spans="1:5" x14ac:dyDescent="0.25">
      <c r="A964" s="33" t="str" cm="1">
        <f t="array" ref="A964">IFERROR(INDEX(Register!$B$3:$B$1409,ROW(),0), "")</f>
        <v>Techspan Australia Pty Ltd</v>
      </c>
      <c r="B964" s="32" t="e">
        <f>VLOOKUP($A964,Register!$B$3:$E$1409,6,FALSE)</f>
        <v>#REF!</v>
      </c>
      <c r="C964" s="32" t="e">
        <f>VLOOKUP($A964,Register!$B$3:$E$1409,7,FALSE)</f>
        <v>#REF!</v>
      </c>
      <c r="D964" s="32" t="e">
        <f>VLOOKUP($A964,Register!$B$3:$E$1409,8,FALSE)</f>
        <v>#REF!</v>
      </c>
      <c r="E964" s="34" t="s">
        <v>5339</v>
      </c>
    </row>
    <row r="965" spans="1:5" x14ac:dyDescent="0.25">
      <c r="A965" s="33" t="str" cm="1">
        <f t="array" ref="A965">IFERROR(INDEX(Register!$B$3:$B$1409,ROW(),0), "")</f>
        <v>Total Tools</v>
      </c>
      <c r="B965" s="32" t="e">
        <f>VLOOKUP($A965,Register!$B$3:$E$1409,6,FALSE)</f>
        <v>#REF!</v>
      </c>
      <c r="C965" s="32" t="e">
        <f>VLOOKUP($A965,Register!$B$3:$E$1409,7,FALSE)</f>
        <v>#REF!</v>
      </c>
      <c r="D965" s="32" t="e">
        <f>VLOOKUP($A965,Register!$B$3:$E$1409,8,FALSE)</f>
        <v>#REF!</v>
      </c>
      <c r="E965" s="34" t="s">
        <v>5339</v>
      </c>
    </row>
    <row r="966" spans="1:5" x14ac:dyDescent="0.25">
      <c r="A966" s="33" t="str" cm="1">
        <f t="array" ref="A966">IFERROR(INDEX(Register!$B$3:$B$1409,ROW(),0), "")</f>
        <v>TECHNI-TOOL</v>
      </c>
      <c r="B966" s="32" t="e">
        <f>VLOOKUP($A966,Register!$B$3:$E$1409,6,FALSE)</f>
        <v>#REF!</v>
      </c>
      <c r="C966" s="32" t="e">
        <f>VLOOKUP($A966,Register!$B$3:$E$1409,7,FALSE)</f>
        <v>#REF!</v>
      </c>
      <c r="D966" s="32" t="e">
        <f>VLOOKUP($A966,Register!$B$3:$E$1409,8,FALSE)</f>
        <v>#REF!</v>
      </c>
      <c r="E966" s="34" t="s">
        <v>5339</v>
      </c>
    </row>
    <row r="967" spans="1:5" x14ac:dyDescent="0.25">
      <c r="A967" s="33" t="str" cm="1">
        <f t="array" ref="A967">IFERROR(INDEX(Register!$B$3:$B$1409,ROW(),0), "")</f>
        <v>Westpak</v>
      </c>
      <c r="B967" s="32" t="e">
        <f>VLOOKUP($A967,Register!$B$3:$E$1409,6,FALSE)</f>
        <v>#REF!</v>
      </c>
      <c r="C967" s="32" t="e">
        <f>VLOOKUP($A967,Register!$B$3:$E$1409,7,FALSE)</f>
        <v>#REF!</v>
      </c>
      <c r="D967" s="32" t="e">
        <f>VLOOKUP($A967,Register!$B$3:$E$1409,8,FALSE)</f>
        <v>#REF!</v>
      </c>
      <c r="E967" s="34" t="s">
        <v>5339</v>
      </c>
    </row>
    <row r="968" spans="1:5" x14ac:dyDescent="0.25">
      <c r="A968" s="33" t="str" cm="1">
        <f t="array" ref="A968">IFERROR(INDEX(Register!$B$3:$B$1409,ROW(),0), "")</f>
        <v>EXCELTA CORPORATION</v>
      </c>
      <c r="B968" s="32" t="e">
        <f>VLOOKUP($A968,Register!$B$3:$E$1409,6,FALSE)</f>
        <v>#REF!</v>
      </c>
      <c r="C968" s="32" t="e">
        <f>VLOOKUP($A968,Register!$B$3:$E$1409,7,FALSE)</f>
        <v>#REF!</v>
      </c>
      <c r="D968" s="32" t="e">
        <f>VLOOKUP($A968,Register!$B$3:$E$1409,8,FALSE)</f>
        <v>#REF!</v>
      </c>
      <c r="E968" s="34" t="s">
        <v>5339</v>
      </c>
    </row>
    <row r="969" spans="1:5" x14ac:dyDescent="0.25">
      <c r="A969" s="33" t="str" cm="1">
        <f t="array" ref="A969">IFERROR(INDEX(Register!$B$3:$B$1409,ROW(),0), "")</f>
        <v>Mountz Inc.</v>
      </c>
      <c r="B969" s="32" t="e">
        <f>VLOOKUP($A969,Register!$B$3:$E$1409,6,FALSE)</f>
        <v>#REF!</v>
      </c>
      <c r="C969" s="32" t="e">
        <f>VLOOKUP($A969,Register!$B$3:$E$1409,7,FALSE)</f>
        <v>#REF!</v>
      </c>
      <c r="D969" s="32" t="e">
        <f>VLOOKUP($A969,Register!$B$3:$E$1409,8,FALSE)</f>
        <v>#REF!</v>
      </c>
      <c r="E969" s="34" t="s">
        <v>5339</v>
      </c>
    </row>
    <row r="970" spans="1:5" x14ac:dyDescent="0.25">
      <c r="A970" s="33" t="str" cm="1">
        <f t="array" ref="A970">IFERROR(INDEX(Register!$B$3:$B$1409,ROW(),0), "")</f>
        <v>Mountz Torque</v>
      </c>
      <c r="B970" s="32" t="e">
        <f>VLOOKUP($A970,Register!$B$3:$E$1409,6,FALSE)</f>
        <v>#REF!</v>
      </c>
      <c r="C970" s="32" t="e">
        <f>VLOOKUP($A970,Register!$B$3:$E$1409,7,FALSE)</f>
        <v>#REF!</v>
      </c>
      <c r="D970" s="32" t="e">
        <f>VLOOKUP($A970,Register!$B$3:$E$1409,8,FALSE)</f>
        <v>#REF!</v>
      </c>
      <c r="E970" s="34" t="s">
        <v>5339</v>
      </c>
    </row>
    <row r="971" spans="1:5" x14ac:dyDescent="0.25">
      <c r="A971" s="33" t="str" cm="1">
        <f t="array" ref="A971">IFERROR(INDEX(Register!$B$3:$B$1409,ROW(),0), "")</f>
        <v>MYSAFETYLABELS.COM</v>
      </c>
      <c r="B971" s="32" t="e">
        <f>VLOOKUP($A971,Register!$B$3:$E$1409,6,FALSE)</f>
        <v>#REF!</v>
      </c>
      <c r="C971" s="32" t="e">
        <f>VLOOKUP($A971,Register!$B$3:$E$1409,7,FALSE)</f>
        <v>#REF!</v>
      </c>
      <c r="D971" s="32" t="e">
        <f>VLOOKUP($A971,Register!$B$3:$E$1409,8,FALSE)</f>
        <v>#REF!</v>
      </c>
      <c r="E971" s="34" t="s">
        <v>5339</v>
      </c>
    </row>
    <row r="972" spans="1:5" x14ac:dyDescent="0.25">
      <c r="A972" s="33" t="str" cm="1">
        <f t="array" ref="A972">IFERROR(INDEX(Register!$B$3:$B$1409,ROW(),0), "")</f>
        <v>PRO TORQUE TOOLS</v>
      </c>
      <c r="B972" s="32" t="e">
        <f>VLOOKUP($A972,Register!$B$3:$E$1409,6,FALSE)</f>
        <v>#REF!</v>
      </c>
      <c r="C972" s="32" t="e">
        <f>VLOOKUP($A972,Register!$B$3:$E$1409,7,FALSE)</f>
        <v>#REF!</v>
      </c>
      <c r="D972" s="32" t="e">
        <f>VLOOKUP($A972,Register!$B$3:$E$1409,8,FALSE)</f>
        <v>#REF!</v>
      </c>
      <c r="E972" s="34" t="s">
        <v>5339</v>
      </c>
    </row>
    <row r="973" spans="1:5" x14ac:dyDescent="0.25">
      <c r="A973" s="33" t="str" cm="1">
        <f t="array" ref="A973">IFERROR(INDEX(Register!$B$3:$B$1409,ROW(),0), "")</f>
        <v>3D Systems, Inc</v>
      </c>
      <c r="B973" s="32" t="e">
        <f>VLOOKUP($A973,Register!$B$3:$E$1409,6,FALSE)</f>
        <v>#REF!</v>
      </c>
      <c r="C973" s="32" t="e">
        <f>VLOOKUP($A973,Register!$B$3:$E$1409,7,FALSE)</f>
        <v>#REF!</v>
      </c>
      <c r="D973" s="32" t="e">
        <f>VLOOKUP($A973,Register!$B$3:$E$1409,8,FALSE)</f>
        <v>#REF!</v>
      </c>
      <c r="E973" s="34" t="s">
        <v>5339</v>
      </c>
    </row>
    <row r="974" spans="1:5" x14ac:dyDescent="0.25">
      <c r="A974" s="33" t="str" cm="1">
        <f t="array" ref="A974">IFERROR(INDEX(Register!$B$3:$B$1409,ROW(),0), "")</f>
        <v>Amiga Engineering Pty Ltd</v>
      </c>
      <c r="B974" s="32" t="e">
        <f>VLOOKUP($A974,Register!$B$3:$E$1409,6,FALSE)</f>
        <v>#REF!</v>
      </c>
      <c r="C974" s="32" t="e">
        <f>VLOOKUP($A974,Register!$B$3:$E$1409,7,FALSE)</f>
        <v>#REF!</v>
      </c>
      <c r="D974" s="32" t="e">
        <f>VLOOKUP($A974,Register!$B$3:$E$1409,8,FALSE)</f>
        <v>#REF!</v>
      </c>
      <c r="E974" s="34" t="s">
        <v>5339</v>
      </c>
    </row>
    <row r="975" spans="1:5" x14ac:dyDescent="0.25">
      <c r="A975" s="33" t="str" cm="1">
        <f t="array" ref="A975">IFERROR(INDEX(Register!$B$3:$B$1409,ROW(),0), "")</f>
        <v>Board Shark LLC</v>
      </c>
      <c r="B975" s="32" t="e">
        <f>VLOOKUP($A975,Register!$B$3:$E$1409,6,FALSE)</f>
        <v>#REF!</v>
      </c>
      <c r="C975" s="32" t="e">
        <f>VLOOKUP($A975,Register!$B$3:$E$1409,7,FALSE)</f>
        <v>#REF!</v>
      </c>
      <c r="D975" s="32" t="e">
        <f>VLOOKUP($A975,Register!$B$3:$E$1409,8,FALSE)</f>
        <v>#REF!</v>
      </c>
      <c r="E975" s="34" t="s">
        <v>5339</v>
      </c>
    </row>
    <row r="976" spans="1:5" x14ac:dyDescent="0.25">
      <c r="A976" s="33" t="str" cm="1">
        <f t="array" ref="A976">IFERROR(INDEX(Register!$B$3:$B$1409,ROW(),0), "")</f>
        <v>Forecast 3D (AU)</v>
      </c>
      <c r="B976" s="32" t="e">
        <f>VLOOKUP($A976,Register!$B$3:$E$1409,6,FALSE)</f>
        <v>#REF!</v>
      </c>
      <c r="C976" s="32" t="e">
        <f>VLOOKUP($A976,Register!$B$3:$E$1409,7,FALSE)</f>
        <v>#REF!</v>
      </c>
      <c r="D976" s="32" t="e">
        <f>VLOOKUP($A976,Register!$B$3:$E$1409,8,FALSE)</f>
        <v>#REF!</v>
      </c>
      <c r="E976" s="34" t="s">
        <v>5339</v>
      </c>
    </row>
    <row r="977" spans="1:5" x14ac:dyDescent="0.25">
      <c r="A977" s="33" t="str" cm="1">
        <f t="array" ref="A977">IFERROR(INDEX(Register!$B$3:$B$1409,ROW(),0), "")</f>
        <v>Additive Manufacturing LLC</v>
      </c>
      <c r="B977" s="32" t="e">
        <f>VLOOKUP($A977,Register!$B$3:$E$1409,6,FALSE)</f>
        <v>#REF!</v>
      </c>
      <c r="C977" s="32" t="e">
        <f>VLOOKUP($A977,Register!$B$3:$E$1409,7,FALSE)</f>
        <v>#REF!</v>
      </c>
      <c r="D977" s="32" t="e">
        <f>VLOOKUP($A977,Register!$B$3:$E$1409,8,FALSE)</f>
        <v>#REF!</v>
      </c>
      <c r="E977" s="34" t="s">
        <v>5339</v>
      </c>
    </row>
    <row r="978" spans="1:5" x14ac:dyDescent="0.25">
      <c r="A978" s="33" t="str" cm="1">
        <f t="array" ref="A978">IFERROR(INDEX(Register!$B$3:$B$1409,ROW(),0), "")</f>
        <v>Alliance Rapid Manufacturing</v>
      </c>
      <c r="B978" s="32" t="e">
        <f>VLOOKUP($A978,Register!$B$3:$E$1409,6,FALSE)</f>
        <v>#REF!</v>
      </c>
      <c r="C978" s="32" t="e">
        <f>VLOOKUP($A978,Register!$B$3:$E$1409,7,FALSE)</f>
        <v>#REF!</v>
      </c>
      <c r="D978" s="32" t="e">
        <f>VLOOKUP($A978,Register!$B$3:$E$1409,8,FALSE)</f>
        <v>#REF!</v>
      </c>
      <c r="E978" s="34" t="s">
        <v>5339</v>
      </c>
    </row>
    <row r="979" spans="1:5" x14ac:dyDescent="0.25">
      <c r="A979" s="33" t="str" cm="1">
        <f t="array" ref="A979">IFERROR(INDEX(Register!$B$3:$B$1409,ROW(),0), "")</f>
        <v>Arrk North America Inc</v>
      </c>
      <c r="B979" s="32" t="e">
        <f>VLOOKUP($A979,Register!$B$3:$E$1409,6,FALSE)</f>
        <v>#REF!</v>
      </c>
      <c r="C979" s="32" t="e">
        <f>VLOOKUP($A979,Register!$B$3:$E$1409,7,FALSE)</f>
        <v>#REF!</v>
      </c>
      <c r="D979" s="32" t="e">
        <f>VLOOKUP($A979,Register!$B$3:$E$1409,8,FALSE)</f>
        <v>#REF!</v>
      </c>
      <c r="E979" s="34" t="s">
        <v>5339</v>
      </c>
    </row>
    <row r="980" spans="1:5" x14ac:dyDescent="0.25">
      <c r="A980" s="33" t="str" cm="1">
        <f t="array" ref="A980">IFERROR(INDEX(Register!$B$3:$B$1409,ROW(),0), "")</f>
        <v>HLH Prototypes (Shenzhen HLH)</v>
      </c>
      <c r="B980" s="32" t="e">
        <f>VLOOKUP($A980,Register!$B$3:$E$1409,6,FALSE)</f>
        <v>#REF!</v>
      </c>
      <c r="C980" s="32" t="e">
        <f>VLOOKUP($A980,Register!$B$3:$E$1409,7,FALSE)</f>
        <v>#REF!</v>
      </c>
      <c r="D980" s="32" t="e">
        <f>VLOOKUP($A980,Register!$B$3:$E$1409,8,FALSE)</f>
        <v>#REF!</v>
      </c>
      <c r="E980" s="34" t="s">
        <v>5339</v>
      </c>
    </row>
    <row r="981" spans="1:5" x14ac:dyDescent="0.25">
      <c r="A981" s="33" t="str" cm="1">
        <f t="array" ref="A981">IFERROR(INDEX(Register!$B$3:$B$1409,ROW(),0), "")</f>
        <v>Aubright</v>
      </c>
      <c r="B981" s="32" t="e">
        <f>VLOOKUP($A981,Register!$B$3:$E$1409,6,FALSE)</f>
        <v>#REF!</v>
      </c>
      <c r="C981" s="32" t="e">
        <f>VLOOKUP($A981,Register!$B$3:$E$1409,7,FALSE)</f>
        <v>#REF!</v>
      </c>
      <c r="D981" s="32" t="e">
        <f>VLOOKUP($A981,Register!$B$3:$E$1409,8,FALSE)</f>
        <v>#REF!</v>
      </c>
      <c r="E981" s="34" t="s">
        <v>5339</v>
      </c>
    </row>
    <row r="982" spans="1:5" x14ac:dyDescent="0.25">
      <c r="A982" s="33" t="str" cm="1">
        <f t="array" ref="A982">IFERROR(INDEX(Register!$B$3:$B$1409,ROW(),0), "")</f>
        <v>Industrial Carving Services Pty Ltd</v>
      </c>
      <c r="B982" s="32" t="e">
        <f>VLOOKUP($A982,Register!$B$3:$E$1409,6,FALSE)</f>
        <v>#REF!</v>
      </c>
      <c r="C982" s="32" t="e">
        <f>VLOOKUP($A982,Register!$B$3:$E$1409,7,FALSE)</f>
        <v>#REF!</v>
      </c>
      <c r="D982" s="32" t="e">
        <f>VLOOKUP($A982,Register!$B$3:$E$1409,8,FALSE)</f>
        <v>#REF!</v>
      </c>
      <c r="E982" s="34" t="s">
        <v>5339</v>
      </c>
    </row>
    <row r="983" spans="1:5" x14ac:dyDescent="0.25">
      <c r="A983" s="33" t="str" cm="1">
        <f t="array" ref="A983">IFERROR(INDEX(Register!$B$3:$B$1409,ROW(),0), "")</f>
        <v>Model Solution Co., Ltd.</v>
      </c>
      <c r="B983" s="32" t="e">
        <f>VLOOKUP($A983,Register!$B$3:$E$1409,6,FALSE)</f>
        <v>#REF!</v>
      </c>
      <c r="C983" s="32" t="e">
        <f>VLOOKUP($A983,Register!$B$3:$E$1409,7,FALSE)</f>
        <v>#REF!</v>
      </c>
      <c r="D983" s="32" t="e">
        <f>VLOOKUP($A983,Register!$B$3:$E$1409,8,FALSE)</f>
        <v>#REF!</v>
      </c>
      <c r="E983" s="34" t="s">
        <v>5339</v>
      </c>
    </row>
    <row r="984" spans="1:5" x14ac:dyDescent="0.25">
      <c r="A984" s="33" t="str" cm="1">
        <f t="array" ref="A984">IFERROR(INDEX(Register!$B$3:$B$1409,ROW(),0), "")</f>
        <v>Empire Group USA</v>
      </c>
      <c r="B984" s="32" t="e">
        <f>VLOOKUP($A984,Register!$B$3:$E$1409,6,FALSE)</f>
        <v>#REF!</v>
      </c>
      <c r="C984" s="32" t="e">
        <f>VLOOKUP($A984,Register!$B$3:$E$1409,7,FALSE)</f>
        <v>#REF!</v>
      </c>
      <c r="D984" s="32" t="e">
        <f>VLOOKUP($A984,Register!$B$3:$E$1409,8,FALSE)</f>
        <v>#REF!</v>
      </c>
      <c r="E984" s="34" t="s">
        <v>5339</v>
      </c>
    </row>
    <row r="985" spans="1:5" x14ac:dyDescent="0.25">
      <c r="A985" s="33" t="str" cm="1">
        <f t="array" ref="A985">IFERROR(INDEX(Register!$B$3:$B$1409,ROW(),0), "")</f>
        <v>FORECAST 3D</v>
      </c>
      <c r="B985" s="32" t="e">
        <f>VLOOKUP($A985,Register!$B$3:$E$1409,6,FALSE)</f>
        <v>#REF!</v>
      </c>
      <c r="C985" s="32" t="e">
        <f>VLOOKUP($A985,Register!$B$3:$E$1409,7,FALSE)</f>
        <v>#REF!</v>
      </c>
      <c r="D985" s="32" t="e">
        <f>VLOOKUP($A985,Register!$B$3:$E$1409,8,FALSE)</f>
        <v>#REF!</v>
      </c>
      <c r="E985" s="34" t="s">
        <v>5339</v>
      </c>
    </row>
    <row r="986" spans="1:5" x14ac:dyDescent="0.25">
      <c r="A986" s="33" t="str" cm="1">
        <f t="array" ref="A986">IFERROR(INDEX(Register!$B$3:$B$1409,ROW(),0), "")</f>
        <v>Formero Pty Ltd (formerly GoProto)</v>
      </c>
      <c r="B986" s="32" t="e">
        <f>VLOOKUP($A986,Register!$B$3:$E$1409,6,FALSE)</f>
        <v>#REF!</v>
      </c>
      <c r="C986" s="32" t="e">
        <f>VLOOKUP($A986,Register!$B$3:$E$1409,7,FALSE)</f>
        <v>#REF!</v>
      </c>
      <c r="D986" s="32" t="e">
        <f>VLOOKUP($A986,Register!$B$3:$E$1409,8,FALSE)</f>
        <v>#REF!</v>
      </c>
      <c r="E986" s="34" t="s">
        <v>5339</v>
      </c>
    </row>
    <row r="987" spans="1:5" x14ac:dyDescent="0.25">
      <c r="A987" s="33" t="str" cm="1">
        <f t="array" ref="A987">IFERROR(INDEX(Register!$B$3:$B$1409,ROW(),0), "")</f>
        <v>GoProto LLC.</v>
      </c>
      <c r="B987" s="32" t="e">
        <f>VLOOKUP($A987,Register!$B$3:$E$1409,6,FALSE)</f>
        <v>#REF!</v>
      </c>
      <c r="C987" s="32" t="e">
        <f>VLOOKUP($A987,Register!$B$3:$E$1409,7,FALSE)</f>
        <v>#REF!</v>
      </c>
      <c r="D987" s="32" t="e">
        <f>VLOOKUP($A987,Register!$B$3:$E$1409,8,FALSE)</f>
        <v>#REF!</v>
      </c>
      <c r="E987" s="34" t="s">
        <v>5339</v>
      </c>
    </row>
    <row r="988" spans="1:5" x14ac:dyDescent="0.25">
      <c r="A988" s="33" t="str" cm="1">
        <f t="array" ref="A988">IFERROR(INDEX(Register!$B$3:$B$1409,ROW(),0), "")</f>
        <v>RP Prototype</v>
      </c>
      <c r="B988" s="32" t="e">
        <f>VLOOKUP($A988,Register!$B$3:$E$1409,6,FALSE)</f>
        <v>#REF!</v>
      </c>
      <c r="C988" s="32" t="e">
        <f>VLOOKUP($A988,Register!$B$3:$E$1409,7,FALSE)</f>
        <v>#REF!</v>
      </c>
      <c r="D988" s="32" t="e">
        <f>VLOOKUP($A988,Register!$B$3:$E$1409,8,FALSE)</f>
        <v>#REF!</v>
      </c>
      <c r="E988" s="34" t="s">
        <v>5339</v>
      </c>
    </row>
    <row r="989" spans="1:5" x14ac:dyDescent="0.25">
      <c r="A989" s="33" t="str" cm="1">
        <f t="array" ref="A989">IFERROR(INDEX(Register!$B$3:$B$1409,ROW(),0), "")</f>
        <v>Prismier LLC</v>
      </c>
      <c r="B989" s="32" t="e">
        <f>VLOOKUP($A989,Register!$B$3:$E$1409,6,FALSE)</f>
        <v>#REF!</v>
      </c>
      <c r="C989" s="32" t="e">
        <f>VLOOKUP($A989,Register!$B$3:$E$1409,7,FALSE)</f>
        <v>#REF!</v>
      </c>
      <c r="D989" s="32" t="e">
        <f>VLOOKUP($A989,Register!$B$3:$E$1409,8,FALSE)</f>
        <v>#REF!</v>
      </c>
      <c r="E989" s="34" t="s">
        <v>5339</v>
      </c>
    </row>
    <row r="990" spans="1:5" x14ac:dyDescent="0.25">
      <c r="A990" s="33" t="str" cm="1">
        <f t="array" ref="A990">IFERROR(INDEX(Register!$B$3:$B$1409,ROW(),0), "")</f>
        <v>Proto Labs Inc</v>
      </c>
      <c r="B990" s="32" t="e">
        <f>VLOOKUP($A990,Register!$B$3:$E$1409,6,FALSE)</f>
        <v>#REF!</v>
      </c>
      <c r="C990" s="32" t="e">
        <f>VLOOKUP($A990,Register!$B$3:$E$1409,7,FALSE)</f>
        <v>#REF!</v>
      </c>
      <c r="D990" s="32" t="e">
        <f>VLOOKUP($A990,Register!$B$3:$E$1409,8,FALSE)</f>
        <v>#REF!</v>
      </c>
      <c r="E990" s="34" t="s">
        <v>5339</v>
      </c>
    </row>
    <row r="991" spans="1:5" x14ac:dyDescent="0.25">
      <c r="A991" s="33" t="str" cm="1">
        <f t="array" ref="A991">IFERROR(INDEX(Register!$B$3:$B$1409,ROW(),0), "")</f>
        <v>PROTO LABS, INC. (US)</v>
      </c>
      <c r="B991" s="32" t="e">
        <f>VLOOKUP($A991,Register!$B$3:$E$1409,6,FALSE)</f>
        <v>#REF!</v>
      </c>
      <c r="C991" s="32" t="e">
        <f>VLOOKUP($A991,Register!$B$3:$E$1409,7,FALSE)</f>
        <v>#REF!</v>
      </c>
      <c r="D991" s="32" t="e">
        <f>VLOOKUP($A991,Register!$B$3:$E$1409,8,FALSE)</f>
        <v>#REF!</v>
      </c>
      <c r="E991" s="34" t="s">
        <v>5339</v>
      </c>
    </row>
    <row r="992" spans="1:5" x14ac:dyDescent="0.25">
      <c r="A992" s="33" t="str" cm="1">
        <f t="array" ref="A992">IFERROR(INDEX(Register!$B$3:$B$1409,ROW(),0), "")</f>
        <v>Sunpe Prototype</v>
      </c>
      <c r="B992" s="32" t="e">
        <f>VLOOKUP($A992,Register!$B$3:$E$1409,6,FALSE)</f>
        <v>#REF!</v>
      </c>
      <c r="C992" s="32" t="e">
        <f>VLOOKUP($A992,Register!$B$3:$E$1409,7,FALSE)</f>
        <v>#REF!</v>
      </c>
      <c r="D992" s="32" t="e">
        <f>VLOOKUP($A992,Register!$B$3:$E$1409,8,FALSE)</f>
        <v>#REF!</v>
      </c>
      <c r="E992" s="34" t="s">
        <v>5339</v>
      </c>
    </row>
    <row r="993" spans="1:5" x14ac:dyDescent="0.25">
      <c r="A993" s="33" t="str" cm="1">
        <f t="array" ref="A993">IFERROR(INDEX(Register!$B$3:$B$1409,ROW(),0), "")</f>
        <v>Ultimate 3D Printing Store</v>
      </c>
      <c r="B993" s="32" t="e">
        <f>VLOOKUP($A993,Register!$B$3:$E$1409,6,FALSE)</f>
        <v>#REF!</v>
      </c>
      <c r="C993" s="32" t="e">
        <f>VLOOKUP($A993,Register!$B$3:$E$1409,7,FALSE)</f>
        <v>#REF!</v>
      </c>
      <c r="D993" s="32" t="e">
        <f>VLOOKUP($A993,Register!$B$3:$E$1409,8,FALSE)</f>
        <v>#REF!</v>
      </c>
      <c r="E993" s="34" t="s">
        <v>5339</v>
      </c>
    </row>
    <row r="994" spans="1:5" x14ac:dyDescent="0.25">
      <c r="A994" s="33" t="str" cm="1">
        <f t="array" ref="A994">IFERROR(INDEX(Register!$B$3:$B$1409,ROW(),0), "")</f>
        <v>PROTOCASE, INC.</v>
      </c>
      <c r="B994" s="32" t="e">
        <f>VLOOKUP($A994,Register!$B$3:$E$1409,6,FALSE)</f>
        <v>#REF!</v>
      </c>
      <c r="C994" s="32" t="e">
        <f>VLOOKUP($A994,Register!$B$3:$E$1409,7,FALSE)</f>
        <v>#REF!</v>
      </c>
      <c r="D994" s="32" t="e">
        <f>VLOOKUP($A994,Register!$B$3:$E$1409,8,FALSE)</f>
        <v>#REF!</v>
      </c>
      <c r="E994" s="34" t="s">
        <v>5339</v>
      </c>
    </row>
    <row r="995" spans="1:5" x14ac:dyDescent="0.25">
      <c r="A995" s="33" t="str" cm="1">
        <f t="array" ref="A995">IFERROR(INDEX(Register!$B$3:$B$1409,ROW(),0), "")</f>
        <v>Shenzhen Noble Smart Mfg Tech Co.</v>
      </c>
      <c r="B995" s="32" t="e">
        <f>VLOOKUP($A995,Register!$B$3:$E$1409,6,FALSE)</f>
        <v>#REF!</v>
      </c>
      <c r="C995" s="32" t="e">
        <f>VLOOKUP($A995,Register!$B$3:$E$1409,7,FALSE)</f>
        <v>#REF!</v>
      </c>
      <c r="D995" s="32" t="e">
        <f>VLOOKUP($A995,Register!$B$3:$E$1409,8,FALSE)</f>
        <v>#REF!</v>
      </c>
      <c r="E995" s="34" t="s">
        <v>5339</v>
      </c>
    </row>
    <row r="996" spans="1:5" x14ac:dyDescent="0.25">
      <c r="A996" s="33" t="str" cm="1">
        <f t="array" ref="A996">IFERROR(INDEX(Register!$B$3:$B$1409,ROW(),0), "")</f>
        <v>Star Rapid Limited</v>
      </c>
      <c r="B996" s="32" t="e">
        <f>VLOOKUP($A996,Register!$B$3:$E$1409,6,FALSE)</f>
        <v>#REF!</v>
      </c>
      <c r="C996" s="32" t="e">
        <f>VLOOKUP($A996,Register!$B$3:$E$1409,7,FALSE)</f>
        <v>#REF!</v>
      </c>
      <c r="D996" s="32" t="e">
        <f>VLOOKUP($A996,Register!$B$3:$E$1409,8,FALSE)</f>
        <v>#REF!</v>
      </c>
      <c r="E996" s="34" t="s">
        <v>5339</v>
      </c>
    </row>
    <row r="997" spans="1:5" x14ac:dyDescent="0.25">
      <c r="A997" s="33" t="str" cm="1">
        <f t="array" ref="A997">IFERROR(INDEX(Register!$B$3:$B$1409,ROW(),0), "")</f>
        <v>STRATASYS DIRECT MANUFACTURING</v>
      </c>
      <c r="B997" s="32" t="e">
        <f>VLOOKUP($A997,Register!$B$3:$E$1409,6,FALSE)</f>
        <v>#REF!</v>
      </c>
      <c r="C997" s="32" t="e">
        <f>VLOOKUP($A997,Register!$B$3:$E$1409,7,FALSE)</f>
        <v>#REF!</v>
      </c>
      <c r="D997" s="32" t="e">
        <f>VLOOKUP($A997,Register!$B$3:$E$1409,8,FALSE)</f>
        <v>#REF!</v>
      </c>
      <c r="E997" s="34" t="s">
        <v>5339</v>
      </c>
    </row>
    <row r="998" spans="1:5" x14ac:dyDescent="0.25">
      <c r="A998" s="33" t="str" cm="1">
        <f t="array" ref="A998">IFERROR(INDEX(Register!$B$3:$B$1409,ROW(),0), "")</f>
        <v>Gardner Denver Thomas</v>
      </c>
      <c r="B998" s="32" t="e">
        <f>VLOOKUP($A998,Register!$B$3:$E$1409,6,FALSE)</f>
        <v>#REF!</v>
      </c>
      <c r="C998" s="32" t="e">
        <f>VLOOKUP($A998,Register!$B$3:$E$1409,7,FALSE)</f>
        <v>#REF!</v>
      </c>
      <c r="D998" s="32" t="e">
        <f>VLOOKUP($A998,Register!$B$3:$E$1409,8,FALSE)</f>
        <v>#REF!</v>
      </c>
      <c r="E998" s="34" t="s">
        <v>5339</v>
      </c>
    </row>
    <row r="999" spans="1:5" x14ac:dyDescent="0.25">
      <c r="A999" s="33" t="str" cm="1">
        <f t="array" ref="A999">IFERROR(INDEX(Register!$B$3:$B$1409,ROW(),0), "")</f>
        <v>KNF NEUBERGER, INC.</v>
      </c>
      <c r="B999" s="32" t="e">
        <f>VLOOKUP($A999,Register!$B$3:$E$1409,6,FALSE)</f>
        <v>#REF!</v>
      </c>
      <c r="C999" s="32" t="e">
        <f>VLOOKUP($A999,Register!$B$3:$E$1409,7,FALSE)</f>
        <v>#REF!</v>
      </c>
      <c r="D999" s="32" t="e">
        <f>VLOOKUP($A999,Register!$B$3:$E$1409,8,FALSE)</f>
        <v>#REF!</v>
      </c>
      <c r="E999" s="34" t="s">
        <v>5339</v>
      </c>
    </row>
    <row r="1000" spans="1:5" x14ac:dyDescent="0.25">
      <c r="A1000" s="33" t="str" cm="1">
        <f t="array" ref="A1000">IFERROR(INDEX(Register!$B$3:$B$1409,ROW(),0), "")</f>
        <v>WATSON-MARLOW BREDEL PUMPS</v>
      </c>
      <c r="B1000" s="32" t="e">
        <f>VLOOKUP($A1000,Register!$B$3:$E$1409,6,FALSE)</f>
        <v>#REF!</v>
      </c>
      <c r="C1000" s="32" t="e">
        <f>VLOOKUP($A1000,Register!$B$3:$E$1409,7,FALSE)</f>
        <v>#REF!</v>
      </c>
      <c r="D1000" s="32" t="e">
        <f>VLOOKUP($A1000,Register!$B$3:$E$1409,8,FALSE)</f>
        <v>#REF!</v>
      </c>
      <c r="E1000" s="34" t="s">
        <v>5339</v>
      </c>
    </row>
    <row r="1001" spans="1:5" x14ac:dyDescent="0.25">
      <c r="A1001" s="33" t="str" cm="1">
        <f t="array" ref="A1001">IFERROR(INDEX(Register!$B$3:$B$1409,ROW(),0), "")</f>
        <v>BSI Group ANZ Pty Ltd</v>
      </c>
      <c r="B1001" s="32" t="e">
        <f>VLOOKUP($A1001,Register!$B$3:$E$1409,6,FALSE)</f>
        <v>#REF!</v>
      </c>
      <c r="C1001" s="32" t="e">
        <f>VLOOKUP($A1001,Register!$B$3:$E$1409,7,FALSE)</f>
        <v>#REF!</v>
      </c>
      <c r="D1001" s="32" t="e">
        <f>VLOOKUP($A1001,Register!$B$3:$E$1409,8,FALSE)</f>
        <v>#REF!</v>
      </c>
      <c r="E1001" s="34" t="s">
        <v>5339</v>
      </c>
    </row>
    <row r="1002" spans="1:5" x14ac:dyDescent="0.25">
      <c r="A1002" s="33" t="str" cm="1">
        <f t="array" ref="A1002">IFERROR(INDEX(Register!$B$3:$B$1409,ROW(),0), "")</f>
        <v>Quality Production Engineers</v>
      </c>
      <c r="B1002" s="32" t="e">
        <f>VLOOKUP($A1002,Register!$B$3:$E$1409,6,FALSE)</f>
        <v>#REF!</v>
      </c>
      <c r="C1002" s="32" t="e">
        <f>VLOOKUP($A1002,Register!$B$3:$E$1409,7,FALSE)</f>
        <v>#REF!</v>
      </c>
      <c r="D1002" s="32" t="e">
        <f>VLOOKUP($A1002,Register!$B$3:$E$1409,8,FALSE)</f>
        <v>#REF!</v>
      </c>
      <c r="E1002" s="34" t="s">
        <v>5339</v>
      </c>
    </row>
    <row r="1003" spans="1:5" x14ac:dyDescent="0.25">
      <c r="A1003" s="33" t="str" cm="1">
        <f t="array" ref="A1003">IFERROR(INDEX(Register!$B$3:$B$1409,ROW(),0), "")</f>
        <v>Stracon Inc</v>
      </c>
      <c r="B1003" s="32" t="e">
        <f>VLOOKUP($A1003,Register!$B$3:$E$1409,6,FALSE)</f>
        <v>#REF!</v>
      </c>
      <c r="C1003" s="32" t="e">
        <f>VLOOKUP($A1003,Register!$B$3:$E$1409,7,FALSE)</f>
        <v>#REF!</v>
      </c>
      <c r="D1003" s="32" t="e">
        <f>VLOOKUP($A1003,Register!$B$3:$E$1409,8,FALSE)</f>
        <v>#REF!</v>
      </c>
      <c r="E1003" s="34" t="s">
        <v>5339</v>
      </c>
    </row>
    <row r="1004" spans="1:5" x14ac:dyDescent="0.25">
      <c r="A1004" s="33" t="str" cm="1">
        <f t="array" ref="A1004">IFERROR(INDEX(Register!$B$3:$B$1409,ROW(),0), "")</f>
        <v>TUV Rheinland Australia Pty Ltd</v>
      </c>
      <c r="B1004" s="32" t="e">
        <f>VLOOKUP($A1004,Register!$B$3:$E$1409,6,FALSE)</f>
        <v>#REF!</v>
      </c>
      <c r="C1004" s="32" t="e">
        <f>VLOOKUP($A1004,Register!$B$3:$E$1409,7,FALSE)</f>
        <v>#REF!</v>
      </c>
      <c r="D1004" s="32" t="e">
        <f>VLOOKUP($A1004,Register!$B$3:$E$1409,8,FALSE)</f>
        <v>#REF!</v>
      </c>
      <c r="E1004" s="34" t="s">
        <v>5339</v>
      </c>
    </row>
    <row r="1005" spans="1:5" x14ac:dyDescent="0.25">
      <c r="A1005" s="33" t="str" cm="1">
        <f t="array" ref="A1005">IFERROR(INDEX(Register!$B$3:$B$1409,ROW(),0), "")</f>
        <v>TUV SUD AMERICA INC</v>
      </c>
      <c r="B1005" s="32" t="e">
        <f>VLOOKUP($A1005,Register!$B$3:$E$1409,6,FALSE)</f>
        <v>#REF!</v>
      </c>
      <c r="C1005" s="32" t="e">
        <f>VLOOKUP($A1005,Register!$B$3:$E$1409,7,FALSE)</f>
        <v>#REF!</v>
      </c>
      <c r="D1005" s="32" t="e">
        <f>VLOOKUP($A1005,Register!$B$3:$E$1409,8,FALSE)</f>
        <v>#REF!</v>
      </c>
      <c r="E1005" s="34" t="s">
        <v>5339</v>
      </c>
    </row>
    <row r="1006" spans="1:5" x14ac:dyDescent="0.25">
      <c r="A1006" s="33" t="str" cm="1">
        <f t="array" ref="A1006">IFERROR(INDEX(Register!$B$3:$B$1409,ROW(),0), "")</f>
        <v>TUV SUD Canada</v>
      </c>
      <c r="B1006" s="32" t="e">
        <f>VLOOKUP($A1006,Register!$B$3:$E$1409,6,FALSE)</f>
        <v>#REF!</v>
      </c>
      <c r="C1006" s="32" t="e">
        <f>VLOOKUP($A1006,Register!$B$3:$E$1409,7,FALSE)</f>
        <v>#REF!</v>
      </c>
      <c r="D1006" s="32" t="e">
        <f>VLOOKUP($A1006,Register!$B$3:$E$1409,8,FALSE)</f>
        <v>#REF!</v>
      </c>
      <c r="E1006" s="34" t="s">
        <v>5339</v>
      </c>
    </row>
    <row r="1007" spans="1:5" x14ac:dyDescent="0.25">
      <c r="A1007" s="33" t="str" cm="1">
        <f t="array" ref="A1007">IFERROR(INDEX(Register!$B$3:$B$1409,ROW(),0), "")</f>
        <v>China Rare Earth Magment Limited</v>
      </c>
      <c r="B1007" s="32" t="e">
        <f>VLOOKUP($A1007,Register!$B$3:$E$1409,6,FALSE)</f>
        <v>#REF!</v>
      </c>
      <c r="C1007" s="32" t="e">
        <f>VLOOKUP($A1007,Register!$B$3:$E$1409,7,FALSE)</f>
        <v>#REF!</v>
      </c>
      <c r="D1007" s="32" t="e">
        <f>VLOOKUP($A1007,Register!$B$3:$E$1409,8,FALSE)</f>
        <v>#REF!</v>
      </c>
      <c r="E1007" s="34" t="s">
        <v>5339</v>
      </c>
    </row>
    <row r="1008" spans="1:5" x14ac:dyDescent="0.25">
      <c r="A1008" s="33" t="str" cm="1">
        <f t="array" ref="A1008">IFERROR(INDEX(Register!$B$3:$B$1409,ROW(),0), "")</f>
        <v>Modelflight (L O'Reilly Pty. Ltd)</v>
      </c>
      <c r="B1008" s="32" t="e">
        <f>VLOOKUP($A1008,Register!$B$3:$E$1409,6,FALSE)</f>
        <v>#REF!</v>
      </c>
      <c r="C1008" s="32" t="e">
        <f>VLOOKUP($A1008,Register!$B$3:$E$1409,7,FALSE)</f>
        <v>#REF!</v>
      </c>
      <c r="D1008" s="32" t="e">
        <f>VLOOKUP($A1008,Register!$B$3:$E$1409,8,FALSE)</f>
        <v>#REF!</v>
      </c>
      <c r="E1008" s="34" t="s">
        <v>5339</v>
      </c>
    </row>
    <row r="1009" spans="1:5" x14ac:dyDescent="0.25">
      <c r="A1009" s="33" t="str" cm="1">
        <f t="array" ref="A1009">IFERROR(INDEX(Register!$B$3:$B$1409,ROW(),0), "")</f>
        <v>Bandak Project Management Inc.</v>
      </c>
      <c r="B1009" s="32" t="e">
        <f>VLOOKUP($A1009,Register!$B$3:$E$1409,6,FALSE)</f>
        <v>#REF!</v>
      </c>
      <c r="C1009" s="32" t="e">
        <f>VLOOKUP($A1009,Register!$B$3:$E$1409,7,FALSE)</f>
        <v>#REF!</v>
      </c>
      <c r="D1009" s="32" t="e">
        <f>VLOOKUP($A1009,Register!$B$3:$E$1409,8,FALSE)</f>
        <v>#REF!</v>
      </c>
      <c r="E1009" s="34" t="s">
        <v>5339</v>
      </c>
    </row>
    <row r="1010" spans="1:5" x14ac:dyDescent="0.25">
      <c r="A1010" s="33" t="str" cm="1">
        <f t="array" ref="A1010">IFERROR(INDEX(Register!$B$3:$B$1409,ROW(),0), "")</f>
        <v>Oracle Fieldwork Ltd</v>
      </c>
      <c r="B1010" s="32" t="e">
        <f>VLOOKUP($A1010,Register!$B$3:$E$1409,6,FALSE)</f>
        <v>#REF!</v>
      </c>
      <c r="C1010" s="32" t="e">
        <f>VLOOKUP($A1010,Register!$B$3:$E$1409,7,FALSE)</f>
        <v>#REF!</v>
      </c>
      <c r="D1010" s="32" t="e">
        <f>VLOOKUP($A1010,Register!$B$3:$E$1409,8,FALSE)</f>
        <v>#REF!</v>
      </c>
      <c r="E1010" s="34" t="s">
        <v>5339</v>
      </c>
    </row>
    <row r="1011" spans="1:5" x14ac:dyDescent="0.25">
      <c r="A1011" s="33" t="str" cm="1">
        <f t="array" ref="A1011">IFERROR(INDEX(Register!$B$3:$B$1409,ROW(),0), "")</f>
        <v>Roots Research LTD</v>
      </c>
      <c r="B1011" s="32" t="e">
        <f>VLOOKUP($A1011,Register!$B$3:$E$1409,6,FALSE)</f>
        <v>#REF!</v>
      </c>
      <c r="C1011" s="32" t="e">
        <f>VLOOKUP($A1011,Register!$B$3:$E$1409,7,FALSE)</f>
        <v>#REF!</v>
      </c>
      <c r="D1011" s="32" t="e">
        <f>VLOOKUP($A1011,Register!$B$3:$E$1409,8,FALSE)</f>
        <v>#REF!</v>
      </c>
      <c r="E1011" s="34" t="s">
        <v>5339</v>
      </c>
    </row>
    <row r="1012" spans="1:5" x14ac:dyDescent="0.25">
      <c r="A1012" s="33" t="str" cm="1">
        <f t="array" ref="A1012">IFERROR(INDEX(Register!$B$3:$B$1409,ROW(),0), "")</f>
        <v>AEROTEK, INC.</v>
      </c>
      <c r="B1012" s="32" t="e">
        <f>VLOOKUP($A1012,Register!$B$3:$E$1409,6,FALSE)</f>
        <v>#REF!</v>
      </c>
      <c r="C1012" s="32" t="e">
        <f>VLOOKUP($A1012,Register!$B$3:$E$1409,7,FALSE)</f>
        <v>#REF!</v>
      </c>
      <c r="D1012" s="32" t="e">
        <f>VLOOKUP($A1012,Register!$B$3:$E$1409,8,FALSE)</f>
        <v>#REF!</v>
      </c>
      <c r="E1012" s="34" t="s">
        <v>5339</v>
      </c>
    </row>
    <row r="1013" spans="1:5" x14ac:dyDescent="0.25">
      <c r="A1013" s="33" t="str" cm="1">
        <f t="array" ref="A1013">IFERROR(INDEX(Register!$B$3:$B$1409,ROW(),0), "")</f>
        <v>Australia and New Zealand Recycling Platform Limited (TechCollect)</v>
      </c>
      <c r="B1013" s="32" t="e">
        <f>VLOOKUP($A1013,Register!$B$3:$E$1409,6,FALSE)</f>
        <v>#REF!</v>
      </c>
      <c r="C1013" s="32" t="e">
        <f>VLOOKUP($A1013,Register!$B$3:$E$1409,7,FALSE)</f>
        <v>#REF!</v>
      </c>
      <c r="D1013" s="32" t="e">
        <f>VLOOKUP($A1013,Register!$B$3:$E$1409,8,FALSE)</f>
        <v>#REF!</v>
      </c>
      <c r="E1013" s="34" t="s">
        <v>5339</v>
      </c>
    </row>
    <row r="1014" spans="1:5" x14ac:dyDescent="0.25">
      <c r="A1014" s="33" t="str" cm="1">
        <f t="array" ref="A1014">IFERROR(INDEX(Register!$B$3:$B$1409,ROW(),0), "")</f>
        <v>P.S.E. REFRIGERATION &amp; AIR CONDITIONING</v>
      </c>
      <c r="B1014" s="32" t="e">
        <f>VLOOKUP($A1014,Register!$B$3:$E$1409,6,FALSE)</f>
        <v>#REF!</v>
      </c>
      <c r="C1014" s="32" t="e">
        <f>VLOOKUP($A1014,Register!$B$3:$E$1409,7,FALSE)</f>
        <v>#REF!</v>
      </c>
      <c r="D1014" s="32" t="e">
        <f>VLOOKUP($A1014,Register!$B$3:$E$1409,8,FALSE)</f>
        <v>#REF!</v>
      </c>
      <c r="E1014" s="34" t="s">
        <v>5339</v>
      </c>
    </row>
    <row r="1015" spans="1:5" x14ac:dyDescent="0.25">
      <c r="A1015" s="33" t="str" cm="1">
        <f t="array" ref="A1015">IFERROR(INDEX(Register!$B$3:$B$1409,ROW(),0), "")</f>
        <v>ONTARIO REFRIGERATION SERV INC</v>
      </c>
      <c r="B1015" s="32" t="e">
        <f>VLOOKUP($A1015,Register!$B$3:$E$1409,6,FALSE)</f>
        <v>#REF!</v>
      </c>
      <c r="C1015" s="32" t="e">
        <f>VLOOKUP($A1015,Register!$B$3:$E$1409,7,FALSE)</f>
        <v>#REF!</v>
      </c>
      <c r="D1015" s="32" t="e">
        <f>VLOOKUP($A1015,Register!$B$3:$E$1409,8,FALSE)</f>
        <v>#REF!</v>
      </c>
      <c r="E1015" s="34" t="s">
        <v>5339</v>
      </c>
    </row>
    <row r="1016" spans="1:5" x14ac:dyDescent="0.25">
      <c r="A1016" s="33" t="str" cm="1">
        <f t="array" ref="A1016">IFERROR(INDEX(Register!$B$3:$B$1409,ROW(),0), "")</f>
        <v>AMERICAN ASSOC. FOR CLINICAL C</v>
      </c>
      <c r="B1016" s="32" t="e">
        <f>VLOOKUP($A1016,Register!$B$3:$E$1409,6,FALSE)</f>
        <v>#REF!</v>
      </c>
      <c r="C1016" s="32" t="e">
        <f>VLOOKUP($A1016,Register!$B$3:$E$1409,7,FALSE)</f>
        <v>#REF!</v>
      </c>
      <c r="D1016" s="32" t="e">
        <f>VLOOKUP($A1016,Register!$B$3:$E$1409,8,FALSE)</f>
        <v>#REF!</v>
      </c>
      <c r="E1016" s="34" t="s">
        <v>5339</v>
      </c>
    </row>
    <row r="1017" spans="1:5" x14ac:dyDescent="0.25">
      <c r="A1017" s="33" t="str" cm="1">
        <f t="array" ref="A1017">IFERROR(INDEX(Register!$B$3:$B$1409,ROW(),0), "")</f>
        <v>Datura EHS &amp; Compliance, LLC</v>
      </c>
      <c r="B1017" s="32" t="e">
        <f>VLOOKUP($A1017,Register!$B$3:$E$1409,6,FALSE)</f>
        <v>#REF!</v>
      </c>
      <c r="C1017" s="32" t="e">
        <f>VLOOKUP($A1017,Register!$B$3:$E$1409,7,FALSE)</f>
        <v>#REF!</v>
      </c>
      <c r="D1017" s="32" t="e">
        <f>VLOOKUP($A1017,Register!$B$3:$E$1409,8,FALSE)</f>
        <v>#REF!</v>
      </c>
      <c r="E1017" s="34" t="s">
        <v>5339</v>
      </c>
    </row>
    <row r="1018" spans="1:5" x14ac:dyDescent="0.25">
      <c r="A1018" s="33" t="str" cm="1">
        <f t="array" ref="A1018">IFERROR(INDEX(Register!$B$3:$B$1409,ROW(),0), "")</f>
        <v>Elite RA Consultancy Co.</v>
      </c>
      <c r="B1018" s="32" t="e">
        <f>VLOOKUP($A1018,Register!$B$3:$E$1409,6,FALSE)</f>
        <v>#REF!</v>
      </c>
      <c r="C1018" s="32" t="e">
        <f>VLOOKUP($A1018,Register!$B$3:$E$1409,7,FALSE)</f>
        <v>#REF!</v>
      </c>
      <c r="D1018" s="32" t="e">
        <f>VLOOKUP($A1018,Register!$B$3:$E$1409,8,FALSE)</f>
        <v>#REF!</v>
      </c>
      <c r="E1018" s="34" t="s">
        <v>5339</v>
      </c>
    </row>
    <row r="1019" spans="1:5" x14ac:dyDescent="0.25">
      <c r="A1019" s="33" t="str" cm="1">
        <f t="array" ref="A1019">IFERROR(INDEX(Register!$B$3:$B$1409,ROW(),0), "")</f>
        <v>MEDITIP Co</v>
      </c>
      <c r="B1019" s="32" t="e">
        <f>VLOOKUP($A1019,Register!$B$3:$E$1409,6,FALSE)</f>
        <v>#REF!</v>
      </c>
      <c r="C1019" s="32" t="e">
        <f>VLOOKUP($A1019,Register!$B$3:$E$1409,7,FALSE)</f>
        <v>#REF!</v>
      </c>
      <c r="D1019" s="32" t="e">
        <f>VLOOKUP($A1019,Register!$B$3:$E$1409,8,FALSE)</f>
        <v>#REF!</v>
      </c>
      <c r="E1019" s="34" t="s">
        <v>5339</v>
      </c>
    </row>
    <row r="1020" spans="1:5" x14ac:dyDescent="0.25">
      <c r="A1020" s="33" t="str" cm="1">
        <f t="array" ref="A1020">IFERROR(INDEX(Register!$B$3:$B$1409,ROW(),0), "")</f>
        <v>PT Sixmurs Perdana</v>
      </c>
      <c r="B1020" s="32" t="e">
        <f>VLOOKUP($A1020,Register!$B$3:$E$1409,6,FALSE)</f>
        <v>#REF!</v>
      </c>
      <c r="C1020" s="32" t="e">
        <f>VLOOKUP($A1020,Register!$B$3:$E$1409,7,FALSE)</f>
        <v>#REF!</v>
      </c>
      <c r="D1020" s="32" t="e">
        <f>VLOOKUP($A1020,Register!$B$3:$E$1409,8,FALSE)</f>
        <v>#REF!</v>
      </c>
      <c r="E1020" s="34" t="s">
        <v>5339</v>
      </c>
    </row>
    <row r="1021" spans="1:5" x14ac:dyDescent="0.25">
      <c r="A1021" s="33" t="str" cm="1">
        <f t="array" ref="A1021">IFERROR(INDEX(Register!$B$3:$B$1409,ROW(),0), "")</f>
        <v>Regulus Healthcare</v>
      </c>
      <c r="B1021" s="32" t="e">
        <f>VLOOKUP($A1021,Register!$B$3:$E$1409,6,FALSE)</f>
        <v>#REF!</v>
      </c>
      <c r="C1021" s="32" t="e">
        <f>VLOOKUP($A1021,Register!$B$3:$E$1409,7,FALSE)</f>
        <v>#REF!</v>
      </c>
      <c r="D1021" s="32" t="e">
        <f>VLOOKUP($A1021,Register!$B$3:$E$1409,8,FALSE)</f>
        <v>#REF!</v>
      </c>
      <c r="E1021" s="34" t="s">
        <v>5339</v>
      </c>
    </row>
    <row r="1022" spans="1:5" x14ac:dyDescent="0.25">
      <c r="A1022" s="33" t="str" cm="1">
        <f t="array" ref="A1022">IFERROR(INDEX(Register!$B$3:$B$1409,ROW(),0), "")</f>
        <v>SeerPharma</v>
      </c>
      <c r="B1022" s="32" t="e">
        <f>VLOOKUP($A1022,Register!$B$3:$E$1409,6,FALSE)</f>
        <v>#REF!</v>
      </c>
      <c r="C1022" s="32" t="e">
        <f>VLOOKUP($A1022,Register!$B$3:$E$1409,7,FALSE)</f>
        <v>#REF!</v>
      </c>
      <c r="D1022" s="32" t="e">
        <f>VLOOKUP($A1022,Register!$B$3:$E$1409,8,FALSE)</f>
        <v>#REF!</v>
      </c>
      <c r="E1022" s="34" t="s">
        <v>5339</v>
      </c>
    </row>
    <row r="1023" spans="1:5" x14ac:dyDescent="0.25">
      <c r="A1023" s="33" t="str" cm="1">
        <f t="array" ref="A1023">IFERROR(INDEX(Register!$B$3:$B$1409,ROW(),0), "")</f>
        <v>Momentum Enterprise Systems</v>
      </c>
      <c r="B1023" s="32" t="e">
        <f>VLOOKUP($A1023,Register!$B$3:$E$1409,6,FALSE)</f>
        <v>#REF!</v>
      </c>
      <c r="C1023" s="32" t="e">
        <f>VLOOKUP($A1023,Register!$B$3:$E$1409,7,FALSE)</f>
        <v>#REF!</v>
      </c>
      <c r="D1023" s="32" t="e">
        <f>VLOOKUP($A1023,Register!$B$3:$E$1409,8,FALSE)</f>
        <v>#REF!</v>
      </c>
      <c r="E1023" s="34" t="s">
        <v>5339</v>
      </c>
    </row>
    <row r="1024" spans="1:5" x14ac:dyDescent="0.25">
      <c r="A1024" s="33" t="str" cm="1">
        <f t="array" ref="A1024">IFERROR(INDEX(Register!$B$3:$B$1409,ROW(),0), "")</f>
        <v>kd&amp;a Pty Ltd</v>
      </c>
      <c r="B1024" s="32" t="e">
        <f>VLOOKUP($A1024,Register!$B$3:$E$1409,6,FALSE)</f>
        <v>#REF!</v>
      </c>
      <c r="C1024" s="32" t="e">
        <f>VLOOKUP($A1024,Register!$B$3:$E$1409,7,FALSE)</f>
        <v>#REF!</v>
      </c>
      <c r="D1024" s="32" t="e">
        <f>VLOOKUP($A1024,Register!$B$3:$E$1409,8,FALSE)</f>
        <v>#REF!</v>
      </c>
      <c r="E1024" s="34" t="s">
        <v>5339</v>
      </c>
    </row>
    <row r="1025" spans="1:5" x14ac:dyDescent="0.25">
      <c r="A1025" s="33" t="str" cm="1">
        <f t="array" ref="A1025">IFERROR(INDEX(Register!$B$3:$B$1409,ROW(),0), "")</f>
        <v>Technology Science Group (TSG)</v>
      </c>
      <c r="B1025" s="32" t="e">
        <f>VLOOKUP($A1025,Register!$B$3:$E$1409,6,FALSE)</f>
        <v>#REF!</v>
      </c>
      <c r="C1025" s="32" t="e">
        <f>VLOOKUP($A1025,Register!$B$3:$E$1409,7,FALSE)</f>
        <v>#REF!</v>
      </c>
      <c r="D1025" s="32" t="e">
        <f>VLOOKUP($A1025,Register!$B$3:$E$1409,8,FALSE)</f>
        <v>#REF!</v>
      </c>
      <c r="E1025" s="34" t="s">
        <v>5339</v>
      </c>
    </row>
    <row r="1026" spans="1:5" x14ac:dyDescent="0.25">
      <c r="A1026" s="33" t="str" cm="1">
        <f t="array" ref="A1026">IFERROR(INDEX(Register!$B$3:$B$1409,ROW(),0), "")</f>
        <v>The R Solutions</v>
      </c>
      <c r="B1026" s="32" t="e">
        <f>VLOOKUP($A1026,Register!$B$3:$E$1409,6,FALSE)</f>
        <v>#REF!</v>
      </c>
      <c r="C1026" s="32" t="e">
        <f>VLOOKUP($A1026,Register!$B$3:$E$1409,7,FALSE)</f>
        <v>#REF!</v>
      </c>
      <c r="D1026" s="32" t="e">
        <f>VLOOKUP($A1026,Register!$B$3:$E$1409,8,FALSE)</f>
        <v>#REF!</v>
      </c>
      <c r="E1026" s="34" t="s">
        <v>5339</v>
      </c>
    </row>
    <row r="1027" spans="1:5" x14ac:dyDescent="0.25">
      <c r="A1027" s="33" t="str" cm="1">
        <f t="array" ref="A1027">IFERROR(INDEX(Register!$B$3:$B$1409,ROW(),0), "")</f>
        <v>National Construction Rentals</v>
      </c>
      <c r="B1027" s="32" t="e">
        <f>VLOOKUP($A1027,Register!$B$3:$E$1409,6,FALSE)</f>
        <v>#REF!</v>
      </c>
      <c r="C1027" s="32" t="e">
        <f>VLOOKUP($A1027,Register!$B$3:$E$1409,7,FALSE)</f>
        <v>#REF!</v>
      </c>
      <c r="D1027" s="32" t="e">
        <f>VLOOKUP($A1027,Register!$B$3:$E$1409,8,FALSE)</f>
        <v>#REF!</v>
      </c>
      <c r="E1027" s="34" t="s">
        <v>5339</v>
      </c>
    </row>
    <row r="1028" spans="1:5" x14ac:dyDescent="0.25">
      <c r="A1028" s="33" t="str" cm="1">
        <f t="array" ref="A1028">IFERROR(INDEX(Register!$B$3:$B$1409,ROW(),0), "")</f>
        <v>PASTERNACK ENT INC</v>
      </c>
      <c r="B1028" s="32" t="e">
        <f>VLOOKUP($A1028,Register!$B$3:$E$1409,6,FALSE)</f>
        <v>#REF!</v>
      </c>
      <c r="C1028" s="32" t="e">
        <f>VLOOKUP($A1028,Register!$B$3:$E$1409,7,FALSE)</f>
        <v>#REF!</v>
      </c>
      <c r="D1028" s="32" t="e">
        <f>VLOOKUP($A1028,Register!$B$3:$E$1409,8,FALSE)</f>
        <v>#REF!</v>
      </c>
      <c r="E1028" s="34" t="s">
        <v>5339</v>
      </c>
    </row>
    <row r="1029" spans="1:5" x14ac:dyDescent="0.25">
      <c r="A1029" s="33" t="str" cm="1">
        <f t="array" ref="A1029">IFERROR(INDEX(Register!$B$3:$B$1409,ROW(),0), "")</f>
        <v>RobotShop</v>
      </c>
      <c r="B1029" s="32" t="e">
        <f>VLOOKUP($A1029,Register!$B$3:$E$1409,6,FALSE)</f>
        <v>#REF!</v>
      </c>
      <c r="C1029" s="32" t="e">
        <f>VLOOKUP($A1029,Register!$B$3:$E$1409,7,FALSE)</f>
        <v>#REF!</v>
      </c>
      <c r="D1029" s="32" t="e">
        <f>VLOOKUP($A1029,Register!$B$3:$E$1409,8,FALSE)</f>
        <v>#REF!</v>
      </c>
      <c r="E1029" s="34" t="s">
        <v>5339</v>
      </c>
    </row>
    <row r="1030" spans="1:5" x14ac:dyDescent="0.25">
      <c r="A1030" s="33" t="str" cm="1">
        <f t="array" ref="A1030">IFERROR(INDEX(Register!$B$3:$B$1409,ROW(),0), "")</f>
        <v>Cosco Fire Protection</v>
      </c>
      <c r="B1030" s="32" t="e">
        <f>VLOOKUP($A1030,Register!$B$3:$E$1409,6,FALSE)</f>
        <v>#REF!</v>
      </c>
      <c r="C1030" s="32" t="e">
        <f>VLOOKUP($A1030,Register!$B$3:$E$1409,7,FALSE)</f>
        <v>#REF!</v>
      </c>
      <c r="D1030" s="32" t="e">
        <f>VLOOKUP($A1030,Register!$B$3:$E$1409,8,FALSE)</f>
        <v>#REF!</v>
      </c>
      <c r="E1030" s="34" t="s">
        <v>5339</v>
      </c>
    </row>
    <row r="1031" spans="1:5" x14ac:dyDescent="0.25">
      <c r="A1031" s="33" t="str" cm="1">
        <f t="array" ref="A1031">IFERROR(INDEX(Register!$B$3:$B$1409,ROW(),0), "")</f>
        <v>SMD, Inc.</v>
      </c>
      <c r="B1031" s="32" t="e">
        <f>VLOOKUP($A1031,Register!$B$3:$E$1409,6,FALSE)</f>
        <v>#REF!</v>
      </c>
      <c r="C1031" s="32" t="e">
        <f>VLOOKUP($A1031,Register!$B$3:$E$1409,7,FALSE)</f>
        <v>#REF!</v>
      </c>
      <c r="D1031" s="32" t="e">
        <f>VLOOKUP($A1031,Register!$B$3:$E$1409,8,FALSE)</f>
        <v>#REF!</v>
      </c>
      <c r="E1031" s="34" t="s">
        <v>5339</v>
      </c>
    </row>
    <row r="1032" spans="1:5" x14ac:dyDescent="0.25">
      <c r="A1032" s="33" t="str" cm="1">
        <f t="array" ref="A1032">IFERROR(INDEX(Register!$B$3:$B$1409,ROW(),0), "")</f>
        <v>OPTICON INC.</v>
      </c>
      <c r="B1032" s="32" t="e">
        <f>VLOOKUP($A1032,Register!$B$3:$E$1409,6,FALSE)</f>
        <v>#REF!</v>
      </c>
      <c r="C1032" s="32" t="e">
        <f>VLOOKUP($A1032,Register!$B$3:$E$1409,7,FALSE)</f>
        <v>#REF!</v>
      </c>
      <c r="D1032" s="32" t="e">
        <f>VLOOKUP($A1032,Register!$B$3:$E$1409,8,FALSE)</f>
        <v>#REF!</v>
      </c>
      <c r="E1032" s="34" t="s">
        <v>5339</v>
      </c>
    </row>
    <row r="1033" spans="1:5" x14ac:dyDescent="0.25">
      <c r="A1033" s="33" t="str" cm="1">
        <f t="array" ref="A1033">IFERROR(INDEX(Register!$B$3:$B$1409,ROW(),0), "")</f>
        <v>ESCMID</v>
      </c>
      <c r="B1033" s="32" t="e">
        <f>VLOOKUP($A1033,Register!$B$3:$E$1409,6,FALSE)</f>
        <v>#REF!</v>
      </c>
      <c r="C1033" s="32" t="e">
        <f>VLOOKUP($A1033,Register!$B$3:$E$1409,7,FALSE)</f>
        <v>#REF!</v>
      </c>
      <c r="D1033" s="32" t="e">
        <f>VLOOKUP($A1033,Register!$B$3:$E$1409,8,FALSE)</f>
        <v>#REF!</v>
      </c>
      <c r="E1033" s="34" t="s">
        <v>5339</v>
      </c>
    </row>
    <row r="1034" spans="1:5" x14ac:dyDescent="0.25">
      <c r="A1034" s="33" t="str" cm="1">
        <f t="array" ref="A1034">IFERROR(INDEX(Register!$B$3:$B$1409,ROW(),0), "")</f>
        <v>AA Thread Seal Tape, Inc.</v>
      </c>
      <c r="B1034" s="32" t="e">
        <f>VLOOKUP($A1034,Register!$B$3:$E$1409,6,FALSE)</f>
        <v>#REF!</v>
      </c>
      <c r="C1034" s="32" t="e">
        <f>VLOOKUP($A1034,Register!$B$3:$E$1409,7,FALSE)</f>
        <v>#REF!</v>
      </c>
      <c r="D1034" s="32" t="e">
        <f>VLOOKUP($A1034,Register!$B$3:$E$1409,8,FALSE)</f>
        <v>#REF!</v>
      </c>
      <c r="E1034" s="34" t="s">
        <v>5339</v>
      </c>
    </row>
    <row r="1035" spans="1:5" x14ac:dyDescent="0.25">
      <c r="A1035" s="33" t="str" cm="1">
        <f t="array" ref="A1035">IFERROR(INDEX(Register!$B$3:$B$1409,ROW(),0), "")</f>
        <v>C Otto Gehrckens GmbH &amp; Co. KG</v>
      </c>
      <c r="B1035" s="32" t="e">
        <f>VLOOKUP($A1035,Register!$B$3:$E$1409,6,FALSE)</f>
        <v>#REF!</v>
      </c>
      <c r="C1035" s="32" t="e">
        <f>VLOOKUP($A1035,Register!$B$3:$E$1409,7,FALSE)</f>
        <v>#REF!</v>
      </c>
      <c r="D1035" s="32" t="e">
        <f>VLOOKUP($A1035,Register!$B$3:$E$1409,8,FALSE)</f>
        <v>#REF!</v>
      </c>
      <c r="E1035" s="34" t="s">
        <v>5339</v>
      </c>
    </row>
    <row r="1036" spans="1:5" x14ac:dyDescent="0.25">
      <c r="A1036" s="33" t="str" cm="1">
        <f t="array" ref="A1036">IFERROR(INDEX(Register!$B$3:$B$1409,ROW(),0), "")</f>
        <v>Fluid Seals</v>
      </c>
      <c r="B1036" s="32" t="e">
        <f>VLOOKUP($A1036,Register!$B$3:$E$1409,6,FALSE)</f>
        <v>#REF!</v>
      </c>
      <c r="C1036" s="32" t="e">
        <f>VLOOKUP($A1036,Register!$B$3:$E$1409,7,FALSE)</f>
        <v>#REF!</v>
      </c>
      <c r="D1036" s="32" t="e">
        <f>VLOOKUP($A1036,Register!$B$3:$E$1409,8,FALSE)</f>
        <v>#REF!</v>
      </c>
      <c r="E1036" s="34" t="s">
        <v>5339</v>
      </c>
    </row>
    <row r="1037" spans="1:5" x14ac:dyDescent="0.25">
      <c r="A1037" s="33" t="str" cm="1">
        <f t="array" ref="A1037">IFERROR(INDEX(Register!$B$3:$B$1409,ROW(),0), "")</f>
        <v>PARKER HANNIFIN CORPORATION</v>
      </c>
      <c r="B1037" s="32" t="e">
        <f>VLOOKUP($A1037,Register!$B$3:$E$1409,6,FALSE)</f>
        <v>#REF!</v>
      </c>
      <c r="C1037" s="32" t="e">
        <f>VLOOKUP($A1037,Register!$B$3:$E$1409,7,FALSE)</f>
        <v>#REF!</v>
      </c>
      <c r="D1037" s="32" t="e">
        <f>VLOOKUP($A1037,Register!$B$3:$E$1409,8,FALSE)</f>
        <v>#REF!</v>
      </c>
      <c r="E1037" s="34" t="s">
        <v>5339</v>
      </c>
    </row>
    <row r="1038" spans="1:5" x14ac:dyDescent="0.25">
      <c r="A1038" s="33" t="str" cm="1">
        <f t="array" ref="A1038">IFERROR(INDEX(Register!$B$3:$B$1409,ROW(),0), "")</f>
        <v>ALL SEALS INC.</v>
      </c>
      <c r="B1038" s="32" t="e">
        <f>VLOOKUP($A1038,Register!$B$3:$E$1409,6,FALSE)</f>
        <v>#REF!</v>
      </c>
      <c r="C1038" s="32" t="e">
        <f>VLOOKUP($A1038,Register!$B$3:$E$1409,7,FALSE)</f>
        <v>#REF!</v>
      </c>
      <c r="D1038" s="32" t="e">
        <f>VLOOKUP($A1038,Register!$B$3:$E$1409,8,FALSE)</f>
        <v>#REF!</v>
      </c>
      <c r="E1038" s="34" t="s">
        <v>5339</v>
      </c>
    </row>
    <row r="1039" spans="1:5" x14ac:dyDescent="0.25">
      <c r="A1039" s="33" t="str" cm="1">
        <f t="array" ref="A1039">IFERROR(INDEX(Register!$B$3:$B$1409,ROW(),0), "")</f>
        <v>Global O-Ring and Seal LLC.</v>
      </c>
      <c r="B1039" s="32" t="e">
        <f>VLOOKUP($A1039,Register!$B$3:$E$1409,6,FALSE)</f>
        <v>#REF!</v>
      </c>
      <c r="C1039" s="32" t="e">
        <f>VLOOKUP($A1039,Register!$B$3:$E$1409,7,FALSE)</f>
        <v>#REF!</v>
      </c>
      <c r="D1039" s="32" t="e">
        <f>VLOOKUP($A1039,Register!$B$3:$E$1409,8,FALSE)</f>
        <v>#REF!</v>
      </c>
      <c r="E1039" s="34" t="s">
        <v>5339</v>
      </c>
    </row>
    <row r="1040" spans="1:5" x14ac:dyDescent="0.25">
      <c r="A1040" s="33" t="str" cm="1">
        <f t="array" ref="A1040">IFERROR(INDEX(Register!$B$3:$B$1409,ROW(),0), "")</f>
        <v>Renhel Manufacturing Co Pty Ltd</v>
      </c>
      <c r="B1040" s="32" t="e">
        <f>VLOOKUP($A1040,Register!$B$3:$E$1409,6,FALSE)</f>
        <v>#REF!</v>
      </c>
      <c r="C1040" s="32" t="e">
        <f>VLOOKUP($A1040,Register!$B$3:$E$1409,7,FALSE)</f>
        <v>#REF!</v>
      </c>
      <c r="D1040" s="32" t="e">
        <f>VLOOKUP($A1040,Register!$B$3:$E$1409,8,FALSE)</f>
        <v>#REF!</v>
      </c>
      <c r="E1040" s="34" t="s">
        <v>5339</v>
      </c>
    </row>
    <row r="1041" spans="1:5" x14ac:dyDescent="0.25">
      <c r="A1041" s="33" t="str" cm="1">
        <f t="array" ref="A1041">IFERROR(INDEX(Register!$B$3:$B$1409,ROW(),0), "")</f>
        <v>Seal Innovations Pty Ltd (formerly Seal Imports)</v>
      </c>
      <c r="B1041" s="32" t="e">
        <f>VLOOKUP($A1041,Register!$B$3:$E$1409,6,FALSE)</f>
        <v>#REF!</v>
      </c>
      <c r="C1041" s="32" t="e">
        <f>VLOOKUP($A1041,Register!$B$3:$E$1409,7,FALSE)</f>
        <v>#REF!</v>
      </c>
      <c r="D1041" s="32" t="e">
        <f>VLOOKUP($A1041,Register!$B$3:$E$1409,8,FALSE)</f>
        <v>#REF!</v>
      </c>
      <c r="E1041" s="34" t="s">
        <v>5339</v>
      </c>
    </row>
    <row r="1042" spans="1:5" x14ac:dyDescent="0.25">
      <c r="A1042" s="33" t="str" cm="1">
        <f t="array" ref="A1042">IFERROR(INDEX(Register!$B$3:$B$1409,ROW(),0), "")</f>
        <v>South Eastern Gaskets Pty Ltd</v>
      </c>
      <c r="B1042" s="32" t="e">
        <f>VLOOKUP($A1042,Register!$B$3:$E$1409,6,FALSE)</f>
        <v>#REF!</v>
      </c>
      <c r="C1042" s="32" t="e">
        <f>VLOOKUP($A1042,Register!$B$3:$E$1409,7,FALSE)</f>
        <v>#REF!</v>
      </c>
      <c r="D1042" s="32" t="e">
        <f>VLOOKUP($A1042,Register!$B$3:$E$1409,8,FALSE)</f>
        <v>#REF!</v>
      </c>
      <c r="E1042" s="34" t="s">
        <v>5339</v>
      </c>
    </row>
    <row r="1043" spans="1:5" x14ac:dyDescent="0.25">
      <c r="A1043" s="33" t="str" cm="1">
        <f t="array" ref="A1043">IFERROR(INDEX(Register!$B$3:$B$1409,ROW(),0), "")</f>
        <v>STANLEY CONVERGENT SECURITY SO</v>
      </c>
      <c r="B1043" s="32" t="e">
        <f>VLOOKUP($A1043,Register!$B$3:$E$1409,6,FALSE)</f>
        <v>#REF!</v>
      </c>
      <c r="C1043" s="32" t="e">
        <f>VLOOKUP($A1043,Register!$B$3:$E$1409,7,FALSE)</f>
        <v>#REF!</v>
      </c>
      <c r="D1043" s="32" t="e">
        <f>VLOOKUP($A1043,Register!$B$3:$E$1409,8,FALSE)</f>
        <v>#REF!</v>
      </c>
      <c r="E1043" s="34" t="s">
        <v>5339</v>
      </c>
    </row>
    <row r="1044" spans="1:5" x14ac:dyDescent="0.25">
      <c r="A1044" s="33" t="str" cm="1">
        <f t="array" ref="A1044">IFERROR(INDEX(Register!$B$3:$B$1409,ROW(),0), "")</f>
        <v>Apollosense Ltd</v>
      </c>
      <c r="B1044" s="32" t="e">
        <f>VLOOKUP($A1044,Register!$B$3:$E$1409,6,FALSE)</f>
        <v>#REF!</v>
      </c>
      <c r="C1044" s="32" t="e">
        <f>VLOOKUP($A1044,Register!$B$3:$E$1409,7,FALSE)</f>
        <v>#REF!</v>
      </c>
      <c r="D1044" s="32" t="e">
        <f>VLOOKUP($A1044,Register!$B$3:$E$1409,8,FALSE)</f>
        <v>#REF!</v>
      </c>
      <c r="E1044" s="34" t="s">
        <v>5339</v>
      </c>
    </row>
    <row r="1045" spans="1:5" x14ac:dyDescent="0.25">
      <c r="A1045" s="33" t="str" cm="1">
        <f t="array" ref="A1045">IFERROR(INDEX(Register!$B$3:$B$1409,ROW(),0), "")</f>
        <v>Control Components Pty Ltd</v>
      </c>
      <c r="B1045" s="32" t="e">
        <f>VLOOKUP($A1045,Register!$B$3:$E$1409,6,FALSE)</f>
        <v>#REF!</v>
      </c>
      <c r="C1045" s="32" t="e">
        <f>VLOOKUP($A1045,Register!$B$3:$E$1409,7,FALSE)</f>
        <v>#REF!</v>
      </c>
      <c r="D1045" s="32" t="e">
        <f>VLOOKUP($A1045,Register!$B$3:$E$1409,8,FALSE)</f>
        <v>#REF!</v>
      </c>
      <c r="E1045" s="34" t="s">
        <v>5339</v>
      </c>
    </row>
    <row r="1046" spans="1:5" x14ac:dyDescent="0.25">
      <c r="A1046" s="33" t="str" cm="1">
        <f t="array" ref="A1046">IFERROR(INDEX(Register!$B$3:$B$1409,ROW(),0), "")</f>
        <v>Intermec Technologies (S) Pte Ltd (Honeywell)</v>
      </c>
      <c r="B1046" s="32" t="e">
        <f>VLOOKUP($A1046,Register!$B$3:$E$1409,6,FALSE)</f>
        <v>#REF!</v>
      </c>
      <c r="C1046" s="32" t="e">
        <f>VLOOKUP($A1046,Register!$B$3:$E$1409,7,FALSE)</f>
        <v>#REF!</v>
      </c>
      <c r="D1046" s="32" t="e">
        <f>VLOOKUP($A1046,Register!$B$3:$E$1409,8,FALSE)</f>
        <v>#REF!</v>
      </c>
      <c r="E1046" s="34" t="s">
        <v>5339</v>
      </c>
    </row>
    <row r="1047" spans="1:5" x14ac:dyDescent="0.25">
      <c r="A1047" s="33" t="str" cm="1">
        <f t="array" ref="A1047">IFERROR(INDEX(Register!$B$3:$B$1409,ROW(),0), "")</f>
        <v>Instrumems INC.</v>
      </c>
      <c r="B1047" s="32" t="e">
        <f>VLOOKUP($A1047,Register!$B$3:$E$1409,6,FALSE)</f>
        <v>#REF!</v>
      </c>
      <c r="C1047" s="32" t="e">
        <f>VLOOKUP($A1047,Register!$B$3:$E$1409,7,FALSE)</f>
        <v>#REF!</v>
      </c>
      <c r="D1047" s="32" t="e">
        <f>VLOOKUP($A1047,Register!$B$3:$E$1409,8,FALSE)</f>
        <v>#REF!</v>
      </c>
      <c r="E1047" s="34" t="s">
        <v>5339</v>
      </c>
    </row>
    <row r="1048" spans="1:5" x14ac:dyDescent="0.25">
      <c r="A1048" s="33" t="str" cm="1">
        <f t="array" ref="A1048">IFERROR(INDEX(Register!$B$3:$B$1409,ROW(),0), "")</f>
        <v>CleverIR B.V.</v>
      </c>
      <c r="B1048" s="32" t="e">
        <f>VLOOKUP($A1048,Register!$B$3:$E$1409,6,FALSE)</f>
        <v>#REF!</v>
      </c>
      <c r="C1048" s="32" t="e">
        <f>VLOOKUP($A1048,Register!$B$3:$E$1409,7,FALSE)</f>
        <v>#REF!</v>
      </c>
      <c r="D1048" s="32" t="e">
        <f>VLOOKUP($A1048,Register!$B$3:$E$1409,8,FALSE)</f>
        <v>#REF!</v>
      </c>
      <c r="E1048" s="34" t="s">
        <v>5339</v>
      </c>
    </row>
    <row r="1049" spans="1:5" x14ac:dyDescent="0.25">
      <c r="A1049" s="33" t="str" cm="1">
        <f t="array" ref="A1049">IFERROR(INDEX(Register!$B$3:$B$1409,ROW(),0), "")</f>
        <v>Gas Sensing Solutions Ltd</v>
      </c>
      <c r="B1049" s="32" t="e">
        <f>VLOOKUP($A1049,Register!$B$3:$E$1409,6,FALSE)</f>
        <v>#REF!</v>
      </c>
      <c r="C1049" s="32" t="e">
        <f>VLOOKUP($A1049,Register!$B$3:$E$1409,7,FALSE)</f>
        <v>#REF!</v>
      </c>
      <c r="D1049" s="32" t="e">
        <f>VLOOKUP($A1049,Register!$B$3:$E$1409,8,FALSE)</f>
        <v>#REF!</v>
      </c>
      <c r="E1049" s="34" t="s">
        <v>5339</v>
      </c>
    </row>
    <row r="1050" spans="1:5" x14ac:dyDescent="0.25">
      <c r="A1050" s="33" t="str" cm="1">
        <f t="array" ref="A1050">IFERROR(INDEX(Register!$B$3:$B$1409,ROW(),0), "")</f>
        <v>Gems Sensors and Controls</v>
      </c>
      <c r="B1050" s="32" t="e">
        <f>VLOOKUP($A1050,Register!$B$3:$E$1409,6,FALSE)</f>
        <v>#REF!</v>
      </c>
      <c r="C1050" s="32" t="e">
        <f>VLOOKUP($A1050,Register!$B$3:$E$1409,7,FALSE)</f>
        <v>#REF!</v>
      </c>
      <c r="D1050" s="32" t="e">
        <f>VLOOKUP($A1050,Register!$B$3:$E$1409,8,FALSE)</f>
        <v>#REF!</v>
      </c>
      <c r="E1050" s="34" t="s">
        <v>5339</v>
      </c>
    </row>
    <row r="1051" spans="1:5" x14ac:dyDescent="0.25">
      <c r="A1051" s="33" t="str" cm="1">
        <f t="array" ref="A1051">IFERROR(INDEX(Register!$B$3:$B$1409,ROW(),0), "")</f>
        <v>Omron Electronics Pty Ltd</v>
      </c>
      <c r="B1051" s="32" t="e">
        <f>VLOOKUP($A1051,Register!$B$3:$E$1409,6,FALSE)</f>
        <v>#REF!</v>
      </c>
      <c r="C1051" s="32" t="e">
        <f>VLOOKUP($A1051,Register!$B$3:$E$1409,7,FALSE)</f>
        <v>#REF!</v>
      </c>
      <c r="D1051" s="32" t="e">
        <f>VLOOKUP($A1051,Register!$B$3:$E$1409,8,FALSE)</f>
        <v>#REF!</v>
      </c>
      <c r="E1051" s="34" t="s">
        <v>5339</v>
      </c>
    </row>
    <row r="1052" spans="1:5" x14ac:dyDescent="0.25">
      <c r="A1052" s="33" t="str" cm="1">
        <f t="array" ref="A1052">IFERROR(INDEX(Register!$B$3:$B$1409,ROW(),0), "")</f>
        <v>KEYENCE Corporation of America</v>
      </c>
      <c r="B1052" s="32" t="e">
        <f>VLOOKUP($A1052,Register!$B$3:$E$1409,6,FALSE)</f>
        <v>#REF!</v>
      </c>
      <c r="C1052" s="32" t="e">
        <f>VLOOKUP($A1052,Register!$B$3:$E$1409,7,FALSE)</f>
        <v>#REF!</v>
      </c>
      <c r="D1052" s="32" t="e">
        <f>VLOOKUP($A1052,Register!$B$3:$E$1409,8,FALSE)</f>
        <v>#REF!</v>
      </c>
      <c r="E1052" s="34" t="s">
        <v>5339</v>
      </c>
    </row>
    <row r="1053" spans="1:5" x14ac:dyDescent="0.25">
      <c r="A1053" s="33" t="str" cm="1">
        <f t="array" ref="A1053">IFERROR(INDEX(Register!$B$3:$B$1409,ROW(),0), "")</f>
        <v>Newport Corporation-MKS Instruments</v>
      </c>
      <c r="B1053" s="32" t="e">
        <f>VLOOKUP($A1053,Register!$B$3:$E$1409,6,FALSE)</f>
        <v>#REF!</v>
      </c>
      <c r="C1053" s="32" t="e">
        <f>VLOOKUP($A1053,Register!$B$3:$E$1409,7,FALSE)</f>
        <v>#REF!</v>
      </c>
      <c r="D1053" s="32" t="e">
        <f>VLOOKUP($A1053,Register!$B$3:$E$1409,8,FALSE)</f>
        <v>#REF!</v>
      </c>
      <c r="E1053" s="34" t="s">
        <v>5339</v>
      </c>
    </row>
    <row r="1054" spans="1:5" x14ac:dyDescent="0.25">
      <c r="A1054" s="33" t="str" cm="1">
        <f t="array" ref="A1054">IFERROR(INDEX(Register!$B$3:$B$1409,ROW(),0), "")</f>
        <v>Philtec Inc</v>
      </c>
      <c r="B1054" s="32" t="e">
        <f>VLOOKUP($A1054,Register!$B$3:$E$1409,6,FALSE)</f>
        <v>#REF!</v>
      </c>
      <c r="C1054" s="32" t="e">
        <f>VLOOKUP($A1054,Register!$B$3:$E$1409,7,FALSE)</f>
        <v>#REF!</v>
      </c>
      <c r="D1054" s="32" t="e">
        <f>VLOOKUP($A1054,Register!$B$3:$E$1409,8,FALSE)</f>
        <v>#REF!</v>
      </c>
      <c r="E1054" s="34" t="s">
        <v>5339</v>
      </c>
    </row>
    <row r="1055" spans="1:5" x14ac:dyDescent="0.25">
      <c r="A1055" s="33" t="str" cm="1">
        <f t="array" ref="A1055">IFERROR(INDEX(Register!$B$3:$B$1409,ROW(),0), "")</f>
        <v>PendoTECH</v>
      </c>
      <c r="B1055" s="32" t="e">
        <f>VLOOKUP($A1055,Register!$B$3:$E$1409,6,FALSE)</f>
        <v>#REF!</v>
      </c>
      <c r="C1055" s="32" t="e">
        <f>VLOOKUP($A1055,Register!$B$3:$E$1409,7,FALSE)</f>
        <v>#REF!</v>
      </c>
      <c r="D1055" s="32" t="e">
        <f>VLOOKUP($A1055,Register!$B$3:$E$1409,8,FALSE)</f>
        <v>#REF!</v>
      </c>
      <c r="E1055" s="34" t="s">
        <v>5339</v>
      </c>
    </row>
    <row r="1056" spans="1:5" x14ac:dyDescent="0.25">
      <c r="A1056" s="33" t="str" cm="1">
        <f t="array" ref="A1056">IFERROR(INDEX(Register!$B$3:$B$1409,ROW(),0), "")</f>
        <v>Spectris Pte Ltd c/o Omega Engineering Singapore</v>
      </c>
      <c r="B1056" s="32" t="e">
        <f>VLOOKUP($A1056,Register!$B$3:$E$1409,6,FALSE)</f>
        <v>#REF!</v>
      </c>
      <c r="C1056" s="32" t="e">
        <f>VLOOKUP($A1056,Register!$B$3:$E$1409,7,FALSE)</f>
        <v>#REF!</v>
      </c>
      <c r="D1056" s="32" t="e">
        <f>VLOOKUP($A1056,Register!$B$3:$E$1409,8,FALSE)</f>
        <v>#REF!</v>
      </c>
      <c r="E1056" s="34" t="s">
        <v>5339</v>
      </c>
    </row>
    <row r="1057" spans="1:5" x14ac:dyDescent="0.25">
      <c r="A1057" s="33" t="str" cm="1">
        <f t="array" ref="A1057">IFERROR(INDEX(Register!$B$3:$B$1409,ROW(),0), "")</f>
        <v>Procon Technology</v>
      </c>
      <c r="B1057" s="32" t="e">
        <f>VLOOKUP($A1057,Register!$B$3:$E$1409,6,FALSE)</f>
        <v>#REF!</v>
      </c>
      <c r="C1057" s="32" t="e">
        <f>VLOOKUP($A1057,Register!$B$3:$E$1409,7,FALSE)</f>
        <v>#REF!</v>
      </c>
      <c r="D1057" s="32" t="e">
        <f>VLOOKUP($A1057,Register!$B$3:$E$1409,8,FALSE)</f>
        <v>#REF!</v>
      </c>
      <c r="E1057" s="34" t="s">
        <v>5339</v>
      </c>
    </row>
    <row r="1058" spans="1:5" x14ac:dyDescent="0.25">
      <c r="A1058" s="33" t="str" cm="1">
        <f t="array" ref="A1058">IFERROR(INDEX(Register!$B$3:$B$1409,ROW(),0), "")</f>
        <v>SST Sensing</v>
      </c>
      <c r="B1058" s="32" t="e">
        <f>VLOOKUP($A1058,Register!$B$3:$E$1409,6,FALSE)</f>
        <v>#REF!</v>
      </c>
      <c r="C1058" s="32" t="e">
        <f>VLOOKUP($A1058,Register!$B$3:$E$1409,7,FALSE)</f>
        <v>#REF!</v>
      </c>
      <c r="D1058" s="32" t="e">
        <f>VLOOKUP($A1058,Register!$B$3:$E$1409,8,FALSE)</f>
        <v>#REF!</v>
      </c>
      <c r="E1058" s="34" t="s">
        <v>5339</v>
      </c>
    </row>
    <row r="1059" spans="1:5" x14ac:dyDescent="0.25">
      <c r="A1059" s="33" t="str" cm="1">
        <f t="array" ref="A1059">IFERROR(INDEX(Register!$B$3:$B$1409,ROW(),0), "")</f>
        <v>Tuner Technology Co Ltd</v>
      </c>
      <c r="B1059" s="32" t="e">
        <f>VLOOKUP($A1059,Register!$B$3:$E$1409,6,FALSE)</f>
        <v>#REF!</v>
      </c>
      <c r="C1059" s="32" t="e">
        <f>VLOOKUP($A1059,Register!$B$3:$E$1409,7,FALSE)</f>
        <v>#REF!</v>
      </c>
      <c r="D1059" s="32" t="e">
        <f>VLOOKUP($A1059,Register!$B$3:$E$1409,8,FALSE)</f>
        <v>#REF!</v>
      </c>
      <c r="E1059" s="34" t="s">
        <v>5339</v>
      </c>
    </row>
    <row r="1060" spans="1:5" x14ac:dyDescent="0.25">
      <c r="A1060" s="33" t="str" cm="1">
        <f t="array" ref="A1060">IFERROR(INDEX(Register!$B$3:$B$1409,ROW(),0), "")</f>
        <v>Wika Australia Pty Ltd</v>
      </c>
      <c r="B1060" s="32" t="e">
        <f>VLOOKUP($A1060,Register!$B$3:$E$1409,6,FALSE)</f>
        <v>#REF!</v>
      </c>
      <c r="C1060" s="32" t="e">
        <f>VLOOKUP($A1060,Register!$B$3:$E$1409,7,FALSE)</f>
        <v>#REF!</v>
      </c>
      <c r="D1060" s="32" t="e">
        <f>VLOOKUP($A1060,Register!$B$3:$E$1409,8,FALSE)</f>
        <v>#REF!</v>
      </c>
      <c r="E1060" s="34" t="s">
        <v>5339</v>
      </c>
    </row>
    <row r="1061" spans="1:5" x14ac:dyDescent="0.25">
      <c r="A1061" s="33" t="str" cm="1">
        <f t="array" ref="A1061">IFERROR(INDEX(Register!$B$3:$B$1409,ROW(),0), "")</f>
        <v>AfriTox</v>
      </c>
      <c r="B1061" s="32" t="e">
        <f>VLOOKUP($A1061,Register!$B$3:$E$1409,6,FALSE)</f>
        <v>#REF!</v>
      </c>
      <c r="C1061" s="32" t="e">
        <f>VLOOKUP($A1061,Register!$B$3:$E$1409,7,FALSE)</f>
        <v>#REF!</v>
      </c>
      <c r="D1061" s="32" t="e">
        <f>VLOOKUP($A1061,Register!$B$3:$E$1409,8,FALSE)</f>
        <v>#REF!</v>
      </c>
      <c r="E1061" s="34" t="s">
        <v>5339</v>
      </c>
    </row>
    <row r="1062" spans="1:5" x14ac:dyDescent="0.25">
      <c r="A1062" s="33" t="str" cm="1">
        <f t="array" ref="A1062">IFERROR(INDEX(Register!$B$3:$B$1409,ROW(),0), "")</f>
        <v>Apex Pharma Marketing Pte. Ltd</v>
      </c>
      <c r="B1062" s="32" t="e">
        <f>VLOOKUP($A1062,Register!$B$3:$E$1409,6,FALSE)</f>
        <v>#REF!</v>
      </c>
      <c r="C1062" s="32" t="e">
        <f>VLOOKUP($A1062,Register!$B$3:$E$1409,7,FALSE)</f>
        <v>#REF!</v>
      </c>
      <c r="D1062" s="32" t="e">
        <f>VLOOKUP($A1062,Register!$B$3:$E$1409,8,FALSE)</f>
        <v>#REF!</v>
      </c>
      <c r="E1062" s="34" t="s">
        <v>5339</v>
      </c>
    </row>
    <row r="1063" spans="1:5" x14ac:dyDescent="0.25">
      <c r="A1063" s="33" t="str" cm="1">
        <f t="array" ref="A1063">IFERROR(INDEX(Register!$B$3:$B$1409,ROW(),0), "")</f>
        <v>Bluetooth SIG, Inc.</v>
      </c>
      <c r="B1063" s="32" t="e">
        <f>VLOOKUP($A1063,Register!$B$3:$E$1409,6,FALSE)</f>
        <v>#REF!</v>
      </c>
      <c r="C1063" s="32" t="e">
        <f>VLOOKUP($A1063,Register!$B$3:$E$1409,7,FALSE)</f>
        <v>#REF!</v>
      </c>
      <c r="D1063" s="32" t="e">
        <f>VLOOKUP($A1063,Register!$B$3:$E$1409,8,FALSE)</f>
        <v>#REF!</v>
      </c>
      <c r="E1063" s="34" t="s">
        <v>5339</v>
      </c>
    </row>
    <row r="1064" spans="1:5" x14ac:dyDescent="0.25">
      <c r="A1064" s="33" t="str" cm="1">
        <f t="array" ref="A1064">IFERROR(INDEX(Register!$B$3:$B$1409,ROW(),0), "")</f>
        <v>Crisis Prevention and Recovery, LLC (SoftwareCPR)</v>
      </c>
      <c r="B1064" s="32" t="e">
        <f>VLOOKUP($A1064,Register!$B$3:$E$1409,6,FALSE)</f>
        <v>#REF!</v>
      </c>
      <c r="C1064" s="32" t="e">
        <f>VLOOKUP($A1064,Register!$B$3:$E$1409,7,FALSE)</f>
        <v>#REF!</v>
      </c>
      <c r="D1064" s="32" t="e">
        <f>VLOOKUP($A1064,Register!$B$3:$E$1409,8,FALSE)</f>
        <v>#REF!</v>
      </c>
      <c r="E1064" s="34" t="s">
        <v>5339</v>
      </c>
    </row>
    <row r="1065" spans="1:5" x14ac:dyDescent="0.25">
      <c r="A1065" s="33" t="str" cm="1">
        <f t="array" ref="A1065">IFERROR(INDEX(Register!$B$3:$B$1409,ROW(),0), "")</f>
        <v>Idem Translations Inc</v>
      </c>
      <c r="B1065" s="32" t="e">
        <f>VLOOKUP($A1065,Register!$B$3:$E$1409,6,FALSE)</f>
        <v>#REF!</v>
      </c>
      <c r="C1065" s="32" t="e">
        <f>VLOOKUP($A1065,Register!$B$3:$E$1409,7,FALSE)</f>
        <v>#REF!</v>
      </c>
      <c r="D1065" s="32" t="e">
        <f>VLOOKUP($A1065,Register!$B$3:$E$1409,8,FALSE)</f>
        <v>#REF!</v>
      </c>
      <c r="E1065" s="34" t="s">
        <v>5339</v>
      </c>
    </row>
    <row r="1066" spans="1:5" x14ac:dyDescent="0.25">
      <c r="A1066" s="33" t="str" cm="1">
        <f t="array" ref="A1066">IFERROR(INDEX(Register!$B$3:$B$1409,ROW(),0), "")</f>
        <v>Aligent Spring Pte Ltd</v>
      </c>
      <c r="B1066" s="32" t="e">
        <f>VLOOKUP($A1066,Register!$B$3:$E$1409,6,FALSE)</f>
        <v>#REF!</v>
      </c>
      <c r="C1066" s="32" t="e">
        <f>VLOOKUP($A1066,Register!$B$3:$E$1409,7,FALSE)</f>
        <v>#REF!</v>
      </c>
      <c r="D1066" s="32" t="e">
        <f>VLOOKUP($A1066,Register!$B$3:$E$1409,8,FALSE)</f>
        <v>#REF!</v>
      </c>
      <c r="E1066" s="34" t="s">
        <v>5339</v>
      </c>
    </row>
    <row r="1067" spans="1:5" x14ac:dyDescent="0.25">
      <c r="A1067" s="33" t="str" cm="1">
        <f t="array" ref="A1067">IFERROR(INDEX(Register!$B$3:$B$1409,ROW(),0), "")</f>
        <v>Amapro W&amp;B Pty Ltd</v>
      </c>
      <c r="B1067" s="32" t="e">
        <f>VLOOKUP($A1067,Register!$B$3:$E$1409,6,FALSE)</f>
        <v>#REF!</v>
      </c>
      <c r="C1067" s="32" t="e">
        <f>VLOOKUP($A1067,Register!$B$3:$E$1409,7,FALSE)</f>
        <v>#REF!</v>
      </c>
      <c r="D1067" s="32" t="e">
        <f>VLOOKUP($A1067,Register!$B$3:$E$1409,8,FALSE)</f>
        <v>#REF!</v>
      </c>
      <c r="E1067" s="34" t="s">
        <v>5339</v>
      </c>
    </row>
    <row r="1068" spans="1:5" x14ac:dyDescent="0.25">
      <c r="A1068" s="33" t="str" cm="1">
        <f t="array" ref="A1068">IFERROR(INDEX(Register!$B$3:$B$1409,ROW(),0), "")</f>
        <v>Atco Engineering</v>
      </c>
      <c r="B1068" s="32" t="e">
        <f>VLOOKUP($A1068,Register!$B$3:$E$1409,6,FALSE)</f>
        <v>#REF!</v>
      </c>
      <c r="C1068" s="32" t="e">
        <f>VLOOKUP($A1068,Register!$B$3:$E$1409,7,FALSE)</f>
        <v>#REF!</v>
      </c>
      <c r="D1068" s="32" t="e">
        <f>VLOOKUP($A1068,Register!$B$3:$E$1409,8,FALSE)</f>
        <v>#REF!</v>
      </c>
      <c r="E1068" s="34" t="s">
        <v>5339</v>
      </c>
    </row>
    <row r="1069" spans="1:5" x14ac:dyDescent="0.25">
      <c r="A1069" s="33" t="str" cm="1">
        <f t="array" ref="A1069">IFERROR(INDEX(Register!$B$3:$B$1409,ROW(),0), "")</f>
        <v>CARTEL INDUSTRIES, LLC</v>
      </c>
      <c r="B1069" s="32" t="e">
        <f>VLOOKUP($A1069,Register!$B$3:$E$1409,6,FALSE)</f>
        <v>#REF!</v>
      </c>
      <c r="C1069" s="32" t="e">
        <f>VLOOKUP($A1069,Register!$B$3:$E$1409,7,FALSE)</f>
        <v>#REF!</v>
      </c>
      <c r="D1069" s="32" t="e">
        <f>VLOOKUP($A1069,Register!$B$3:$E$1409,8,FALSE)</f>
        <v>#REF!</v>
      </c>
      <c r="E1069" s="34" t="s">
        <v>5339</v>
      </c>
    </row>
    <row r="1070" spans="1:5" x14ac:dyDescent="0.25">
      <c r="A1070" s="33" t="str" cm="1">
        <f t="array" ref="A1070">IFERROR(INDEX(Register!$B$3:$B$1409,ROW(),0), "")</f>
        <v>Concord Precision</v>
      </c>
      <c r="B1070" s="32" t="e">
        <f>VLOOKUP($A1070,Register!$B$3:$E$1409,6,FALSE)</f>
        <v>#REF!</v>
      </c>
      <c r="C1070" s="32" t="e">
        <f>VLOOKUP($A1070,Register!$B$3:$E$1409,7,FALSE)</f>
        <v>#REF!</v>
      </c>
      <c r="D1070" s="32" t="e">
        <f>VLOOKUP($A1070,Register!$B$3:$E$1409,8,FALSE)</f>
        <v>#REF!</v>
      </c>
      <c r="E1070" s="34" t="s">
        <v>5339</v>
      </c>
    </row>
    <row r="1071" spans="1:5" x14ac:dyDescent="0.25">
      <c r="A1071" s="33" t="str" cm="1">
        <f t="array" ref="A1071">IFERROR(INDEX(Register!$B$3:$B$1409,ROW(),0), "")</f>
        <v>Creative Manufacturing Solutions</v>
      </c>
      <c r="B1071" s="32" t="e">
        <f>VLOOKUP($A1071,Register!$B$3:$E$1409,6,FALSE)</f>
        <v>#REF!</v>
      </c>
      <c r="C1071" s="32" t="e">
        <f>VLOOKUP($A1071,Register!$B$3:$E$1409,7,FALSE)</f>
        <v>#REF!</v>
      </c>
      <c r="D1071" s="32" t="e">
        <f>VLOOKUP($A1071,Register!$B$3:$E$1409,8,FALSE)</f>
        <v>#REF!</v>
      </c>
      <c r="E1071" s="34" t="s">
        <v>5339</v>
      </c>
    </row>
    <row r="1072" spans="1:5" x14ac:dyDescent="0.25">
      <c r="A1072" s="33" t="str" cm="1">
        <f t="array" ref="A1072">IFERROR(INDEX(Register!$B$3:$B$1409,ROW(),0), "")</f>
        <v>Form 2000 Sheetmetal Pty Ltd</v>
      </c>
      <c r="B1072" s="32" t="e">
        <f>VLOOKUP($A1072,Register!$B$3:$E$1409,6,FALSE)</f>
        <v>#REF!</v>
      </c>
      <c r="C1072" s="32" t="e">
        <f>VLOOKUP($A1072,Register!$B$3:$E$1409,7,FALSE)</f>
        <v>#REF!</v>
      </c>
      <c r="D1072" s="32" t="e">
        <f>VLOOKUP($A1072,Register!$B$3:$E$1409,8,FALSE)</f>
        <v>#REF!</v>
      </c>
      <c r="E1072" s="34" t="s">
        <v>5339</v>
      </c>
    </row>
    <row r="1073" spans="1:5" x14ac:dyDescent="0.25">
      <c r="A1073" s="33" t="str" cm="1">
        <f t="array" ref="A1073">IFERROR(INDEX(Register!$B$3:$B$1409,ROW(),0), "")</f>
        <v>Shotton Manufacturing Group (ex P&amp;R Sheetmetal)</v>
      </c>
      <c r="B1073" s="32" t="e">
        <f>VLOOKUP($A1073,Register!$B$3:$E$1409,6,FALSE)</f>
        <v>#REF!</v>
      </c>
      <c r="C1073" s="32" t="e">
        <f>VLOOKUP($A1073,Register!$B$3:$E$1409,7,FALSE)</f>
        <v>#REF!</v>
      </c>
      <c r="D1073" s="32" t="e">
        <f>VLOOKUP($A1073,Register!$B$3:$E$1409,8,FALSE)</f>
        <v>#REF!</v>
      </c>
      <c r="E1073" s="34" t="s">
        <v>5339</v>
      </c>
    </row>
    <row r="1074" spans="1:5" x14ac:dyDescent="0.25">
      <c r="A1074" s="33" t="str" cm="1">
        <f t="array" ref="A1074">IFERROR(INDEX(Register!$B$3:$B$1409,ROW(),0), "")</f>
        <v>Suzhou Ace Sheet Metal Manufacturing Co Ltd</v>
      </c>
      <c r="B1074" s="32" t="e">
        <f>VLOOKUP($A1074,Register!$B$3:$E$1409,6,FALSE)</f>
        <v>#REF!</v>
      </c>
      <c r="C1074" s="32" t="e">
        <f>VLOOKUP($A1074,Register!$B$3:$E$1409,7,FALSE)</f>
        <v>#REF!</v>
      </c>
      <c r="D1074" s="32" t="e">
        <f>VLOOKUP($A1074,Register!$B$3:$E$1409,8,FALSE)</f>
        <v>#REF!</v>
      </c>
      <c r="E1074" s="34" t="s">
        <v>5339</v>
      </c>
    </row>
    <row r="1075" spans="1:5" x14ac:dyDescent="0.25">
      <c r="A1075" s="33" t="str" cm="1">
        <f t="array" ref="A1075">IFERROR(INDEX(Register!$B$3:$B$1409,ROW(),0), "")</f>
        <v>Vinatech Engineering Incorporated</v>
      </c>
      <c r="B1075" s="32" t="e">
        <f>VLOOKUP($A1075,Register!$B$3:$E$1409,6,FALSE)</f>
        <v>#REF!</v>
      </c>
      <c r="C1075" s="32" t="e">
        <f>VLOOKUP($A1075,Register!$B$3:$E$1409,7,FALSE)</f>
        <v>#REF!</v>
      </c>
      <c r="D1075" s="32" t="e">
        <f>VLOOKUP($A1075,Register!$B$3:$E$1409,8,FALSE)</f>
        <v>#REF!</v>
      </c>
      <c r="E1075" s="34" t="s">
        <v>5339</v>
      </c>
    </row>
    <row r="1076" spans="1:5" x14ac:dyDescent="0.25">
      <c r="A1076" s="33" t="str" cm="1">
        <f t="array" ref="A1076">IFERROR(INDEX(Register!$B$3:$B$1409,ROW(),0), "")</f>
        <v>Metaltex Australia Pty Ltd</v>
      </c>
      <c r="B1076" s="32" t="e">
        <f>VLOOKUP($A1076,Register!$B$3:$E$1409,6,FALSE)</f>
        <v>#REF!</v>
      </c>
      <c r="C1076" s="32" t="e">
        <f>VLOOKUP($A1076,Register!$B$3:$E$1409,7,FALSE)</f>
        <v>#REF!</v>
      </c>
      <c r="D1076" s="32" t="e">
        <f>VLOOKUP($A1076,Register!$B$3:$E$1409,8,FALSE)</f>
        <v>#REF!</v>
      </c>
      <c r="E1076" s="34" t="s">
        <v>5339</v>
      </c>
    </row>
    <row r="1077" spans="1:5" x14ac:dyDescent="0.25">
      <c r="A1077" s="33" t="str" cm="1">
        <f t="array" ref="A1077">IFERROR(INDEX(Register!$B$3:$B$1409,ROW(),0), "")</f>
        <v>Will-Mann, Inc.</v>
      </c>
      <c r="B1077" s="32" t="e">
        <f>VLOOKUP($A1077,Register!$B$3:$E$1409,6,FALSE)</f>
        <v>#REF!</v>
      </c>
      <c r="C1077" s="32" t="e">
        <f>VLOOKUP($A1077,Register!$B$3:$E$1409,7,FALSE)</f>
        <v>#REF!</v>
      </c>
      <c r="D1077" s="32" t="e">
        <f>VLOOKUP($A1077,Register!$B$3:$E$1409,8,FALSE)</f>
        <v>#REF!</v>
      </c>
      <c r="E1077" s="34" t="s">
        <v>5339</v>
      </c>
    </row>
    <row r="1078" spans="1:5" x14ac:dyDescent="0.25">
      <c r="A1078" s="33" t="str" cm="1">
        <f t="array" ref="A1078">IFERROR(INDEX(Register!$B$3:$B$1409,ROW(),0), "")</f>
        <v>Vizcomm Signs &amp; Graphics</v>
      </c>
      <c r="B1078" s="32" t="e">
        <f>VLOOKUP($A1078,Register!$B$3:$E$1409,6,FALSE)</f>
        <v>#REF!</v>
      </c>
      <c r="C1078" s="32" t="e">
        <f>VLOOKUP($A1078,Register!$B$3:$E$1409,7,FALSE)</f>
        <v>#REF!</v>
      </c>
      <c r="D1078" s="32" t="e">
        <f>VLOOKUP($A1078,Register!$B$3:$E$1409,8,FALSE)</f>
        <v>#REF!</v>
      </c>
      <c r="E1078" s="34" t="s">
        <v>5339</v>
      </c>
    </row>
    <row r="1079" spans="1:5" x14ac:dyDescent="0.25">
      <c r="A1079" s="33" t="str" cm="1">
        <f t="array" ref="A1079">IFERROR(INDEX(Register!$B$3:$B$1409,ROW(),0), "")</f>
        <v>Western Sign &amp; Awing</v>
      </c>
      <c r="B1079" s="32" t="e">
        <f>VLOOKUP($A1079,Register!$B$3:$E$1409,6,FALSE)</f>
        <v>#REF!</v>
      </c>
      <c r="C1079" s="32" t="e">
        <f>VLOOKUP($A1079,Register!$B$3:$E$1409,7,FALSE)</f>
        <v>#REF!</v>
      </c>
      <c r="D1079" s="32" t="e">
        <f>VLOOKUP($A1079,Register!$B$3:$E$1409,8,FALSE)</f>
        <v>#REF!</v>
      </c>
      <c r="E1079" s="34" t="s">
        <v>5339</v>
      </c>
    </row>
    <row r="1080" spans="1:5" x14ac:dyDescent="0.25">
      <c r="A1080" s="33" t="str" cm="1">
        <f t="array" ref="A1080">IFERROR(INDEX(Register!$B$3:$B$1409,ROW(),0), "")</f>
        <v>Senring Electronics</v>
      </c>
      <c r="B1080" s="32" t="e">
        <f>VLOOKUP($A1080,Register!$B$3:$E$1409,6,FALSE)</f>
        <v>#REF!</v>
      </c>
      <c r="C1080" s="32" t="e">
        <f>VLOOKUP($A1080,Register!$B$3:$E$1409,7,FALSE)</f>
        <v>#REF!</v>
      </c>
      <c r="D1080" s="32" t="e">
        <f>VLOOKUP($A1080,Register!$B$3:$E$1409,8,FALSE)</f>
        <v>#REF!</v>
      </c>
      <c r="E1080" s="34" t="s">
        <v>5339</v>
      </c>
    </row>
    <row r="1081" spans="1:5" x14ac:dyDescent="0.25">
      <c r="A1081" s="33" t="str" cm="1">
        <f t="array" ref="A1081">IFERROR(INDEX(Register!$B$3:$B$1409,ROW(),0), "")</f>
        <v>PT. Tasindo Tassa Industries</v>
      </c>
      <c r="B1081" s="32" t="e">
        <f>VLOOKUP($A1081,Register!$B$3:$E$1409,6,FALSE)</f>
        <v>#REF!</v>
      </c>
      <c r="C1081" s="32" t="e">
        <f>VLOOKUP($A1081,Register!$B$3:$E$1409,7,FALSE)</f>
        <v>#REF!</v>
      </c>
      <c r="D1081" s="32" t="e">
        <f>VLOOKUP($A1081,Register!$B$3:$E$1409,8,FALSE)</f>
        <v>#REF!</v>
      </c>
      <c r="E1081" s="34" t="s">
        <v>5339</v>
      </c>
    </row>
    <row r="1082" spans="1:5" x14ac:dyDescent="0.25">
      <c r="A1082" s="33" t="str" cm="1">
        <f t="array" ref="A1082">IFERROR(INDEX(Register!$B$3:$B$1409,ROW(),0), "")</f>
        <v>Circuit Labs Ltd</v>
      </c>
      <c r="B1082" s="32" t="e">
        <f>VLOOKUP($A1082,Register!$B$3:$E$1409,6,FALSE)</f>
        <v>#REF!</v>
      </c>
      <c r="C1082" s="32" t="e">
        <f>VLOOKUP($A1082,Register!$B$3:$E$1409,7,FALSE)</f>
        <v>#REF!</v>
      </c>
      <c r="D1082" s="32" t="e">
        <f>VLOOKUP($A1082,Register!$B$3:$E$1409,8,FALSE)</f>
        <v>#REF!</v>
      </c>
      <c r="E1082" s="34" t="s">
        <v>5339</v>
      </c>
    </row>
    <row r="1083" spans="1:5" x14ac:dyDescent="0.25">
      <c r="A1083" s="33" t="str" cm="1">
        <f t="array" ref="A1083">IFERROR(INDEX(Register!$B$3:$B$1409,ROW(),0), "")</f>
        <v>Clarizen Ltd</v>
      </c>
      <c r="B1083" s="32" t="e">
        <f>VLOOKUP($A1083,Register!$B$3:$E$1409,6,FALSE)</f>
        <v>#REF!</v>
      </c>
      <c r="C1083" s="32" t="e">
        <f>VLOOKUP($A1083,Register!$B$3:$E$1409,7,FALSE)</f>
        <v>#REF!</v>
      </c>
      <c r="D1083" s="32" t="e">
        <f>VLOOKUP($A1083,Register!$B$3:$E$1409,8,FALSE)</f>
        <v>#REF!</v>
      </c>
      <c r="E1083" s="34" t="s">
        <v>5339</v>
      </c>
    </row>
    <row r="1084" spans="1:5" x14ac:dyDescent="0.25">
      <c r="A1084" s="33" t="str" cm="1">
        <f t="array" ref="A1084">IFERROR(INDEX(Register!$B$3:$B$1409,ROW(),0), "")</f>
        <v>Greensoft</v>
      </c>
      <c r="B1084" s="32" t="e">
        <f>VLOOKUP($A1084,Register!$B$3:$E$1409,6,FALSE)</f>
        <v>#REF!</v>
      </c>
      <c r="C1084" s="32" t="e">
        <f>VLOOKUP($A1084,Register!$B$3:$E$1409,7,FALSE)</f>
        <v>#REF!</v>
      </c>
      <c r="D1084" s="32" t="e">
        <f>VLOOKUP($A1084,Register!$B$3:$E$1409,8,FALSE)</f>
        <v>#REF!</v>
      </c>
      <c r="E1084" s="34" t="s">
        <v>5339</v>
      </c>
    </row>
    <row r="1085" spans="1:5" x14ac:dyDescent="0.25">
      <c r="A1085" s="33" t="str" cm="1">
        <f t="array" ref="A1085">IFERROR(INDEX(Register!$B$3:$B$1409,ROW(),0), "")</f>
        <v>QORVO</v>
      </c>
      <c r="B1085" s="32" t="e">
        <f>VLOOKUP($A1085,Register!$B$3:$E$1409,6,FALSE)</f>
        <v>#REF!</v>
      </c>
      <c r="C1085" s="32" t="e">
        <f>VLOOKUP($A1085,Register!$B$3:$E$1409,7,FALSE)</f>
        <v>#REF!</v>
      </c>
      <c r="D1085" s="32" t="e">
        <f>VLOOKUP($A1085,Register!$B$3:$E$1409,8,FALSE)</f>
        <v>#REF!</v>
      </c>
      <c r="E1085" s="34" t="s">
        <v>5339</v>
      </c>
    </row>
    <row r="1086" spans="1:5" x14ac:dyDescent="0.25">
      <c r="A1086" s="33" t="str" cm="1">
        <f t="array" ref="A1086">IFERROR(INDEX(Register!$B$3:$B$1409,ROW(),0), "")</f>
        <v>Silverpond Pty Ltd</v>
      </c>
      <c r="B1086" s="32" t="e">
        <f>VLOOKUP($A1086,Register!$B$3:$E$1409,6,FALSE)</f>
        <v>#REF!</v>
      </c>
      <c r="C1086" s="32" t="e">
        <f>VLOOKUP($A1086,Register!$B$3:$E$1409,7,FALSE)</f>
        <v>#REF!</v>
      </c>
      <c r="D1086" s="32" t="e">
        <f>VLOOKUP($A1086,Register!$B$3:$E$1409,8,FALSE)</f>
        <v>#REF!</v>
      </c>
      <c r="E1086" s="34" t="s">
        <v>5339</v>
      </c>
    </row>
    <row r="1087" spans="1:5" x14ac:dyDescent="0.25">
      <c r="A1087" s="33" t="str" cm="1">
        <f t="array" ref="A1087">IFERROR(INDEX(Register!$B$3:$B$1409,ROW(),0), "")</f>
        <v>ALTIUM INC.</v>
      </c>
      <c r="B1087" s="32" t="e">
        <f>VLOOKUP($A1087,Register!$B$3:$E$1409,6,FALSE)</f>
        <v>#REF!</v>
      </c>
      <c r="C1087" s="32" t="e">
        <f>VLOOKUP($A1087,Register!$B$3:$E$1409,7,FALSE)</f>
        <v>#REF!</v>
      </c>
      <c r="D1087" s="32" t="e">
        <f>VLOOKUP($A1087,Register!$B$3:$E$1409,8,FALSE)</f>
        <v>#REF!</v>
      </c>
      <c r="E1087" s="34" t="s">
        <v>5339</v>
      </c>
    </row>
    <row r="1088" spans="1:5" x14ac:dyDescent="0.25">
      <c r="A1088" s="33" t="str" cm="1">
        <f t="array" ref="A1088">IFERROR(INDEX(Register!$B$3:$B$1409,ROW(),0), "")</f>
        <v>Cleverbridge Inc.</v>
      </c>
      <c r="B1088" s="32" t="e">
        <f>VLOOKUP($A1088,Register!$B$3:$E$1409,6,FALSE)</f>
        <v>#REF!</v>
      </c>
      <c r="C1088" s="32" t="e">
        <f>VLOOKUP($A1088,Register!$B$3:$E$1409,7,FALSE)</f>
        <v>#REF!</v>
      </c>
      <c r="D1088" s="32" t="e">
        <f>VLOOKUP($A1088,Register!$B$3:$E$1409,8,FALSE)</f>
        <v>#REF!</v>
      </c>
      <c r="E1088" s="34" t="s">
        <v>5339</v>
      </c>
    </row>
    <row r="1089" spans="1:5" x14ac:dyDescent="0.25">
      <c r="A1089" s="33" t="str" cm="1">
        <f t="array" ref="A1089">IFERROR(INDEX(Register!$B$3:$B$1409,ROW(),0), "")</f>
        <v>Click up</v>
      </c>
      <c r="B1089" s="32" t="e">
        <f>VLOOKUP($A1089,Register!$B$3:$E$1409,6,FALSE)</f>
        <v>#REF!</v>
      </c>
      <c r="C1089" s="32" t="e">
        <f>VLOOKUP($A1089,Register!$B$3:$E$1409,7,FALSE)</f>
        <v>#REF!</v>
      </c>
      <c r="D1089" s="32" t="e">
        <f>VLOOKUP($A1089,Register!$B$3:$E$1409,8,FALSE)</f>
        <v>#REF!</v>
      </c>
      <c r="E1089" s="34" t="s">
        <v>5339</v>
      </c>
    </row>
    <row r="1090" spans="1:5" x14ac:dyDescent="0.25">
      <c r="A1090" s="33" t="str" cm="1">
        <f t="array" ref="A1090">IFERROR(INDEX(Register!$B$3:$B$1409,ROW(),0), "")</f>
        <v>Condeco Software</v>
      </c>
      <c r="B1090" s="32" t="e">
        <f>VLOOKUP($A1090,Register!$B$3:$E$1409,6,FALSE)</f>
        <v>#REF!</v>
      </c>
      <c r="C1090" s="32" t="e">
        <f>VLOOKUP($A1090,Register!$B$3:$E$1409,7,FALSE)</f>
        <v>#REF!</v>
      </c>
      <c r="D1090" s="32" t="e">
        <f>VLOOKUP($A1090,Register!$B$3:$E$1409,8,FALSE)</f>
        <v>#REF!</v>
      </c>
      <c r="E1090" s="34" t="s">
        <v>5339</v>
      </c>
    </row>
    <row r="1091" spans="1:5" x14ac:dyDescent="0.25">
      <c r="A1091" s="33" t="str" cm="1">
        <f t="array" ref="A1091">IFERROR(INDEX(Register!$B$3:$B$1409,ROW(),0), "")</f>
        <v>DocuSign Inc.</v>
      </c>
      <c r="B1091" s="32" t="e">
        <f>VLOOKUP($A1091,Register!$B$3:$E$1409,6,FALSE)</f>
        <v>#REF!</v>
      </c>
      <c r="C1091" s="32" t="e">
        <f>VLOOKUP($A1091,Register!$B$3:$E$1409,7,FALSE)</f>
        <v>#REF!</v>
      </c>
      <c r="D1091" s="32" t="e">
        <f>VLOOKUP($A1091,Register!$B$3:$E$1409,8,FALSE)</f>
        <v>#REF!</v>
      </c>
      <c r="E1091" s="34" t="s">
        <v>5339</v>
      </c>
    </row>
    <row r="1092" spans="1:5" x14ac:dyDescent="0.25">
      <c r="A1092" s="33" t="str" cm="1">
        <f t="array" ref="A1092">IFERROR(INDEX(Register!$B$3:$B$1409,ROW(),0), "")</f>
        <v>QT 9 Software</v>
      </c>
      <c r="B1092" s="32" t="e">
        <f>VLOOKUP($A1092,Register!$B$3:$E$1409,6,FALSE)</f>
        <v>#REF!</v>
      </c>
      <c r="C1092" s="32" t="e">
        <f>VLOOKUP($A1092,Register!$B$3:$E$1409,7,FALSE)</f>
        <v>#REF!</v>
      </c>
      <c r="D1092" s="32" t="e">
        <f>VLOOKUP($A1092,Register!$B$3:$E$1409,8,FALSE)</f>
        <v>#REF!</v>
      </c>
      <c r="E1092" s="34" t="s">
        <v>5339</v>
      </c>
    </row>
    <row r="1093" spans="1:5" x14ac:dyDescent="0.25">
      <c r="A1093" s="33" t="str" cm="1">
        <f t="array" ref="A1093">IFERROR(INDEX(Register!$B$3:$B$1409,ROW(),0), "")</f>
        <v>Signinapp.com Inc.</v>
      </c>
      <c r="B1093" s="32" t="e">
        <f>VLOOKUP($A1093,Register!$B$3:$E$1409,6,FALSE)</f>
        <v>#REF!</v>
      </c>
      <c r="C1093" s="32" t="e">
        <f>VLOOKUP($A1093,Register!$B$3:$E$1409,7,FALSE)</f>
        <v>#REF!</v>
      </c>
      <c r="D1093" s="32" t="e">
        <f>VLOOKUP($A1093,Register!$B$3:$E$1409,8,FALSE)</f>
        <v>#REF!</v>
      </c>
      <c r="E1093" s="34" t="s">
        <v>5339</v>
      </c>
    </row>
    <row r="1094" spans="1:5" x14ac:dyDescent="0.25">
      <c r="A1094" s="33" t="str" cm="1">
        <f t="array" ref="A1094">IFERROR(INDEX(Register!$B$3:$B$1409,ROW(),0), "")</f>
        <v>QORVO, Inc.</v>
      </c>
      <c r="B1094" s="32" t="e">
        <f>VLOOKUP($A1094,Register!$B$3:$E$1409,6,FALSE)</f>
        <v>#REF!</v>
      </c>
      <c r="C1094" s="32" t="e">
        <f>VLOOKUP($A1094,Register!$B$3:$E$1409,7,FALSE)</f>
        <v>#REF!</v>
      </c>
      <c r="D1094" s="32" t="e">
        <f>VLOOKUP($A1094,Register!$B$3:$E$1409,8,FALSE)</f>
        <v>#REF!</v>
      </c>
      <c r="E1094" s="34" t="s">
        <v>5339</v>
      </c>
    </row>
    <row r="1095" spans="1:5" x14ac:dyDescent="0.25">
      <c r="A1095" s="33" t="str" cm="1">
        <f t="array" ref="A1095">IFERROR(INDEX(Register!$B$3:$B$1409,ROW(),0), "")</f>
        <v>ViewTool Inc</v>
      </c>
      <c r="B1095" s="32" t="e">
        <f>VLOOKUP($A1095,Register!$B$3:$E$1409,6,FALSE)</f>
        <v>#REF!</v>
      </c>
      <c r="C1095" s="32" t="e">
        <f>VLOOKUP($A1095,Register!$B$3:$E$1409,7,FALSE)</f>
        <v>#REF!</v>
      </c>
      <c r="D1095" s="32" t="e">
        <f>VLOOKUP($A1095,Register!$B$3:$E$1409,8,FALSE)</f>
        <v>#REF!</v>
      </c>
      <c r="E1095" s="34" t="s">
        <v>5339</v>
      </c>
    </row>
    <row r="1096" spans="1:5" x14ac:dyDescent="0.25">
      <c r="A1096" s="33" t="str" cm="1">
        <f t="array" ref="A1096">IFERROR(INDEX(Register!$B$3:$B$1409,ROW(),0), "")</f>
        <v>NOR-CAL CONTROLS</v>
      </c>
      <c r="B1096" s="32" t="e">
        <f>VLOOKUP($A1096,Register!$B$3:$E$1409,6,FALSE)</f>
        <v>#REF!</v>
      </c>
      <c r="C1096" s="32" t="e">
        <f>VLOOKUP($A1096,Register!$B$3:$E$1409,7,FALSE)</f>
        <v>#REF!</v>
      </c>
      <c r="D1096" s="32" t="e">
        <f>VLOOKUP($A1096,Register!$B$3:$E$1409,8,FALSE)</f>
        <v>#REF!</v>
      </c>
      <c r="E1096" s="34" t="s">
        <v>5339</v>
      </c>
    </row>
    <row r="1097" spans="1:5" x14ac:dyDescent="0.25">
      <c r="A1097" s="33" t="str" cm="1">
        <f t="array" ref="A1097">IFERROR(INDEX(Register!$B$3:$B$1409,ROW(),0), "")</f>
        <v>Gilson SAS France</v>
      </c>
      <c r="B1097" s="32" t="e">
        <f>VLOOKUP($A1097,Register!$B$3:$E$1409,6,FALSE)</f>
        <v>#REF!</v>
      </c>
      <c r="C1097" s="32" t="e">
        <f>VLOOKUP($A1097,Register!$B$3:$E$1409,7,FALSE)</f>
        <v>#REF!</v>
      </c>
      <c r="D1097" s="32" t="e">
        <f>VLOOKUP($A1097,Register!$B$3:$E$1409,8,FALSE)</f>
        <v>#REF!</v>
      </c>
      <c r="E1097" s="34" t="s">
        <v>5339</v>
      </c>
    </row>
    <row r="1098" spans="1:5" x14ac:dyDescent="0.25">
      <c r="A1098" s="33" t="str" cm="1">
        <f t="array" ref="A1098">IFERROR(INDEX(Register!$B$3:$B$1409,ROW(),0), "")</f>
        <v>Heuch Pty Ltd</v>
      </c>
      <c r="B1098" s="32" t="e">
        <f>VLOOKUP($A1098,Register!$B$3:$E$1409,6,FALSE)</f>
        <v>#REF!</v>
      </c>
      <c r="C1098" s="32" t="e">
        <f>VLOOKUP($A1098,Register!$B$3:$E$1409,7,FALSE)</f>
        <v>#REF!</v>
      </c>
      <c r="D1098" s="32" t="e">
        <f>VLOOKUP($A1098,Register!$B$3:$E$1409,8,FALSE)</f>
        <v>#REF!</v>
      </c>
      <c r="E1098" s="34" t="s">
        <v>5339</v>
      </c>
    </row>
    <row r="1099" spans="1:5" x14ac:dyDescent="0.25">
      <c r="A1099" s="33" t="str" cm="1">
        <f t="array" ref="A1099">IFERROR(INDEX(Register!$B$3:$B$1409,ROW(),0), "")</f>
        <v>High Purity New England</v>
      </c>
      <c r="B1099" s="32" t="e">
        <f>VLOOKUP($A1099,Register!$B$3:$E$1409,6,FALSE)</f>
        <v>#REF!</v>
      </c>
      <c r="C1099" s="32" t="e">
        <f>VLOOKUP($A1099,Register!$B$3:$E$1409,7,FALSE)</f>
        <v>#REF!</v>
      </c>
      <c r="D1099" s="32" t="e">
        <f>VLOOKUP($A1099,Register!$B$3:$E$1409,8,FALSE)</f>
        <v>#REF!</v>
      </c>
      <c r="E1099" s="34" t="s">
        <v>5339</v>
      </c>
    </row>
    <row r="1100" spans="1:5" x14ac:dyDescent="0.25">
      <c r="A1100" s="33" t="str" cm="1">
        <f t="array" ref="A1100">IFERROR(INDEX(Register!$B$3:$B$1409,ROW(),0), "")</f>
        <v>John Barry Group Pty Ltd</v>
      </c>
      <c r="B1100" s="32" t="e">
        <f>VLOOKUP($A1100,Register!$B$3:$E$1409,6,FALSE)</f>
        <v>#REF!</v>
      </c>
      <c r="C1100" s="32" t="e">
        <f>VLOOKUP($A1100,Register!$B$3:$E$1409,7,FALSE)</f>
        <v>#REF!</v>
      </c>
      <c r="D1100" s="32" t="e">
        <f>VLOOKUP($A1100,Register!$B$3:$E$1409,8,FALSE)</f>
        <v>#REF!</v>
      </c>
      <c r="E1100" s="34" t="s">
        <v>5339</v>
      </c>
    </row>
    <row r="1101" spans="1:5" x14ac:dyDescent="0.25">
      <c r="A1101" s="33" t="str" cm="1">
        <f t="array" ref="A1101">IFERROR(INDEX(Register!$B$3:$B$1409,ROW(),0), "")</f>
        <v>Steritech (QLD)</v>
      </c>
      <c r="B1101" s="32" t="e">
        <f>VLOOKUP($A1101,Register!$B$3:$E$1409,6,FALSE)</f>
        <v>#REF!</v>
      </c>
      <c r="C1101" s="32" t="e">
        <f>VLOOKUP($A1101,Register!$B$3:$E$1409,7,FALSE)</f>
        <v>#REF!</v>
      </c>
      <c r="D1101" s="32" t="e">
        <f>VLOOKUP($A1101,Register!$B$3:$E$1409,8,FALSE)</f>
        <v>#REF!</v>
      </c>
      <c r="E1101" s="34" t="s">
        <v>5339</v>
      </c>
    </row>
    <row r="1102" spans="1:5" x14ac:dyDescent="0.25">
      <c r="A1102" s="33" t="str" cm="1">
        <f t="array" ref="A1102">IFERROR(INDEX(Register!$B$3:$B$1409,ROW(),0), "")</f>
        <v>AAEON Technology Inc</v>
      </c>
      <c r="B1102" s="32" t="e">
        <f>VLOOKUP($A1102,Register!$B$3:$E$1409,6,FALSE)</f>
        <v>#REF!</v>
      </c>
      <c r="C1102" s="32" t="e">
        <f>VLOOKUP($A1102,Register!$B$3:$E$1409,7,FALSE)</f>
        <v>#REF!</v>
      </c>
      <c r="D1102" s="32" t="e">
        <f>VLOOKUP($A1102,Register!$B$3:$E$1409,8,FALSE)</f>
        <v>#REF!</v>
      </c>
      <c r="E1102" s="34" t="s">
        <v>5339</v>
      </c>
    </row>
    <row r="1103" spans="1:5" x14ac:dyDescent="0.25">
      <c r="A1103" s="33" t="str" cm="1">
        <f t="array" ref="A1103">IFERROR(INDEX(Register!$B$3:$B$1409,ROW(),0), "")</f>
        <v>Digitalvar Inc</v>
      </c>
      <c r="B1103" s="32" t="e">
        <f>VLOOKUP($A1103,Register!$B$3:$E$1409,6,FALSE)</f>
        <v>#REF!</v>
      </c>
      <c r="C1103" s="32" t="e">
        <f>VLOOKUP($A1103,Register!$B$3:$E$1409,7,FALSE)</f>
        <v>#REF!</v>
      </c>
      <c r="D1103" s="32" t="e">
        <f>VLOOKUP($A1103,Register!$B$3:$E$1409,8,FALSE)</f>
        <v>#REF!</v>
      </c>
      <c r="E1103" s="34" t="s">
        <v>5339</v>
      </c>
    </row>
    <row r="1104" spans="1:5" x14ac:dyDescent="0.25">
      <c r="A1104" s="33" t="str" cm="1">
        <f t="array" ref="A1104">IFERROR(INDEX(Register!$B$3:$B$1409,ROW(),0), "")</f>
        <v>Gilson Inc</v>
      </c>
      <c r="B1104" s="32" t="e">
        <f>VLOOKUP($A1104,Register!$B$3:$E$1409,6,FALSE)</f>
        <v>#REF!</v>
      </c>
      <c r="C1104" s="32" t="e">
        <f>VLOOKUP($A1104,Register!$B$3:$E$1409,7,FALSE)</f>
        <v>#REF!</v>
      </c>
      <c r="D1104" s="32" t="e">
        <f>VLOOKUP($A1104,Register!$B$3:$E$1409,8,FALSE)</f>
        <v>#REF!</v>
      </c>
      <c r="E1104" s="34" t="s">
        <v>5339</v>
      </c>
    </row>
    <row r="1105" spans="1:5" x14ac:dyDescent="0.25">
      <c r="A1105" s="33" t="str" cm="1">
        <f t="array" ref="A1105">IFERROR(INDEX(Register!$B$3:$B$1409,ROW(),0), "")</f>
        <v>Binaca Products Inc.</v>
      </c>
      <c r="B1105" s="32" t="e">
        <f>VLOOKUP($A1105,Register!$B$3:$E$1409,6,FALSE)</f>
        <v>#REF!</v>
      </c>
      <c r="C1105" s="32" t="e">
        <f>VLOOKUP($A1105,Register!$B$3:$E$1409,7,FALSE)</f>
        <v>#REF!</v>
      </c>
      <c r="D1105" s="32" t="e">
        <f>VLOOKUP($A1105,Register!$B$3:$E$1409,8,FALSE)</f>
        <v>#REF!</v>
      </c>
      <c r="E1105" s="34" t="s">
        <v>5339</v>
      </c>
    </row>
    <row r="1106" spans="1:5" x14ac:dyDescent="0.25">
      <c r="A1106" s="33" t="str" cm="1">
        <f t="array" ref="A1106">IFERROR(INDEX(Register!$B$3:$B$1409,ROW(),0), "")</f>
        <v>Guangzhou KLC Cleantech Co Ltd</v>
      </c>
      <c r="B1106" s="32" t="e">
        <f>VLOOKUP($A1106,Register!$B$3:$E$1409,6,FALSE)</f>
        <v>#REF!</v>
      </c>
      <c r="C1106" s="32" t="e">
        <f>VLOOKUP($A1106,Register!$B$3:$E$1409,7,FALSE)</f>
        <v>#REF!</v>
      </c>
      <c r="D1106" s="32" t="e">
        <f>VLOOKUP($A1106,Register!$B$3:$E$1409,8,FALSE)</f>
        <v>#REF!</v>
      </c>
      <c r="E1106" s="34" t="s">
        <v>5339</v>
      </c>
    </row>
    <row r="1107" spans="1:5" x14ac:dyDescent="0.25">
      <c r="A1107" s="33" t="str" cm="1">
        <f t="array" ref="A1107">IFERROR(INDEX(Register!$B$3:$B$1409,ROW(),0), "")</f>
        <v>Steritech Pty Ltd</v>
      </c>
      <c r="B1107" s="32" t="e">
        <f>VLOOKUP($A1107,Register!$B$3:$E$1409,6,FALSE)</f>
        <v>#REF!</v>
      </c>
      <c r="C1107" s="32" t="e">
        <f>VLOOKUP($A1107,Register!$B$3:$E$1409,7,FALSE)</f>
        <v>#REF!</v>
      </c>
      <c r="D1107" s="32" t="e">
        <f>VLOOKUP($A1107,Register!$B$3:$E$1409,8,FALSE)</f>
        <v>#REF!</v>
      </c>
      <c r="E1107" s="34" t="s">
        <v>5339</v>
      </c>
    </row>
    <row r="1108" spans="1:5" x14ac:dyDescent="0.25">
      <c r="A1108" s="33" t="str" cm="1">
        <f t="array" ref="A1108">IFERROR(INDEX(Register!$B$3:$B$1409,ROW(),0), "")</f>
        <v>Biosonix LLC</v>
      </c>
      <c r="B1108" s="32" t="e">
        <f>VLOOKUP($A1108,Register!$B$3:$E$1409,6,FALSE)</f>
        <v>#REF!</v>
      </c>
      <c r="C1108" s="32" t="e">
        <f>VLOOKUP($A1108,Register!$B$3:$E$1409,7,FALSE)</f>
        <v>#REF!</v>
      </c>
      <c r="D1108" s="32" t="e">
        <f>VLOOKUP($A1108,Register!$B$3:$E$1409,8,FALSE)</f>
        <v>#REF!</v>
      </c>
      <c r="E1108" s="34" t="s">
        <v>5339</v>
      </c>
    </row>
    <row r="1109" spans="1:5" x14ac:dyDescent="0.25">
      <c r="A1109" s="33" t="str" cm="1">
        <f t="array" ref="A1109">IFERROR(INDEX(Register!$B$3:$B$1409,ROW(),0), "")</f>
        <v>Coolgear Inc</v>
      </c>
      <c r="B1109" s="32" t="e">
        <f>VLOOKUP($A1109,Register!$B$3:$E$1409,6,FALSE)</f>
        <v>#REF!</v>
      </c>
      <c r="C1109" s="32" t="e">
        <f>VLOOKUP($A1109,Register!$B$3:$E$1409,7,FALSE)</f>
        <v>#REF!</v>
      </c>
      <c r="D1109" s="32" t="e">
        <f>VLOOKUP($A1109,Register!$B$3:$E$1409,8,FALSE)</f>
        <v>#REF!</v>
      </c>
      <c r="E1109" s="34" t="s">
        <v>5339</v>
      </c>
    </row>
    <row r="1110" spans="1:5" x14ac:dyDescent="0.25">
      <c r="A1110" s="33" t="str" cm="1">
        <f t="array" ref="A1110">IFERROR(INDEX(Register!$B$3:$B$1409,ROW(),0), "")</f>
        <v>Hanzhou Ultrasonic (Nanjing Hanzhou Technologie)</v>
      </c>
      <c r="B1110" s="32" t="e">
        <f>VLOOKUP($A1110,Register!$B$3:$E$1409,6,FALSE)</f>
        <v>#REF!</v>
      </c>
      <c r="C1110" s="32" t="e">
        <f>VLOOKUP($A1110,Register!$B$3:$E$1409,7,FALSE)</f>
        <v>#REF!</v>
      </c>
      <c r="D1110" s="32" t="e">
        <f>VLOOKUP($A1110,Register!$B$3:$E$1409,8,FALSE)</f>
        <v>#REF!</v>
      </c>
      <c r="E1110" s="34" t="s">
        <v>5339</v>
      </c>
    </row>
    <row r="1111" spans="1:5" x14ac:dyDescent="0.25">
      <c r="A1111" s="33" t="str" cm="1">
        <f t="array" ref="A1111">IFERROR(INDEX(Register!$B$3:$B$1409,ROW(),0), "")</f>
        <v>Diener Precision Pumps Inc</v>
      </c>
      <c r="B1111" s="32" t="e">
        <f>VLOOKUP($A1111,Register!$B$3:$E$1409,6,FALSE)</f>
        <v>#REF!</v>
      </c>
      <c r="C1111" s="32" t="e">
        <f>VLOOKUP($A1111,Register!$B$3:$E$1409,7,FALSE)</f>
        <v>#REF!</v>
      </c>
      <c r="D1111" s="32" t="e">
        <f>VLOOKUP($A1111,Register!$B$3:$E$1409,8,FALSE)</f>
        <v>#REF!</v>
      </c>
      <c r="E1111" s="34" t="s">
        <v>5339</v>
      </c>
    </row>
    <row r="1112" spans="1:5" x14ac:dyDescent="0.25">
      <c r="A1112" s="33" t="str" cm="1">
        <f t="array" ref="A1112">IFERROR(INDEX(Register!$B$3:$B$1409,ROW(),0), "")</f>
        <v>Elecom Electronics Pty Ltd</v>
      </c>
      <c r="B1112" s="32" t="e">
        <f>VLOOKUP($A1112,Register!$B$3:$E$1409,6,FALSE)</f>
        <v>#REF!</v>
      </c>
      <c r="C1112" s="32" t="e">
        <f>VLOOKUP($A1112,Register!$B$3:$E$1409,7,FALSE)</f>
        <v>#REF!</v>
      </c>
      <c r="D1112" s="32" t="e">
        <f>VLOOKUP($A1112,Register!$B$3:$E$1409,8,FALSE)</f>
        <v>#REF!</v>
      </c>
      <c r="E1112" s="34" t="s">
        <v>5339</v>
      </c>
    </row>
    <row r="1113" spans="1:5" x14ac:dyDescent="0.25">
      <c r="A1113" s="33" t="str" cm="1">
        <f t="array" ref="A1113">IFERROR(INDEX(Register!$B$3:$B$1409,ROW(),0), "")</f>
        <v>Helios Power Solutions</v>
      </c>
      <c r="B1113" s="32" t="e">
        <f>VLOOKUP($A1113,Register!$B$3:$E$1409,6,FALSE)</f>
        <v>#REF!</v>
      </c>
      <c r="C1113" s="32" t="e">
        <f>VLOOKUP($A1113,Register!$B$3:$E$1409,7,FALSE)</f>
        <v>#REF!</v>
      </c>
      <c r="D1113" s="32" t="e">
        <f>VLOOKUP($A1113,Register!$B$3:$E$1409,8,FALSE)</f>
        <v>#REF!</v>
      </c>
      <c r="E1113" s="34" t="s">
        <v>5339</v>
      </c>
    </row>
    <row r="1114" spans="1:5" x14ac:dyDescent="0.25">
      <c r="A1114" s="33" t="str" cm="1">
        <f t="array" ref="A1114">IFERROR(INDEX(Register!$B$3:$B$1409,ROW(),0), "")</f>
        <v>Helios Power Solutions</v>
      </c>
      <c r="B1114" s="32" t="e">
        <f>VLOOKUP($A1114,Register!$B$3:$E$1409,6,FALSE)</f>
        <v>#REF!</v>
      </c>
      <c r="C1114" s="32" t="e">
        <f>VLOOKUP($A1114,Register!$B$3:$E$1409,7,FALSE)</f>
        <v>#REF!</v>
      </c>
      <c r="D1114" s="32" t="e">
        <f>VLOOKUP($A1114,Register!$B$3:$E$1409,8,FALSE)</f>
        <v>#REF!</v>
      </c>
      <c r="E1114" s="34" t="s">
        <v>5339</v>
      </c>
    </row>
    <row r="1115" spans="1:5" x14ac:dyDescent="0.25">
      <c r="A1115" s="33" t="str" cm="1">
        <f t="array" ref="A1115">IFERROR(INDEX(Register!$B$3:$B$1409,ROW(),0), "")</f>
        <v>Holland Shielding Systems B.V.</v>
      </c>
      <c r="B1115" s="32" t="e">
        <f>VLOOKUP($A1115,Register!$B$3:$E$1409,6,FALSE)</f>
        <v>#REF!</v>
      </c>
      <c r="C1115" s="32" t="e">
        <f>VLOOKUP($A1115,Register!$B$3:$E$1409,7,FALSE)</f>
        <v>#REF!</v>
      </c>
      <c r="D1115" s="32" t="e">
        <f>VLOOKUP($A1115,Register!$B$3:$E$1409,8,FALSE)</f>
        <v>#REF!</v>
      </c>
      <c r="E1115" s="34" t="s">
        <v>5339</v>
      </c>
    </row>
    <row r="1116" spans="1:5" x14ac:dyDescent="0.25">
      <c r="A1116" s="33" t="str" cm="1">
        <f t="array" ref="A1116">IFERROR(INDEX(Register!$B$3:$B$1409,ROW(),0), "")</f>
        <v>Tumbler Technologies (TrumPower)</v>
      </c>
      <c r="B1116" s="32" t="e">
        <f>VLOOKUP($A1116,Register!$B$3:$E$1409,6,FALSE)</f>
        <v>#REF!</v>
      </c>
      <c r="C1116" s="32" t="e">
        <f>VLOOKUP($A1116,Register!$B$3:$E$1409,7,FALSE)</f>
        <v>#REF!</v>
      </c>
      <c r="D1116" s="32" t="e">
        <f>VLOOKUP($A1116,Register!$B$3:$E$1409,8,FALSE)</f>
        <v>#REF!</v>
      </c>
      <c r="E1116" s="34" t="s">
        <v>5339</v>
      </c>
    </row>
    <row r="1117" spans="1:5" x14ac:dyDescent="0.25">
      <c r="A1117" s="33" t="str" cm="1">
        <f t="array" ref="A1117">IFERROR(INDEX(Register!$B$3:$B$1409,ROW(),0), "")</f>
        <v>Little-Ants Tech Pty Ltd</v>
      </c>
      <c r="B1117" s="32" t="e">
        <f>VLOOKUP($A1117,Register!$B$3:$E$1409,6,FALSE)</f>
        <v>#REF!</v>
      </c>
      <c r="C1117" s="32" t="e">
        <f>VLOOKUP($A1117,Register!$B$3:$E$1409,7,FALSE)</f>
        <v>#REF!</v>
      </c>
      <c r="D1117" s="32" t="e">
        <f>VLOOKUP($A1117,Register!$B$3:$E$1409,8,FALSE)</f>
        <v>#REF!</v>
      </c>
      <c r="E1117" s="34" t="s">
        <v>5339</v>
      </c>
    </row>
    <row r="1118" spans="1:5" x14ac:dyDescent="0.25">
      <c r="A1118" s="33" t="str" cm="1">
        <f t="array" ref="A1118">IFERROR(INDEX(Register!$B$3:$B$1409,ROW(),0), "")</f>
        <v>Idtracon Pty Ltd</v>
      </c>
      <c r="B1118" s="32" t="e">
        <f>VLOOKUP($A1118,Register!$B$3:$E$1409,6,FALSE)</f>
        <v>#REF!</v>
      </c>
      <c r="C1118" s="32" t="e">
        <f>VLOOKUP($A1118,Register!$B$3:$E$1409,7,FALSE)</f>
        <v>#REF!</v>
      </c>
      <c r="D1118" s="32" t="e">
        <f>VLOOKUP($A1118,Register!$B$3:$E$1409,8,FALSE)</f>
        <v>#REF!</v>
      </c>
      <c r="E1118" s="34" t="s">
        <v>5339</v>
      </c>
    </row>
    <row r="1119" spans="1:5" x14ac:dyDescent="0.25">
      <c r="A1119" s="33" t="str" cm="1">
        <f t="array" ref="A1119">IFERROR(INDEX(Register!$B$3:$B$1409,ROW(),0), "")</f>
        <v>Artel</v>
      </c>
      <c r="B1119" s="32" t="e">
        <f>VLOOKUP($A1119,Register!$B$3:$E$1409,6,FALSE)</f>
        <v>#REF!</v>
      </c>
      <c r="C1119" s="32" t="e">
        <f>VLOOKUP($A1119,Register!$B$3:$E$1409,7,FALSE)</f>
        <v>#REF!</v>
      </c>
      <c r="D1119" s="32" t="e">
        <f>VLOOKUP($A1119,Register!$B$3:$E$1409,8,FALSE)</f>
        <v>#REF!</v>
      </c>
      <c r="E1119" s="34" t="s">
        <v>5339</v>
      </c>
    </row>
    <row r="1120" spans="1:5" x14ac:dyDescent="0.25">
      <c r="A1120" s="33" t="str" cm="1">
        <f t="array" ref="A1120">IFERROR(INDEX(Register!$B$3:$B$1409,ROW(),0), "")</f>
        <v>KAMAN INDUSTRIAL TECHNOLOGIES</v>
      </c>
      <c r="B1120" s="32" t="e">
        <f>VLOOKUP($A1120,Register!$B$3:$E$1409,6,FALSE)</f>
        <v>#REF!</v>
      </c>
      <c r="C1120" s="32" t="e">
        <f>VLOOKUP($A1120,Register!$B$3:$E$1409,7,FALSE)</f>
        <v>#REF!</v>
      </c>
      <c r="D1120" s="32" t="e">
        <f>VLOOKUP($A1120,Register!$B$3:$E$1409,8,FALSE)</f>
        <v>#REF!</v>
      </c>
      <c r="E1120" s="34" t="s">
        <v>5339</v>
      </c>
    </row>
    <row r="1121" spans="1:5" x14ac:dyDescent="0.25">
      <c r="A1121" s="33" t="str" cm="1">
        <f t="array" ref="A1121">IFERROR(INDEX(Register!$B$3:$B$1409,ROW(),0), "")</f>
        <v>MOCAP</v>
      </c>
      <c r="B1121" s="32" t="e">
        <f>VLOOKUP($A1121,Register!$B$3:$E$1409,6,FALSE)</f>
        <v>#REF!</v>
      </c>
      <c r="C1121" s="32" t="e">
        <f>VLOOKUP($A1121,Register!$B$3:$E$1409,7,FALSE)</f>
        <v>#REF!</v>
      </c>
      <c r="D1121" s="32" t="e">
        <f>VLOOKUP($A1121,Register!$B$3:$E$1409,8,FALSE)</f>
        <v>#REF!</v>
      </c>
      <c r="E1121" s="34" t="s">
        <v>5339</v>
      </c>
    </row>
    <row r="1122" spans="1:5" x14ac:dyDescent="0.25">
      <c r="A1122" s="33" t="str" cm="1">
        <f t="array" ref="A1122">IFERROR(INDEX(Register!$B$3:$B$1409,ROW(),0), "")</f>
        <v>COSPHERIC LLC</v>
      </c>
      <c r="B1122" s="32" t="e">
        <f>VLOOKUP($A1122,Register!$B$3:$E$1409,6,FALSE)</f>
        <v>#REF!</v>
      </c>
      <c r="C1122" s="32" t="e">
        <f>VLOOKUP($A1122,Register!$B$3:$E$1409,7,FALSE)</f>
        <v>#REF!</v>
      </c>
      <c r="D1122" s="32" t="e">
        <f>VLOOKUP($A1122,Register!$B$3:$E$1409,8,FALSE)</f>
        <v>#REF!</v>
      </c>
      <c r="E1122" s="34" t="s">
        <v>5339</v>
      </c>
    </row>
    <row r="1123" spans="1:5" x14ac:dyDescent="0.25">
      <c r="A1123" s="33" t="str" cm="1">
        <f t="array" ref="A1123">IFERROR(INDEX(Register!$B$3:$B$1409,ROW(),0), "")</f>
        <v>Madison Sport Pty Ltd</v>
      </c>
      <c r="B1123" s="32" t="e">
        <f>VLOOKUP($A1123,Register!$B$3:$E$1409,6,FALSE)</f>
        <v>#REF!</v>
      </c>
      <c r="C1123" s="32" t="e">
        <f>VLOOKUP($A1123,Register!$B$3:$E$1409,7,FALSE)</f>
        <v>#REF!</v>
      </c>
      <c r="D1123" s="32" t="e">
        <f>VLOOKUP($A1123,Register!$B$3:$E$1409,8,FALSE)</f>
        <v>#REF!</v>
      </c>
      <c r="E1123" s="34" t="s">
        <v>5339</v>
      </c>
    </row>
    <row r="1124" spans="1:5" x14ac:dyDescent="0.25">
      <c r="A1124" s="33" t="str" cm="1">
        <f t="array" ref="A1124">IFERROR(INDEX(Register!$B$3:$B$1409,ROW(),0), "")</f>
        <v>ASSOCIATED SPRING RAYMOND</v>
      </c>
      <c r="B1124" s="32" t="e">
        <f>VLOOKUP($A1124,Register!$B$3:$E$1409,6,FALSE)</f>
        <v>#REF!</v>
      </c>
      <c r="C1124" s="32" t="e">
        <f>VLOOKUP($A1124,Register!$B$3:$E$1409,7,FALSE)</f>
        <v>#REF!</v>
      </c>
      <c r="D1124" s="32" t="e">
        <f>VLOOKUP($A1124,Register!$B$3:$E$1409,8,FALSE)</f>
        <v>#REF!</v>
      </c>
      <c r="E1124" s="34" t="s">
        <v>5339</v>
      </c>
    </row>
    <row r="1125" spans="1:5" x14ac:dyDescent="0.25">
      <c r="A1125" s="33" t="str" cm="1">
        <f t="array" ref="A1125">IFERROR(INDEX(Register!$B$3:$B$1409,ROW(),0), "")</f>
        <v>Bell Springs Pty Ltd</v>
      </c>
      <c r="B1125" s="32" t="e">
        <f>VLOOKUP($A1125,Register!$B$3:$E$1409,6,FALSE)</f>
        <v>#REF!</v>
      </c>
      <c r="C1125" s="32" t="e">
        <f>VLOOKUP($A1125,Register!$B$3:$E$1409,7,FALSE)</f>
        <v>#REF!</v>
      </c>
      <c r="D1125" s="32" t="e">
        <f>VLOOKUP($A1125,Register!$B$3:$E$1409,8,FALSE)</f>
        <v>#REF!</v>
      </c>
      <c r="E1125" s="34" t="s">
        <v>5339</v>
      </c>
    </row>
    <row r="1126" spans="1:5" x14ac:dyDescent="0.25">
      <c r="A1126" s="33" t="str" cm="1">
        <f t="array" ref="A1126">IFERROR(INDEX(Register!$B$3:$B$1409,ROW(),0), "")</f>
        <v>CENTURY SPRING CORP</v>
      </c>
      <c r="B1126" s="32" t="e">
        <f>VLOOKUP($A1126,Register!$B$3:$E$1409,6,FALSE)</f>
        <v>#REF!</v>
      </c>
      <c r="C1126" s="32" t="e">
        <f>VLOOKUP($A1126,Register!$B$3:$E$1409,7,FALSE)</f>
        <v>#REF!</v>
      </c>
      <c r="D1126" s="32" t="e">
        <f>VLOOKUP($A1126,Register!$B$3:$E$1409,8,FALSE)</f>
        <v>#REF!</v>
      </c>
      <c r="E1126" s="34" t="s">
        <v>5339</v>
      </c>
    </row>
    <row r="1127" spans="1:5" x14ac:dyDescent="0.25">
      <c r="A1127" s="33" t="str" cm="1">
        <f t="array" ref="A1127">IFERROR(INDEX(Register!$B$3:$B$1409,ROW(),0), "")</f>
        <v>Industrial Products of Australia (ASI Springs)</v>
      </c>
      <c r="B1127" s="32" t="e">
        <f>VLOOKUP($A1127,Register!$B$3:$E$1409,6,FALSE)</f>
        <v>#REF!</v>
      </c>
      <c r="C1127" s="32" t="e">
        <f>VLOOKUP($A1127,Register!$B$3:$E$1409,7,FALSE)</f>
        <v>#REF!</v>
      </c>
      <c r="D1127" s="32" t="e">
        <f>VLOOKUP($A1127,Register!$B$3:$E$1409,8,FALSE)</f>
        <v>#REF!</v>
      </c>
      <c r="E1127" s="34" t="s">
        <v>5339</v>
      </c>
    </row>
    <row r="1128" spans="1:5" x14ac:dyDescent="0.25">
      <c r="A1128" s="33" t="str" cm="1">
        <f t="array" ref="A1128">IFERROR(INDEX(Register!$B$3:$B$1409,ROW(),0), "")</f>
        <v>LEE SPRING</v>
      </c>
      <c r="B1128" s="32" t="e">
        <f>VLOOKUP($A1128,Register!$B$3:$E$1409,6,FALSE)</f>
        <v>#REF!</v>
      </c>
      <c r="C1128" s="32" t="e">
        <f>VLOOKUP($A1128,Register!$B$3:$E$1409,7,FALSE)</f>
        <v>#REF!</v>
      </c>
      <c r="D1128" s="32" t="e">
        <f>VLOOKUP($A1128,Register!$B$3:$E$1409,8,FALSE)</f>
        <v>#REF!</v>
      </c>
      <c r="E1128" s="34" t="s">
        <v>5339</v>
      </c>
    </row>
    <row r="1129" spans="1:5" x14ac:dyDescent="0.25">
      <c r="A1129" s="33" t="str" cm="1">
        <f t="array" ref="A1129">IFERROR(INDEX(Register!$B$3:$B$1409,ROW(),0), "")</f>
        <v>Lee Spring Limited</v>
      </c>
      <c r="B1129" s="32" t="e">
        <f>VLOOKUP($A1129,Register!$B$3:$E$1409,6,FALSE)</f>
        <v>#REF!</v>
      </c>
      <c r="C1129" s="32" t="e">
        <f>VLOOKUP($A1129,Register!$B$3:$E$1409,7,FALSE)</f>
        <v>#REF!</v>
      </c>
      <c r="D1129" s="32" t="e">
        <f>VLOOKUP($A1129,Register!$B$3:$E$1409,8,FALSE)</f>
        <v>#REF!</v>
      </c>
      <c r="E1129" s="34" t="s">
        <v>5339</v>
      </c>
    </row>
    <row r="1130" spans="1:5" x14ac:dyDescent="0.25">
      <c r="A1130" s="33" t="str" cm="1">
        <f t="array" ref="A1130">IFERROR(INDEX(Register!$B$3:$B$1409,ROW(),0), "")</f>
        <v>Lee Spring Company LLC [USD]</v>
      </c>
      <c r="B1130" s="32" t="e">
        <f>VLOOKUP($A1130,Register!$B$3:$E$1409,6,FALSE)</f>
        <v>#REF!</v>
      </c>
      <c r="C1130" s="32" t="e">
        <f>VLOOKUP($A1130,Register!$B$3:$E$1409,7,FALSE)</f>
        <v>#REF!</v>
      </c>
      <c r="D1130" s="32" t="e">
        <f>VLOOKUP($A1130,Register!$B$3:$E$1409,8,FALSE)</f>
        <v>#REF!</v>
      </c>
      <c r="E1130" s="34" t="s">
        <v>5339</v>
      </c>
    </row>
    <row r="1131" spans="1:5" x14ac:dyDescent="0.25">
      <c r="A1131" s="33" t="str" cm="1">
        <f t="array" ref="A1131">IFERROR(INDEX(Register!$B$3:$B$1409,ROW(),0), "")</f>
        <v>R/D SPRING AND STAMPING, INC.</v>
      </c>
      <c r="B1131" s="32" t="e">
        <f>VLOOKUP($A1131,Register!$B$3:$E$1409,6,FALSE)</f>
        <v>#REF!</v>
      </c>
      <c r="C1131" s="32" t="e">
        <f>VLOOKUP($A1131,Register!$B$3:$E$1409,7,FALSE)</f>
        <v>#REF!</v>
      </c>
      <c r="D1131" s="32" t="e">
        <f>VLOOKUP($A1131,Register!$B$3:$E$1409,8,FALSE)</f>
        <v>#REF!</v>
      </c>
      <c r="E1131" s="34" t="s">
        <v>5339</v>
      </c>
    </row>
    <row r="1132" spans="1:5" x14ac:dyDescent="0.25">
      <c r="A1132" s="33" t="str" cm="1">
        <f t="array" ref="A1132">IFERROR(INDEX(Register!$B$3:$B$1409,ROW(),0), "")</f>
        <v>SMALLEY STEEL RING COMPANY</v>
      </c>
      <c r="B1132" s="32" t="e">
        <f>VLOOKUP($A1132,Register!$B$3:$E$1409,6,FALSE)</f>
        <v>#REF!</v>
      </c>
      <c r="C1132" s="32" t="e">
        <f>VLOOKUP($A1132,Register!$B$3:$E$1409,7,FALSE)</f>
        <v>#REF!</v>
      </c>
      <c r="D1132" s="32" t="e">
        <f>VLOOKUP($A1132,Register!$B$3:$E$1409,8,FALSE)</f>
        <v>#REF!</v>
      </c>
      <c r="E1132" s="34" t="s">
        <v>5339</v>
      </c>
    </row>
    <row r="1133" spans="1:5" x14ac:dyDescent="0.25">
      <c r="A1133" s="33" t="str" cm="1">
        <f t="array" ref="A1133">IFERROR(INDEX(Register!$B$3:$B$1409,ROW(),0), "")</f>
        <v>SUPERIOR SPRING COMPANY</v>
      </c>
      <c r="B1133" s="32" t="e">
        <f>VLOOKUP($A1133,Register!$B$3:$E$1409,6,FALSE)</f>
        <v>#REF!</v>
      </c>
      <c r="C1133" s="32" t="e">
        <f>VLOOKUP($A1133,Register!$B$3:$E$1409,7,FALSE)</f>
        <v>#REF!</v>
      </c>
      <c r="D1133" s="32" t="e">
        <f>VLOOKUP($A1133,Register!$B$3:$E$1409,8,FALSE)</f>
        <v>#REF!</v>
      </c>
      <c r="E1133" s="34" t="s">
        <v>5339</v>
      </c>
    </row>
    <row r="1134" spans="1:5" x14ac:dyDescent="0.25">
      <c r="A1134" s="33" t="str" cm="1">
        <f t="array" ref="A1134">IFERROR(INDEX(Register!$B$3:$B$1409,ROW(),0), "")</f>
        <v>Whelan's Spring</v>
      </c>
      <c r="B1134" s="32" t="e">
        <f>VLOOKUP($A1134,Register!$B$3:$E$1409,6,FALSE)</f>
        <v>#REF!</v>
      </c>
      <c r="C1134" s="32" t="e">
        <f>VLOOKUP($A1134,Register!$B$3:$E$1409,7,FALSE)</f>
        <v>#REF!</v>
      </c>
      <c r="D1134" s="32" t="e">
        <f>VLOOKUP($A1134,Register!$B$3:$E$1409,8,FALSE)</f>
        <v>#REF!</v>
      </c>
      <c r="E1134" s="34" t="s">
        <v>5339</v>
      </c>
    </row>
    <row r="1135" spans="1:5" x14ac:dyDescent="0.25">
      <c r="A1135" s="33" t="str" cm="1">
        <f t="array" ref="A1135">IFERROR(INDEX(Register!$B$3:$B$1409,ROW(),0), "")</f>
        <v>Clinical and Laboratory Standards Institute (CLSI)</v>
      </c>
      <c r="B1135" s="32" t="e">
        <f>VLOOKUP($A1135,Register!$B$3:$E$1409,6,FALSE)</f>
        <v>#REF!</v>
      </c>
      <c r="C1135" s="32" t="e">
        <f>VLOOKUP($A1135,Register!$B$3:$E$1409,7,FALSE)</f>
        <v>#REF!</v>
      </c>
      <c r="D1135" s="32" t="e">
        <f>VLOOKUP($A1135,Register!$B$3:$E$1409,8,FALSE)</f>
        <v>#REF!</v>
      </c>
      <c r="E1135" s="34" t="s">
        <v>5339</v>
      </c>
    </row>
    <row r="1136" spans="1:5" x14ac:dyDescent="0.25">
      <c r="A1136" s="33" t="str" cm="1">
        <f t="array" ref="A1136">IFERROR(INDEX(Register!$B$3:$B$1409,ROW(),0), "")</f>
        <v>IPC</v>
      </c>
      <c r="B1136" s="32" t="e">
        <f>VLOOKUP($A1136,Register!$B$3:$E$1409,6,FALSE)</f>
        <v>#REF!</v>
      </c>
      <c r="C1136" s="32" t="e">
        <f>VLOOKUP($A1136,Register!$B$3:$E$1409,7,FALSE)</f>
        <v>#REF!</v>
      </c>
      <c r="D1136" s="32" t="e">
        <f>VLOOKUP($A1136,Register!$B$3:$E$1409,8,FALSE)</f>
        <v>#REF!</v>
      </c>
      <c r="E1136" s="34" t="s">
        <v>5339</v>
      </c>
    </row>
    <row r="1137" spans="1:5" x14ac:dyDescent="0.25">
      <c r="A1137" s="33" t="str" cm="1">
        <f t="array" ref="A1137">IFERROR(INDEX(Register!$B$3:$B$1409,ROW(),0), "")</f>
        <v>IHS (FORMERLY IHS GLOBAL INC.)</v>
      </c>
      <c r="B1137" s="32" t="e">
        <f>VLOOKUP($A1137,Register!$B$3:$E$1409,6,FALSE)</f>
        <v>#REF!</v>
      </c>
      <c r="C1137" s="32" t="e">
        <f>VLOOKUP($A1137,Register!$B$3:$E$1409,7,FALSE)</f>
        <v>#REF!</v>
      </c>
      <c r="D1137" s="32" t="e">
        <f>VLOOKUP($A1137,Register!$B$3:$E$1409,8,FALSE)</f>
        <v>#REF!</v>
      </c>
      <c r="E1137" s="34" t="s">
        <v>5339</v>
      </c>
    </row>
    <row r="1138" spans="1:5" x14ac:dyDescent="0.25">
      <c r="A1138" s="33" t="str" cm="1">
        <f t="array" ref="A1138">IFERROR(INDEX(Register!$B$3:$B$1409,ROW(),0), "")</f>
        <v>SAE International</v>
      </c>
      <c r="B1138" s="32" t="e">
        <f>VLOOKUP($A1138,Register!$B$3:$E$1409,6,FALSE)</f>
        <v>#REF!</v>
      </c>
      <c r="C1138" s="32" t="e">
        <f>VLOOKUP($A1138,Register!$B$3:$E$1409,7,FALSE)</f>
        <v>#REF!</v>
      </c>
      <c r="D1138" s="32" t="e">
        <f>VLOOKUP($A1138,Register!$B$3:$E$1409,8,FALSE)</f>
        <v>#REF!</v>
      </c>
      <c r="E1138" s="34" t="s">
        <v>5339</v>
      </c>
    </row>
    <row r="1139" spans="1:5" x14ac:dyDescent="0.25">
      <c r="A1139" s="33" t="str" cm="1">
        <f t="array" ref="A1139">IFERROR(INDEX(Register!$B$3:$B$1409,ROW(),0), "")</f>
        <v>PharmEquip Pty Ltd</v>
      </c>
      <c r="B1139" s="32" t="e">
        <f>VLOOKUP($A1139,Register!$B$3:$E$1409,6,FALSE)</f>
        <v>#REF!</v>
      </c>
      <c r="C1139" s="32" t="e">
        <f>VLOOKUP($A1139,Register!$B$3:$E$1409,7,FALSE)</f>
        <v>#REF!</v>
      </c>
      <c r="D1139" s="32" t="e">
        <f>VLOOKUP($A1139,Register!$B$3:$E$1409,8,FALSE)</f>
        <v>#REF!</v>
      </c>
      <c r="E1139" s="34" t="s">
        <v>5339</v>
      </c>
    </row>
    <row r="1140" spans="1:5" x14ac:dyDescent="0.25">
      <c r="A1140" s="33" t="str" cm="1">
        <f t="array" ref="A1140">IFERROR(INDEX(Register!$B$3:$B$1409,ROW(),0), "")</f>
        <v>Qosina Corporation (US)</v>
      </c>
      <c r="B1140" s="32" t="e">
        <f>VLOOKUP($A1140,Register!$B$3:$E$1409,6,FALSE)</f>
        <v>#REF!</v>
      </c>
      <c r="C1140" s="32" t="e">
        <f>VLOOKUP($A1140,Register!$B$3:$E$1409,7,FALSE)</f>
        <v>#REF!</v>
      </c>
      <c r="D1140" s="32" t="e">
        <f>VLOOKUP($A1140,Register!$B$3:$E$1409,8,FALSE)</f>
        <v>#REF!</v>
      </c>
      <c r="E1140" s="34" t="s">
        <v>5339</v>
      </c>
    </row>
    <row r="1141" spans="1:5" x14ac:dyDescent="0.25">
      <c r="A1141" s="33" t="str" cm="1">
        <f t="array" ref="A1141">IFERROR(INDEX(Register!$B$3:$B$1409,ROW(),0), "")</f>
        <v>Blueline Sterilization Services LLC</v>
      </c>
      <c r="B1141" s="32" t="e">
        <f>VLOOKUP($A1141,Register!$B$3:$E$1409,6,FALSE)</f>
        <v>#REF!</v>
      </c>
      <c r="C1141" s="32" t="e">
        <f>VLOOKUP($A1141,Register!$B$3:$E$1409,7,FALSE)</f>
        <v>#REF!</v>
      </c>
      <c r="D1141" s="32" t="e">
        <f>VLOOKUP($A1141,Register!$B$3:$E$1409,8,FALSE)</f>
        <v>#REF!</v>
      </c>
      <c r="E1141" s="34" t="s">
        <v>5339</v>
      </c>
    </row>
    <row r="1142" spans="1:5" x14ac:dyDescent="0.25">
      <c r="A1142" s="33" t="str" cm="1">
        <f t="array" ref="A1142">IFERROR(INDEX(Register!$B$3:$B$1409,ROW(),0), "")</f>
        <v>Mobile Mini Storage Solutions</v>
      </c>
      <c r="B1142" s="32" t="e">
        <f>VLOOKUP($A1142,Register!$B$3:$E$1409,6,FALSE)</f>
        <v>#REF!</v>
      </c>
      <c r="C1142" s="32" t="e">
        <f>VLOOKUP($A1142,Register!$B$3:$E$1409,7,FALSE)</f>
        <v>#REF!</v>
      </c>
      <c r="D1142" s="32" t="e">
        <f>VLOOKUP($A1142,Register!$B$3:$E$1409,8,FALSE)</f>
        <v>#REF!</v>
      </c>
      <c r="E1142" s="34" t="s">
        <v>5339</v>
      </c>
    </row>
    <row r="1143" spans="1:5" x14ac:dyDescent="0.25">
      <c r="A1143" s="33" t="str" cm="1">
        <f t="array" ref="A1143">IFERROR(INDEX(Register!$B$3:$B$1409,ROW(),0), "")</f>
        <v>ROYAL DISTRIBUTORS, INC</v>
      </c>
      <c r="B1143" s="32" t="e">
        <f>VLOOKUP($A1143,Register!$B$3:$E$1409,6,FALSE)</f>
        <v>#REF!</v>
      </c>
      <c r="C1143" s="32" t="e">
        <f>VLOOKUP($A1143,Register!$B$3:$E$1409,7,FALSE)</f>
        <v>#REF!</v>
      </c>
      <c r="D1143" s="32" t="e">
        <f>VLOOKUP($A1143,Register!$B$3:$E$1409,8,FALSE)</f>
        <v>#REF!</v>
      </c>
      <c r="E1143" s="34" t="s">
        <v>5339</v>
      </c>
    </row>
    <row r="1144" spans="1:5" x14ac:dyDescent="0.25">
      <c r="A1144" s="33" t="str" cm="1">
        <f t="array" ref="A1144">IFERROR(INDEX(Register!$B$3:$B$1409,ROW(),0), "")</f>
        <v>HTS Thermotex Gmbh</v>
      </c>
      <c r="B1144" s="32" t="e">
        <f>VLOOKUP($A1144,Register!$B$3:$E$1409,6,FALSE)</f>
        <v>#REF!</v>
      </c>
      <c r="C1144" s="32" t="e">
        <f>VLOOKUP($A1144,Register!$B$3:$E$1409,7,FALSE)</f>
        <v>#REF!</v>
      </c>
      <c r="D1144" s="32" t="e">
        <f>VLOOKUP($A1144,Register!$B$3:$E$1409,8,FALSE)</f>
        <v>#REF!</v>
      </c>
      <c r="E1144" s="34" t="s">
        <v>5339</v>
      </c>
    </row>
    <row r="1145" spans="1:5" x14ac:dyDescent="0.25">
      <c r="A1145" s="33" t="str" cm="1">
        <f t="array" ref="A1145">IFERROR(INDEX(Register!$B$3:$B$1409,ROW(),0), "")</f>
        <v>Insul-Fab</v>
      </c>
      <c r="B1145" s="32" t="e">
        <f>VLOOKUP($A1145,Register!$B$3:$E$1409,6,FALSE)</f>
        <v>#REF!</v>
      </c>
      <c r="C1145" s="32" t="e">
        <f>VLOOKUP($A1145,Register!$B$3:$E$1409,7,FALSE)</f>
        <v>#REF!</v>
      </c>
      <c r="D1145" s="32" t="e">
        <f>VLOOKUP($A1145,Register!$B$3:$E$1409,8,FALSE)</f>
        <v>#REF!</v>
      </c>
      <c r="E1145" s="34" t="s">
        <v>5339</v>
      </c>
    </row>
    <row r="1146" spans="1:5" x14ac:dyDescent="0.25">
      <c r="A1146" s="33" t="str" cm="1">
        <f t="array" ref="A1146">IFERROR(INDEX(Register!$B$3:$B$1409,ROW(),0), "")</f>
        <v>Birk Manufacturing Inc</v>
      </c>
      <c r="B1146" s="32" t="e">
        <f>VLOOKUP($A1146,Register!$B$3:$E$1409,6,FALSE)</f>
        <v>#REF!</v>
      </c>
      <c r="C1146" s="32" t="e">
        <f>VLOOKUP($A1146,Register!$B$3:$E$1409,7,FALSE)</f>
        <v>#REF!</v>
      </c>
      <c r="D1146" s="32" t="e">
        <f>VLOOKUP($A1146,Register!$B$3:$E$1409,8,FALSE)</f>
        <v>#REF!</v>
      </c>
      <c r="E1146" s="34" t="s">
        <v>5339</v>
      </c>
    </row>
    <row r="1147" spans="1:5" x14ac:dyDescent="0.25">
      <c r="A1147" s="33" t="str" cm="1">
        <f t="array" ref="A1147">IFERROR(INDEX(Register!$B$3:$B$1409,ROW(),0), "")</f>
        <v>Phoenix Thermal</v>
      </c>
      <c r="B1147" s="32" t="e">
        <f>VLOOKUP($A1147,Register!$B$3:$E$1409,6,FALSE)</f>
        <v>#REF!</v>
      </c>
      <c r="C1147" s="32" t="e">
        <f>VLOOKUP($A1147,Register!$B$3:$E$1409,7,FALSE)</f>
        <v>#REF!</v>
      </c>
      <c r="D1147" s="32" t="e">
        <f>VLOOKUP($A1147,Register!$B$3:$E$1409,8,FALSE)</f>
        <v>#REF!</v>
      </c>
      <c r="E1147" s="34" t="s">
        <v>5339</v>
      </c>
    </row>
    <row r="1148" spans="1:5" x14ac:dyDescent="0.25">
      <c r="A1148" s="33" t="str" cm="1">
        <f t="array" ref="A1148">IFERROR(INDEX(Register!$B$3:$B$1409,ROW(),0), "")</f>
        <v>Temperature Controls Pty Ltd</v>
      </c>
      <c r="B1148" s="32" t="e">
        <f>VLOOKUP($A1148,Register!$B$3:$E$1409,6,FALSE)</f>
        <v>#REF!</v>
      </c>
      <c r="C1148" s="32" t="e">
        <f>VLOOKUP($A1148,Register!$B$3:$E$1409,7,FALSE)</f>
        <v>#REF!</v>
      </c>
      <c r="D1148" s="32" t="e">
        <f>VLOOKUP($A1148,Register!$B$3:$E$1409,8,FALSE)</f>
        <v>#REF!</v>
      </c>
      <c r="E1148" s="34" t="s">
        <v>5339</v>
      </c>
    </row>
    <row r="1149" spans="1:5" x14ac:dyDescent="0.25">
      <c r="A1149" s="33" t="str" cm="1">
        <f t="array" ref="A1149">IFERROR(INDEX(Register!$B$3:$B$1409,ROW(),0), "")</f>
        <v>DME COMPANY LLC</v>
      </c>
      <c r="B1149" s="32" t="e">
        <f>VLOOKUP($A1149,Register!$B$3:$E$1409,6,FALSE)</f>
        <v>#REF!</v>
      </c>
      <c r="C1149" s="32" t="e">
        <f>VLOOKUP($A1149,Register!$B$3:$E$1409,7,FALSE)</f>
        <v>#REF!</v>
      </c>
      <c r="D1149" s="32" t="e">
        <f>VLOOKUP($A1149,Register!$B$3:$E$1409,8,FALSE)</f>
        <v>#REF!</v>
      </c>
      <c r="E1149" s="34" t="s">
        <v>5339</v>
      </c>
    </row>
    <row r="1150" spans="1:5" x14ac:dyDescent="0.25">
      <c r="A1150" s="33" t="str" cm="1">
        <f t="array" ref="A1150">IFERROR(INDEX(Register!$B$3:$B$1409,ROW(),0), "")</f>
        <v>Crimp-Tech Australia</v>
      </c>
      <c r="B1150" s="32" t="e">
        <f>VLOOKUP($A1150,Register!$B$3:$E$1409,6,FALSE)</f>
        <v>#REF!</v>
      </c>
      <c r="C1150" s="32" t="e">
        <f>VLOOKUP($A1150,Register!$B$3:$E$1409,7,FALSE)</f>
        <v>#REF!</v>
      </c>
      <c r="D1150" s="32" t="e">
        <f>VLOOKUP($A1150,Register!$B$3:$E$1409,8,FALSE)</f>
        <v>#REF!</v>
      </c>
      <c r="E1150" s="34" t="s">
        <v>5339</v>
      </c>
    </row>
    <row r="1151" spans="1:5" x14ac:dyDescent="0.25">
      <c r="A1151" s="33" t="str" cm="1">
        <f t="array" ref="A1151">IFERROR(INDEX(Register!$B$3:$B$1409,ROW(),0), "")</f>
        <v>EPTAC CORPORATION</v>
      </c>
      <c r="B1151" s="32" t="e">
        <f>VLOOKUP($A1151,Register!$B$3:$E$1409,6,FALSE)</f>
        <v>#REF!</v>
      </c>
      <c r="C1151" s="32" t="e">
        <f>VLOOKUP($A1151,Register!$B$3:$E$1409,7,FALSE)</f>
        <v>#REF!</v>
      </c>
      <c r="D1151" s="32" t="e">
        <f>VLOOKUP($A1151,Register!$B$3:$E$1409,8,FALSE)</f>
        <v>#REF!</v>
      </c>
      <c r="E1151" s="34" t="s">
        <v>5339</v>
      </c>
    </row>
    <row r="1152" spans="1:5" x14ac:dyDescent="0.25">
      <c r="A1152" s="33" t="str" cm="1">
        <f t="array" ref="A1152">IFERROR(INDEX(Register!$B$3:$B$1409,ROW(),0), "")</f>
        <v>Pyzdek Institute</v>
      </c>
      <c r="B1152" s="32" t="e">
        <f>VLOOKUP($A1152,Register!$B$3:$E$1409,6,FALSE)</f>
        <v>#REF!</v>
      </c>
      <c r="C1152" s="32" t="e">
        <f>VLOOKUP($A1152,Register!$B$3:$E$1409,7,FALSE)</f>
        <v>#REF!</v>
      </c>
      <c r="D1152" s="32" t="e">
        <f>VLOOKUP($A1152,Register!$B$3:$E$1409,8,FALSE)</f>
        <v>#REF!</v>
      </c>
      <c r="E1152" s="34" t="s">
        <v>5339</v>
      </c>
    </row>
    <row r="1153" spans="1:5" x14ac:dyDescent="0.25">
      <c r="A1153" s="33" t="str" cm="1">
        <f t="array" ref="A1153">IFERROR(INDEX(Register!$B$3:$B$1409,ROW(),0), "")</f>
        <v>Chin Communications</v>
      </c>
      <c r="B1153" s="32" t="e">
        <f>VLOOKUP($A1153,Register!$B$3:$E$1409,6,FALSE)</f>
        <v>#REF!</v>
      </c>
      <c r="C1153" s="32" t="e">
        <f>VLOOKUP($A1153,Register!$B$3:$E$1409,7,FALSE)</f>
        <v>#REF!</v>
      </c>
      <c r="D1153" s="32" t="e">
        <f>VLOOKUP($A1153,Register!$B$3:$E$1409,8,FALSE)</f>
        <v>#REF!</v>
      </c>
      <c r="E1153" s="34" t="s">
        <v>5339</v>
      </c>
    </row>
    <row r="1154" spans="1:5" x14ac:dyDescent="0.25">
      <c r="A1154" s="33" t="str" cm="1">
        <f t="array" ref="A1154">IFERROR(INDEX(Register!$B$3:$B$1409,ROW(),0), "")</f>
        <v>2M Communications Pty Ltd</v>
      </c>
      <c r="B1154" s="32" t="e">
        <f>VLOOKUP($A1154,Register!$B$3:$E$1409,6,FALSE)</f>
        <v>#REF!</v>
      </c>
      <c r="C1154" s="32" t="e">
        <f>VLOOKUP($A1154,Register!$B$3:$E$1409,7,FALSE)</f>
        <v>#REF!</v>
      </c>
      <c r="D1154" s="32" t="e">
        <f>VLOOKUP($A1154,Register!$B$3:$E$1409,8,FALSE)</f>
        <v>#REF!</v>
      </c>
      <c r="E1154" s="34" t="s">
        <v>5339</v>
      </c>
    </row>
    <row r="1155" spans="1:5" x14ac:dyDescent="0.25">
      <c r="A1155" s="33" t="str" cm="1">
        <f t="array" ref="A1155">IFERROR(INDEX(Register!$B$3:$B$1409,ROW(),0), "")</f>
        <v>Penske Truck Rental</v>
      </c>
      <c r="B1155" s="32" t="e">
        <f>VLOOKUP($A1155,Register!$B$3:$E$1409,6,FALSE)</f>
        <v>#REF!</v>
      </c>
      <c r="C1155" s="32" t="e">
        <f>VLOOKUP($A1155,Register!$B$3:$E$1409,7,FALSE)</f>
        <v>#REF!</v>
      </c>
      <c r="D1155" s="32" t="e">
        <f>VLOOKUP($A1155,Register!$B$3:$E$1409,8,FALSE)</f>
        <v>#REF!</v>
      </c>
      <c r="E1155" s="34" t="s">
        <v>5339</v>
      </c>
    </row>
    <row r="1156" spans="1:5" x14ac:dyDescent="0.25">
      <c r="A1156" s="33" t="str" cm="1">
        <f t="array" ref="A1156">IFERROR(INDEX(Register!$B$3:$B$1409,ROW(),0), "")</f>
        <v>Kellys Gang (The Kelly Dowie Family Trust)</v>
      </c>
      <c r="B1156" s="32" t="e">
        <f>VLOOKUP($A1156,Register!$B$3:$E$1409,6,FALSE)</f>
        <v>#REF!</v>
      </c>
      <c r="C1156" s="32" t="e">
        <f>VLOOKUP($A1156,Register!$B$3:$E$1409,7,FALSE)</f>
        <v>#REF!</v>
      </c>
      <c r="D1156" s="32" t="e">
        <f>VLOOKUP($A1156,Register!$B$3:$E$1409,8,FALSE)</f>
        <v>#REF!</v>
      </c>
      <c r="E1156" s="34" t="s">
        <v>5339</v>
      </c>
    </row>
    <row r="1157" spans="1:5" x14ac:dyDescent="0.25">
      <c r="A1157" s="33" t="str" cm="1">
        <f t="array" ref="A1157">IFERROR(INDEX(Register!$B$3:$B$1409,ROW(),0), "")</f>
        <v>B &amp; E Enterprises, Inc</v>
      </c>
      <c r="B1157" s="32" t="e">
        <f>VLOOKUP($A1157,Register!$B$3:$E$1409,6,FALSE)</f>
        <v>#REF!</v>
      </c>
      <c r="C1157" s="32" t="e">
        <f>VLOOKUP($A1157,Register!$B$3:$E$1409,7,FALSE)</f>
        <v>#REF!</v>
      </c>
      <c r="D1157" s="32" t="e">
        <f>VLOOKUP($A1157,Register!$B$3:$E$1409,8,FALSE)</f>
        <v>#REF!</v>
      </c>
      <c r="E1157" s="34" t="s">
        <v>5339</v>
      </c>
    </row>
    <row r="1158" spans="1:5" x14ac:dyDescent="0.25">
      <c r="A1158" s="33" t="str" cm="1">
        <f t="array" ref="A1158">IFERROR(INDEX(Register!$B$3:$B$1409,ROW(),0), "")</f>
        <v>Extrusion Alternatives Inc</v>
      </c>
      <c r="B1158" s="32" t="e">
        <f>VLOOKUP($A1158,Register!$B$3:$E$1409,6,FALSE)</f>
        <v>#REF!</v>
      </c>
      <c r="C1158" s="32" t="e">
        <f>VLOOKUP($A1158,Register!$B$3:$E$1409,7,FALSE)</f>
        <v>#REF!</v>
      </c>
      <c r="D1158" s="32" t="e">
        <f>VLOOKUP($A1158,Register!$B$3:$E$1409,8,FALSE)</f>
        <v>#REF!</v>
      </c>
      <c r="E1158" s="34" t="s">
        <v>5339</v>
      </c>
    </row>
    <row r="1159" spans="1:5" x14ac:dyDescent="0.25">
      <c r="A1159" s="33" t="str" cm="1">
        <f t="array" ref="A1159">IFERROR(INDEX(Register!$B$3:$B$1409,ROW(),0), "")</f>
        <v>MINITUBES</v>
      </c>
      <c r="B1159" s="32" t="e">
        <f>VLOOKUP($A1159,Register!$B$3:$E$1409,6,FALSE)</f>
        <v>#REF!</v>
      </c>
      <c r="C1159" s="32" t="e">
        <f>VLOOKUP($A1159,Register!$B$3:$E$1409,7,FALSE)</f>
        <v>#REF!</v>
      </c>
      <c r="D1159" s="32" t="e">
        <f>VLOOKUP($A1159,Register!$B$3:$E$1409,8,FALSE)</f>
        <v>#REF!</v>
      </c>
      <c r="E1159" s="34" t="s">
        <v>5339</v>
      </c>
    </row>
    <row r="1160" spans="1:5" x14ac:dyDescent="0.25">
      <c r="A1160" s="33" t="str" cm="1">
        <f t="array" ref="A1160">IFERROR(INDEX(Register!$B$3:$B$1409,ROW(),0), "")</f>
        <v>Component Supply Company</v>
      </c>
      <c r="B1160" s="32" t="e">
        <f>VLOOKUP($A1160,Register!$B$3:$E$1409,6,FALSE)</f>
        <v>#REF!</v>
      </c>
      <c r="C1160" s="32" t="e">
        <f>VLOOKUP($A1160,Register!$B$3:$E$1409,7,FALSE)</f>
        <v>#REF!</v>
      </c>
      <c r="D1160" s="32" t="e">
        <f>VLOOKUP($A1160,Register!$B$3:$E$1409,8,FALSE)</f>
        <v>#REF!</v>
      </c>
      <c r="E1160" s="34" t="s">
        <v>5339</v>
      </c>
    </row>
    <row r="1161" spans="1:5" x14ac:dyDescent="0.25">
      <c r="A1161" s="33" t="str" cm="1">
        <f t="array" ref="A1161">IFERROR(INDEX(Register!$B$3:$B$1409,ROW(),0), "")</f>
        <v>Sunlite Plastics Inc</v>
      </c>
      <c r="B1161" s="32" t="e">
        <f>VLOOKUP($A1161,Register!$B$3:$E$1409,6,FALSE)</f>
        <v>#REF!</v>
      </c>
      <c r="C1161" s="32" t="e">
        <f>VLOOKUP($A1161,Register!$B$3:$E$1409,7,FALSE)</f>
        <v>#REF!</v>
      </c>
      <c r="D1161" s="32" t="e">
        <f>VLOOKUP($A1161,Register!$B$3:$E$1409,8,FALSE)</f>
        <v>#REF!</v>
      </c>
      <c r="E1161" s="34" t="s">
        <v>5339</v>
      </c>
    </row>
    <row r="1162" spans="1:5" x14ac:dyDescent="0.25">
      <c r="A1162" s="33" t="str" cm="1">
        <f t="array" ref="A1162">IFERROR(INDEX(Register!$B$3:$B$1409,ROW(),0), "")</f>
        <v>PBP Optel sp. z.o.o.</v>
      </c>
      <c r="B1162" s="32" t="e">
        <f>VLOOKUP($A1162,Register!$B$3:$E$1409,6,FALSE)</f>
        <v>#REF!</v>
      </c>
      <c r="C1162" s="32" t="e">
        <f>VLOOKUP($A1162,Register!$B$3:$E$1409,7,FALSE)</f>
        <v>#REF!</v>
      </c>
      <c r="D1162" s="32" t="e">
        <f>VLOOKUP($A1162,Register!$B$3:$E$1409,8,FALSE)</f>
        <v>#REF!</v>
      </c>
      <c r="E1162" s="34" t="s">
        <v>5339</v>
      </c>
    </row>
    <row r="1163" spans="1:5" x14ac:dyDescent="0.25">
      <c r="A1163" s="33" t="str" cm="1">
        <f t="array" ref="A1163">IFERROR(INDEX(Register!$B$3:$B$1409,ROW(),0), "")</f>
        <v>Hang Zhou LanBen Trade Co. Ltd (RPS Sonic)</v>
      </c>
      <c r="B1163" s="32" t="e">
        <f>VLOOKUP($A1163,Register!$B$3:$E$1409,6,FALSE)</f>
        <v>#REF!</v>
      </c>
      <c r="C1163" s="32" t="e">
        <f>VLOOKUP($A1163,Register!$B$3:$E$1409,7,FALSE)</f>
        <v>#REF!</v>
      </c>
      <c r="D1163" s="32" t="e">
        <f>VLOOKUP($A1163,Register!$B$3:$E$1409,8,FALSE)</f>
        <v>#REF!</v>
      </c>
      <c r="E1163" s="34" t="s">
        <v>5339</v>
      </c>
    </row>
    <row r="1164" spans="1:5" x14ac:dyDescent="0.25">
      <c r="A1164" s="33" t="str" cm="1">
        <f t="array" ref="A1164">IFERROR(INDEX(Register!$B$3:$B$1409,ROW(),0), "")</f>
        <v>Ultrasonic Advisors, LLC</v>
      </c>
      <c r="B1164" s="32" t="e">
        <f>VLOOKUP($A1164,Register!$B$3:$E$1409,6,FALSE)</f>
        <v>#REF!</v>
      </c>
      <c r="C1164" s="32" t="e">
        <f>VLOOKUP($A1164,Register!$B$3:$E$1409,7,FALSE)</f>
        <v>#REF!</v>
      </c>
      <c r="D1164" s="32" t="e">
        <f>VLOOKUP($A1164,Register!$B$3:$E$1409,8,FALSE)</f>
        <v>#REF!</v>
      </c>
      <c r="E1164" s="34" t="s">
        <v>5339</v>
      </c>
    </row>
    <row r="1165" spans="1:5" x14ac:dyDescent="0.25">
      <c r="A1165" s="33" t="str" cm="1">
        <f t="array" ref="A1165">IFERROR(INDEX(Register!$B$3:$B$1409,ROW(),0), "")</f>
        <v>Branson Ultrasonics Corp.</v>
      </c>
      <c r="B1165" s="32" t="e">
        <f>VLOOKUP($A1165,Register!$B$3:$E$1409,6,FALSE)</f>
        <v>#REF!</v>
      </c>
      <c r="C1165" s="32" t="e">
        <f>VLOOKUP($A1165,Register!$B$3:$E$1409,7,FALSE)</f>
        <v>#REF!</v>
      </c>
      <c r="D1165" s="32" t="e">
        <f>VLOOKUP($A1165,Register!$B$3:$E$1409,8,FALSE)</f>
        <v>#REF!</v>
      </c>
      <c r="E1165" s="34" t="s">
        <v>5339</v>
      </c>
    </row>
    <row r="1166" spans="1:5" x14ac:dyDescent="0.25">
      <c r="A1166" s="33" t="str" cm="1">
        <f t="array" ref="A1166">IFERROR(INDEX(Register!$B$3:$B$1409,ROW(),0), "")</f>
        <v>Monash Health</v>
      </c>
      <c r="B1166" s="32" t="e">
        <f>VLOOKUP($A1166,Register!$B$3:$E$1409,6,FALSE)</f>
        <v>#REF!</v>
      </c>
      <c r="C1166" s="32" t="e">
        <f>VLOOKUP($A1166,Register!$B$3:$E$1409,7,FALSE)</f>
        <v>#REF!</v>
      </c>
      <c r="D1166" s="32" t="e">
        <f>VLOOKUP($A1166,Register!$B$3:$E$1409,8,FALSE)</f>
        <v>#REF!</v>
      </c>
      <c r="E1166" s="34" t="s">
        <v>5339</v>
      </c>
    </row>
    <row r="1167" spans="1:5" x14ac:dyDescent="0.25">
      <c r="A1167" s="33" t="str" cm="1">
        <f t="array" ref="A1167">IFERROR(INDEX(Register!$B$3:$B$1409,ROW(),0), "")</f>
        <v>Sento Solutions</v>
      </c>
      <c r="B1167" s="32" t="e">
        <f>VLOOKUP($A1167,Register!$B$3:$E$1409,6,FALSE)</f>
        <v>#REF!</v>
      </c>
      <c r="C1167" s="32" t="e">
        <f>VLOOKUP($A1167,Register!$B$3:$E$1409,7,FALSE)</f>
        <v>#REF!</v>
      </c>
      <c r="D1167" s="32" t="e">
        <f>VLOOKUP($A1167,Register!$B$3:$E$1409,8,FALSE)</f>
        <v>#REF!</v>
      </c>
      <c r="E1167" s="34" t="s">
        <v>5339</v>
      </c>
    </row>
    <row r="1168" spans="1:5" x14ac:dyDescent="0.25">
      <c r="A1168" s="33" t="str" cm="1">
        <f t="array" ref="A1168">IFERROR(INDEX(Register!$B$3:$B$1409,ROW(),0), "")</f>
        <v>Minivalve International</v>
      </c>
      <c r="B1168" s="32" t="e">
        <f>VLOOKUP($A1168,Register!$B$3:$E$1409,6,FALSE)</f>
        <v>#REF!</v>
      </c>
      <c r="C1168" s="32" t="e">
        <f>VLOOKUP($A1168,Register!$B$3:$E$1409,7,FALSE)</f>
        <v>#REF!</v>
      </c>
      <c r="D1168" s="32" t="e">
        <f>VLOOKUP($A1168,Register!$B$3:$E$1409,8,FALSE)</f>
        <v>#REF!</v>
      </c>
      <c r="E1168" s="34" t="s">
        <v>5339</v>
      </c>
    </row>
    <row r="1169" spans="1:5" x14ac:dyDescent="0.25">
      <c r="A1169" s="33" t="str" cm="1">
        <f t="array" ref="A1169">IFERROR(INDEX(Register!$B$3:$B$1409,ROW(),0), "")</f>
        <v>O'Keefe Controls Co</v>
      </c>
      <c r="B1169" s="32" t="e">
        <f>VLOOKUP($A1169,Register!$B$3:$E$1409,6,FALSE)</f>
        <v>#REF!</v>
      </c>
      <c r="C1169" s="32" t="e">
        <f>VLOOKUP($A1169,Register!$B$3:$E$1409,7,FALSE)</f>
        <v>#REF!</v>
      </c>
      <c r="D1169" s="32" t="e">
        <f>VLOOKUP($A1169,Register!$B$3:$E$1409,8,FALSE)</f>
        <v>#REF!</v>
      </c>
      <c r="E1169" s="34" t="s">
        <v>5339</v>
      </c>
    </row>
    <row r="1170" spans="1:5" x14ac:dyDescent="0.25">
      <c r="A1170" s="33" t="str" cm="1">
        <f t="array" ref="A1170">IFERROR(INDEX(Register!$B$3:$B$1409,ROW(),0), "")</f>
        <v>Million Monkeys</v>
      </c>
      <c r="B1170" s="32" t="e">
        <f>VLOOKUP($A1170,Register!$B$3:$E$1409,6,FALSE)</f>
        <v>#REF!</v>
      </c>
      <c r="C1170" s="32" t="e">
        <f>VLOOKUP($A1170,Register!$B$3:$E$1409,7,FALSE)</f>
        <v>#REF!</v>
      </c>
      <c r="D1170" s="32" t="e">
        <f>VLOOKUP($A1170,Register!$B$3:$E$1409,8,FALSE)</f>
        <v>#REF!</v>
      </c>
      <c r="E1170" s="34" t="s">
        <v>5339</v>
      </c>
    </row>
    <row r="1171" spans="1:5" x14ac:dyDescent="0.25">
      <c r="A1171" s="33" t="str" cm="1">
        <f t="array" ref="A1171">IFERROR(INDEX(Register!$B$3:$B$1409,ROW(),0), "")</f>
        <v>Audax Inc.</v>
      </c>
      <c r="B1171" s="32" t="e">
        <f>VLOOKUP($A1171,Register!$B$3:$E$1409,6,FALSE)</f>
        <v>#REF!</v>
      </c>
      <c r="C1171" s="32" t="e">
        <f>VLOOKUP($A1171,Register!$B$3:$E$1409,7,FALSE)</f>
        <v>#REF!</v>
      </c>
      <c r="D1171" s="32" t="e">
        <f>VLOOKUP($A1171,Register!$B$3:$E$1409,8,FALSE)</f>
        <v>#REF!</v>
      </c>
      <c r="E1171" s="34" t="s">
        <v>5339</v>
      </c>
    </row>
    <row r="1172" spans="1:5" x14ac:dyDescent="0.25">
      <c r="A1172" s="33" t="str" cm="1">
        <f t="array" ref="A1172">IFERROR(INDEX(Register!$B$3:$B$1409,ROW(),0), "")</f>
        <v>Aditya Pharma</v>
      </c>
      <c r="B1172" s="32" t="e">
        <f>VLOOKUP($A1172,Register!$B$3:$E$1409,6,FALSE)</f>
        <v>#REF!</v>
      </c>
      <c r="C1172" s="32" t="e">
        <f>VLOOKUP($A1172,Register!$B$3:$E$1409,7,FALSE)</f>
        <v>#REF!</v>
      </c>
      <c r="D1172" s="32" t="e">
        <f>VLOOKUP($A1172,Register!$B$3:$E$1409,8,FALSE)</f>
        <v>#REF!</v>
      </c>
      <c r="E1172" s="34" t="s">
        <v>5339</v>
      </c>
    </row>
    <row r="1173" spans="1:5" x14ac:dyDescent="0.25">
      <c r="A1173" s="33" t="str" cm="1">
        <f t="array" ref="A1173">IFERROR(INDEX(Register!$B$3:$B$1409,ROW(),0), "")</f>
        <v>Gelmec Pty Ltd</v>
      </c>
      <c r="B1173" s="32" t="e">
        <f>VLOOKUP($A1173,Register!$B$3:$E$1409,6,FALSE)</f>
        <v>#REF!</v>
      </c>
      <c r="C1173" s="32" t="e">
        <f>VLOOKUP($A1173,Register!$B$3:$E$1409,7,FALSE)</f>
        <v>#REF!</v>
      </c>
      <c r="D1173" s="32" t="e">
        <f>VLOOKUP($A1173,Register!$B$3:$E$1409,8,FALSE)</f>
        <v>#REF!</v>
      </c>
      <c r="E1173" s="34" t="s">
        <v>5339</v>
      </c>
    </row>
    <row r="1174" spans="1:5" x14ac:dyDescent="0.25">
      <c r="A1174" s="33" t="str" cm="1">
        <f t="array" ref="A1174">IFERROR(INDEX(Register!$B$3:$B$1409,ROW(),0), "")</f>
        <v>Sorbothane Inc</v>
      </c>
      <c r="B1174" s="32" t="e">
        <f>VLOOKUP($A1174,Register!$B$3:$E$1409,6,FALSE)</f>
        <v>#REF!</v>
      </c>
      <c r="C1174" s="32" t="e">
        <f>VLOOKUP($A1174,Register!$B$3:$E$1409,7,FALSE)</f>
        <v>#REF!</v>
      </c>
      <c r="D1174" s="32" t="e">
        <f>VLOOKUP($A1174,Register!$B$3:$E$1409,8,FALSE)</f>
        <v>#REF!</v>
      </c>
      <c r="E1174" s="34" t="s">
        <v>5339</v>
      </c>
    </row>
    <row r="1175" spans="1:5" x14ac:dyDescent="0.25">
      <c r="A1175" s="33" t="str" cm="1">
        <f t="array" ref="A1175">IFERROR(INDEX(Register!$B$3:$B$1409,ROW(),0), "")</f>
        <v>AMC Mecanocaucho</v>
      </c>
      <c r="B1175" s="32" t="e">
        <f>VLOOKUP($A1175,Register!$B$3:$E$1409,6,FALSE)</f>
        <v>#REF!</v>
      </c>
      <c r="C1175" s="32" t="e">
        <f>VLOOKUP($A1175,Register!$B$3:$E$1409,7,FALSE)</f>
        <v>#REF!</v>
      </c>
      <c r="D1175" s="32" t="e">
        <f>VLOOKUP($A1175,Register!$B$3:$E$1409,8,FALSE)</f>
        <v>#REF!</v>
      </c>
      <c r="E1175" s="34" t="s">
        <v>5339</v>
      </c>
    </row>
    <row r="1176" spans="1:5" x14ac:dyDescent="0.25">
      <c r="A1176" s="33" t="str" cm="1">
        <f t="array" ref="A1176">IFERROR(INDEX(Register!$B$3:$B$1409,ROW(),0), "")</f>
        <v>Radar Enviromental</v>
      </c>
      <c r="B1176" s="32" t="e">
        <f>VLOOKUP($A1176,Register!$B$3:$E$1409,6,FALSE)</f>
        <v>#REF!</v>
      </c>
      <c r="C1176" s="32" t="e">
        <f>VLOOKUP($A1176,Register!$B$3:$E$1409,7,FALSE)</f>
        <v>#REF!</v>
      </c>
      <c r="D1176" s="32" t="e">
        <f>VLOOKUP($A1176,Register!$B$3:$E$1409,8,FALSE)</f>
        <v>#REF!</v>
      </c>
      <c r="E1176" s="34" t="s">
        <v>5339</v>
      </c>
    </row>
    <row r="1177" spans="1:5" x14ac:dyDescent="0.25">
      <c r="A1177" s="33" t="str" cm="1">
        <f t="array" ref="A1177">IFERROR(INDEX(Register!$B$3:$B$1409,ROW(),0), "")</f>
        <v>WASTE MANAGEMENT/WM ENVIROSERV</v>
      </c>
      <c r="B1177" s="32" t="e">
        <f>VLOOKUP($A1177,Register!$B$3:$E$1409,6,FALSE)</f>
        <v>#REF!</v>
      </c>
      <c r="C1177" s="32" t="e">
        <f>VLOOKUP($A1177,Register!$B$3:$E$1409,7,FALSE)</f>
        <v>#REF!</v>
      </c>
      <c r="D1177" s="32" t="e">
        <f>VLOOKUP($A1177,Register!$B$3:$E$1409,8,FALSE)</f>
        <v>#REF!</v>
      </c>
      <c r="E1177" s="34" t="s">
        <v>5339</v>
      </c>
    </row>
    <row r="1178" spans="1:5" x14ac:dyDescent="0.25">
      <c r="A1178" s="33" t="str" cm="1">
        <f t="array" ref="A1178">IFERROR(INDEX(Register!$B$3:$B$1409,ROW(),0), "")</f>
        <v>Battery Solutions (Cirba Solutions)</v>
      </c>
      <c r="B1178" s="32" t="e">
        <f>VLOOKUP($A1178,Register!$B$3:$E$1409,6,FALSE)</f>
        <v>#REF!</v>
      </c>
      <c r="C1178" s="32" t="e">
        <f>VLOOKUP($A1178,Register!$B$3:$E$1409,7,FALSE)</f>
        <v>#REF!</v>
      </c>
      <c r="D1178" s="32" t="e">
        <f>VLOOKUP($A1178,Register!$B$3:$E$1409,8,FALSE)</f>
        <v>#REF!</v>
      </c>
      <c r="E1178" s="34" t="s">
        <v>5339</v>
      </c>
    </row>
    <row r="1179" spans="1:5" x14ac:dyDescent="0.25">
      <c r="A1179" s="33" t="str" cm="1">
        <f t="array" ref="A1179">IFERROR(INDEX(Register!$B$3:$B$1409,ROW(),0), "")</f>
        <v>PURETEC INDUSTRIAL WATER</v>
      </c>
      <c r="B1179" s="32" t="e">
        <f>VLOOKUP($A1179,Register!$B$3:$E$1409,6,FALSE)</f>
        <v>#REF!</v>
      </c>
      <c r="C1179" s="32" t="e">
        <f>VLOOKUP($A1179,Register!$B$3:$E$1409,7,FALSE)</f>
        <v>#REF!</v>
      </c>
      <c r="D1179" s="32" t="e">
        <f>VLOOKUP($A1179,Register!$B$3:$E$1409,8,FALSE)</f>
        <v>#REF!</v>
      </c>
      <c r="E1179" s="34" t="s">
        <v>5339</v>
      </c>
    </row>
    <row r="1180" spans="1:5" x14ac:dyDescent="0.25">
      <c r="A1180" s="33" t="str" cm="1">
        <f t="array" ref="A1180">IFERROR(INDEX(Register!$B$3:$B$1409,ROW(),0), "")</f>
        <v>Antenova</v>
      </c>
      <c r="B1180" s="32" t="e">
        <f>VLOOKUP($A1180,Register!$B$3:$E$1409,6,FALSE)</f>
        <v>#REF!</v>
      </c>
      <c r="C1180" s="32" t="e">
        <f>VLOOKUP($A1180,Register!$B$3:$E$1409,7,FALSE)</f>
        <v>#REF!</v>
      </c>
      <c r="D1180" s="32" t="e">
        <f>VLOOKUP($A1180,Register!$B$3:$E$1409,8,FALSE)</f>
        <v>#REF!</v>
      </c>
      <c r="E1180" s="34" t="s">
        <v>5339</v>
      </c>
    </row>
    <row r="1181" spans="1:5" x14ac:dyDescent="0.25">
      <c r="A1181" s="33" t="str" cm="1">
        <f t="array" ref="A1181">IFERROR(INDEX(Register!$B$3:$B$1409,ROW(),0), "")</f>
        <v>Bobbintron Electronics</v>
      </c>
      <c r="B1181" s="32" t="e">
        <f>VLOOKUP($A1181,Register!$B$3:$E$1409,6,FALSE)</f>
        <v>#REF!</v>
      </c>
      <c r="C1181" s="32" t="e">
        <f>VLOOKUP($A1181,Register!$B$3:$E$1409,7,FALSE)</f>
        <v>#REF!</v>
      </c>
      <c r="D1181" s="32" t="e">
        <f>VLOOKUP($A1181,Register!$B$3:$E$1409,8,FALSE)</f>
        <v>#REF!</v>
      </c>
      <c r="E1181" s="34" t="s">
        <v>5339</v>
      </c>
    </row>
    <row r="1182" spans="1:5" x14ac:dyDescent="0.25">
      <c r="A1182" s="33" t="str" cm="1">
        <f t="array" ref="A1182">IFERROR(INDEX(Register!$B$3:$B$1409,ROW(),0), "")</f>
        <v>Data Alliance Inc</v>
      </c>
      <c r="B1182" s="32" t="e">
        <f>VLOOKUP($A1182,Register!$B$3:$E$1409,6,FALSE)</f>
        <v>#REF!</v>
      </c>
      <c r="C1182" s="32" t="e">
        <f>VLOOKUP($A1182,Register!$B$3:$E$1409,7,FALSE)</f>
        <v>#REF!</v>
      </c>
      <c r="D1182" s="32" t="e">
        <f>VLOOKUP($A1182,Register!$B$3:$E$1409,8,FALSE)</f>
        <v>#REF!</v>
      </c>
      <c r="E1182" s="34" t="s">
        <v>5339</v>
      </c>
    </row>
    <row r="1183" spans="1:5" x14ac:dyDescent="0.25">
      <c r="A1183" s="33" t="str" cm="1">
        <f t="array" ref="A1183">IFERROR(INDEX(Register!$B$3:$B$1409,ROW(),0), "")</f>
        <v>Joymax Electronics Co. Ltd</v>
      </c>
      <c r="B1183" s="32" t="e">
        <f>VLOOKUP($A1183,Register!$B$3:$E$1409,6,FALSE)</f>
        <v>#REF!</v>
      </c>
      <c r="C1183" s="32" t="e">
        <f>VLOOKUP($A1183,Register!$B$3:$E$1409,7,FALSE)</f>
        <v>#REF!</v>
      </c>
      <c r="D1183" s="32" t="e">
        <f>VLOOKUP($A1183,Register!$B$3:$E$1409,8,FALSE)</f>
        <v>#REF!</v>
      </c>
      <c r="E1183" s="34" t="s">
        <v>5339</v>
      </c>
    </row>
    <row r="1184" spans="1:5" x14ac:dyDescent="0.25">
      <c r="A1184" s="33" t="str" cm="1">
        <f t="array" ref="A1184">IFERROR(INDEX(Register!$B$3:$B$1409,ROW(),0), "")</f>
        <v>H &amp; E Equipment</v>
      </c>
      <c r="B1184" s="32" t="e">
        <f>VLOOKUP($A1184,Register!$B$3:$E$1409,6,FALSE)</f>
        <v>#REF!</v>
      </c>
      <c r="C1184" s="32" t="e">
        <f>VLOOKUP($A1184,Register!$B$3:$E$1409,7,FALSE)</f>
        <v>#REF!</v>
      </c>
      <c r="D1184" s="32" t="e">
        <f>VLOOKUP($A1184,Register!$B$3:$E$1409,8,FALSE)</f>
        <v>#REF!</v>
      </c>
      <c r="E1184" s="34" t="s">
        <v>5339</v>
      </c>
    </row>
    <row r="1185" spans="1:5" x14ac:dyDescent="0.25">
      <c r="A1185" s="33" t="str" cm="1">
        <f t="array" ref="A1185">IFERROR(INDEX(Register!$B$3:$B$1409,ROW(),0), "")</f>
        <v>Carlisle Medical Technologies LLC</v>
      </c>
      <c r="B1185" s="32" t="e">
        <f>VLOOKUP($A1185,Register!$B$3:$E$1409,6,FALSE)</f>
        <v>#REF!</v>
      </c>
      <c r="C1185" s="32" t="e">
        <f>VLOOKUP($A1185,Register!$B$3:$E$1409,7,FALSE)</f>
        <v>#REF!</v>
      </c>
      <c r="D1185" s="32" t="e">
        <f>VLOOKUP($A1185,Register!$B$3:$E$1409,8,FALSE)</f>
        <v>#REF!</v>
      </c>
      <c r="E1185" s="34" t="s">
        <v>5339</v>
      </c>
    </row>
    <row r="1186" spans="1:5" x14ac:dyDescent="0.25">
      <c r="A1186" s="33" t="str" cm="1">
        <f t="array" ref="A1186">IFERROR(INDEX(Register!$B$3:$B$1409,ROW(),0), "")</f>
        <v>Chemiko Pty Ltd</v>
      </c>
      <c r="B1186" s="32" t="e">
        <f>VLOOKUP($A1186,Register!$B$3:$E$1409,6,FALSE)</f>
        <v>#REF!</v>
      </c>
      <c r="C1186" s="32" t="e">
        <f>VLOOKUP($A1186,Register!$B$3:$E$1409,7,FALSE)</f>
        <v>#REF!</v>
      </c>
      <c r="D1186" s="32" t="e">
        <f>VLOOKUP($A1186,Register!$B$3:$E$1409,8,FALSE)</f>
        <v>#REF!</v>
      </c>
      <c r="E1186" s="34" t="s">
        <v>5339</v>
      </c>
    </row>
    <row r="1187" spans="1:5" x14ac:dyDescent="0.25">
      <c r="A1187" s="33" t="str" cm="1">
        <f t="array" ref="A1187">IFERROR(INDEX(Register!$B$3:$B$1409,ROW(),0), "")</f>
        <v>Compliance Online</v>
      </c>
      <c r="B1187" s="32" t="e">
        <f>VLOOKUP($A1187,Register!$B$3:$E$1409,6,FALSE)</f>
        <v>#REF!</v>
      </c>
      <c r="C1187" s="32" t="e">
        <f>VLOOKUP($A1187,Register!$B$3:$E$1409,7,FALSE)</f>
        <v>#REF!</v>
      </c>
      <c r="D1187" s="32" t="e">
        <f>VLOOKUP($A1187,Register!$B$3:$E$1409,8,FALSE)</f>
        <v>#REF!</v>
      </c>
      <c r="E1187" s="34" t="s">
        <v>5339</v>
      </c>
    </row>
    <row r="1188" spans="1:5" x14ac:dyDescent="0.25">
      <c r="A1188" s="33" t="str" cm="1">
        <f t="array" ref="A1188">IFERROR(INDEX(Register!$B$3:$B$1409,ROW(),0), "")</f>
        <v>GLOBAL INDUSTRIAL</v>
      </c>
      <c r="B1188" s="32" t="e">
        <f>VLOOKUP($A1188,Register!$B$3:$E$1409,6,FALSE)</f>
        <v>#REF!</v>
      </c>
      <c r="C1188" s="32" t="e">
        <f>VLOOKUP($A1188,Register!$B$3:$E$1409,7,FALSE)</f>
        <v>#REF!</v>
      </c>
      <c r="D1188" s="32" t="e">
        <f>VLOOKUP($A1188,Register!$B$3:$E$1409,8,FALSE)</f>
        <v>#REF!</v>
      </c>
      <c r="E1188" s="34" t="s">
        <v>5339</v>
      </c>
    </row>
    <row r="1189" spans="1:5" x14ac:dyDescent="0.25">
      <c r="A1189" s="33" t="str" cm="1">
        <f t="array" ref="A1189">IFERROR(INDEX(Register!$B$3:$B$1409,ROW(),0), "")</f>
        <v>INSTRUMENT ENGINEERS</v>
      </c>
      <c r="B1189" s="32" t="e">
        <f>VLOOKUP($A1189,Register!$B$3:$E$1409,6,FALSE)</f>
        <v>#REF!</v>
      </c>
      <c r="C1189" s="32" t="e">
        <f>VLOOKUP($A1189,Register!$B$3:$E$1409,7,FALSE)</f>
        <v>#REF!</v>
      </c>
      <c r="D1189" s="32" t="e">
        <f>VLOOKUP($A1189,Register!$B$3:$E$1409,8,FALSE)</f>
        <v>#REF!</v>
      </c>
      <c r="E1189" s="34" t="s">
        <v>5339</v>
      </c>
    </row>
    <row r="1190" spans="1:5" x14ac:dyDescent="0.25">
      <c r="A1190" s="33" t="str" cm="1">
        <f t="array" ref="A1190">IFERROR(INDEX(Register!$B$3:$B$1409,ROW(),0), "")</f>
        <v>IRON MOUNTAIN</v>
      </c>
      <c r="B1190" s="32" t="e">
        <f>VLOOKUP($A1190,Register!$B$3:$E$1409,6,FALSE)</f>
        <v>#REF!</v>
      </c>
      <c r="C1190" s="32" t="e">
        <f>VLOOKUP($A1190,Register!$B$3:$E$1409,7,FALSE)</f>
        <v>#REF!</v>
      </c>
      <c r="D1190" s="32" t="e">
        <f>VLOOKUP($A1190,Register!$B$3:$E$1409,8,FALSE)</f>
        <v>#REF!</v>
      </c>
      <c r="E1190" s="34" t="s">
        <v>5339</v>
      </c>
    </row>
    <row r="1191" spans="1:5" x14ac:dyDescent="0.25">
      <c r="A1191" s="33" t="str" cm="1">
        <f t="array" ref="A1191">IFERROR(INDEX(Register!$B$3:$B$1409,ROW(),0), "")</f>
        <v>Laboratory Systems Group</v>
      </c>
      <c r="B1191" s="32" t="e">
        <f>VLOOKUP($A1191,Register!$B$3:$E$1409,6,FALSE)</f>
        <v>#REF!</v>
      </c>
      <c r="C1191" s="32" t="e">
        <f>VLOOKUP($A1191,Register!$B$3:$E$1409,7,FALSE)</f>
        <v>#REF!</v>
      </c>
      <c r="D1191" s="32" t="e">
        <f>VLOOKUP($A1191,Register!$B$3:$E$1409,8,FALSE)</f>
        <v>#REF!</v>
      </c>
      <c r="E1191" s="34" t="s">
        <v>5339</v>
      </c>
    </row>
    <row r="1192" spans="1:5" x14ac:dyDescent="0.25">
      <c r="A1192" s="33" t="str" cm="1">
        <f t="array" ref="A1192">IFERROR(INDEX(Register!$B$3:$B$1409,ROW(),0), "")</f>
        <v>Online Components</v>
      </c>
      <c r="B1192" s="32" t="e">
        <f>VLOOKUP($A1192,Register!$B$3:$E$1409,6,FALSE)</f>
        <v>#REF!</v>
      </c>
      <c r="C1192" s="32" t="e">
        <f>VLOOKUP($A1192,Register!$B$3:$E$1409,7,FALSE)</f>
        <v>#REF!</v>
      </c>
      <c r="D1192" s="32" t="e">
        <f>VLOOKUP($A1192,Register!$B$3:$E$1409,8,FALSE)</f>
        <v>#REF!</v>
      </c>
      <c r="E1192" s="34" t="s">
        <v>5339</v>
      </c>
    </row>
    <row r="1193" spans="1:5" x14ac:dyDescent="0.25">
      <c r="A1193" s="33" t="str" cm="1">
        <f t="array" ref="A1193">IFERROR(INDEX(Register!$B$3:$B$1409,ROW(),0), "")</f>
        <v>Promepla Sam</v>
      </c>
      <c r="B1193" s="32" t="e">
        <f>VLOOKUP($A1193,Register!$B$3:$E$1409,6,FALSE)</f>
        <v>#REF!</v>
      </c>
      <c r="C1193" s="32" t="e">
        <f>VLOOKUP($A1193,Register!$B$3:$E$1409,7,FALSE)</f>
        <v>#REF!</v>
      </c>
      <c r="D1193" s="32" t="e">
        <f>VLOOKUP($A1193,Register!$B$3:$E$1409,8,FALSE)</f>
        <v>#REF!</v>
      </c>
      <c r="E1193" s="34" t="s">
        <v>5339</v>
      </c>
    </row>
    <row r="1194" spans="1:5" x14ac:dyDescent="0.25">
      <c r="A1194" s="33" t="str" cm="1">
        <f t="array" ref="A1194">IFERROR(INDEX(Register!$B$3:$B$1409,ROW(),0), "")</f>
        <v>QUICK SIGNS</v>
      </c>
      <c r="B1194" s="32" t="e">
        <f>VLOOKUP($A1194,Register!$B$3:$E$1409,6,FALSE)</f>
        <v>#REF!</v>
      </c>
      <c r="C1194" s="32" t="e">
        <f>VLOOKUP($A1194,Register!$B$3:$E$1409,7,FALSE)</f>
        <v>#REF!</v>
      </c>
      <c r="D1194" s="32" t="e">
        <f>VLOOKUP($A1194,Register!$B$3:$E$1409,8,FALSE)</f>
        <v>#REF!</v>
      </c>
      <c r="E1194" s="34" t="s">
        <v>5339</v>
      </c>
    </row>
    <row r="1195" spans="1:5" x14ac:dyDescent="0.25">
      <c r="A1195" s="33" t="str" cm="1">
        <f t="array" ref="A1195">IFERROR(INDEX(Register!$B$3:$B$1409,ROW(),0), "")</f>
        <v>R.S. Hughes</v>
      </c>
      <c r="B1195" s="32" t="e">
        <f>VLOOKUP($A1195,Register!$B$3:$E$1409,6,FALSE)</f>
        <v>#REF!</v>
      </c>
      <c r="C1195" s="32" t="e">
        <f>VLOOKUP($A1195,Register!$B$3:$E$1409,7,FALSE)</f>
        <v>#REF!</v>
      </c>
      <c r="D1195" s="32" t="e">
        <f>VLOOKUP($A1195,Register!$B$3:$E$1409,8,FALSE)</f>
        <v>#REF!</v>
      </c>
      <c r="E1195" s="34" t="s">
        <v>5339</v>
      </c>
    </row>
    <row r="1196" spans="1:5" x14ac:dyDescent="0.25">
      <c r="A1196" s="33" t="str" cm="1">
        <f t="array" ref="A1196">IFERROR(INDEX(Register!$B$3:$B$1409,ROW(),0), "")</f>
        <v>Signal+Power</v>
      </c>
      <c r="B1196" s="32" t="e">
        <f>VLOOKUP($A1196,Register!$B$3:$E$1409,6,FALSE)</f>
        <v>#REF!</v>
      </c>
      <c r="C1196" s="32" t="e">
        <f>VLOOKUP($A1196,Register!$B$3:$E$1409,7,FALSE)</f>
        <v>#REF!</v>
      </c>
      <c r="D1196" s="32" t="e">
        <f>VLOOKUP($A1196,Register!$B$3:$E$1409,8,FALSE)</f>
        <v>#REF!</v>
      </c>
      <c r="E1196" s="34" t="s">
        <v>5339</v>
      </c>
    </row>
    <row r="1197" spans="1:5" x14ac:dyDescent="0.25">
      <c r="A1197" s="33" t="str" cm="1">
        <f t="array" ref="A1197">IFERROR(INDEX(Register!$B$3:$B$1409,ROW(),0), "")</f>
        <v>Stockwell Elastomerics Inc</v>
      </c>
      <c r="B1197" s="32" t="e">
        <f>VLOOKUP($A1197,Register!$B$3:$E$1409,6,FALSE)</f>
        <v>#REF!</v>
      </c>
      <c r="C1197" s="32" t="e">
        <f>VLOOKUP($A1197,Register!$B$3:$E$1409,7,FALSE)</f>
        <v>#REF!</v>
      </c>
      <c r="D1197" s="32" t="e">
        <f>VLOOKUP($A1197,Register!$B$3:$E$1409,8,FALSE)</f>
        <v>#REF!</v>
      </c>
      <c r="E1197" s="34" t="s">
        <v>5339</v>
      </c>
    </row>
    <row r="1198" spans="1:5" x14ac:dyDescent="0.25">
      <c r="A1198" s="33" t="str" cm="1">
        <f t="array" ref="A1198">IFERROR(INDEX(Register!$B$3:$B$1409,ROW(),0), "")</f>
        <v>TCI Manufacturing Inc - Wescon USA</v>
      </c>
      <c r="B1198" s="32" t="e">
        <f>VLOOKUP($A1198,Register!$B$3:$E$1409,6,FALSE)</f>
        <v>#REF!</v>
      </c>
      <c r="C1198" s="32" t="e">
        <f>VLOOKUP($A1198,Register!$B$3:$E$1409,7,FALSE)</f>
        <v>#REF!</v>
      </c>
      <c r="D1198" s="32" t="e">
        <f>VLOOKUP($A1198,Register!$B$3:$E$1409,8,FALSE)</f>
        <v>#REF!</v>
      </c>
      <c r="E1198" s="34" t="s">
        <v>5339</v>
      </c>
    </row>
    <row r="1199" spans="1:5" x14ac:dyDescent="0.25">
      <c r="A1199" s="33" t="str" cm="1">
        <f t="array" ref="A1199">IFERROR(INDEX(Register!$B$3:$B$1409,ROW(),0), "")</f>
        <v>TDM PROPERTIES, LLC</v>
      </c>
      <c r="B1199" s="32" t="e">
        <f>VLOOKUP($A1199,Register!$B$3:$E$1409,6,FALSE)</f>
        <v>#REF!</v>
      </c>
      <c r="C1199" s="32" t="e">
        <f>VLOOKUP($A1199,Register!$B$3:$E$1409,7,FALSE)</f>
        <v>#REF!</v>
      </c>
      <c r="D1199" s="32" t="e">
        <f>VLOOKUP($A1199,Register!$B$3:$E$1409,8,FALSE)</f>
        <v>#REF!</v>
      </c>
      <c r="E1199" s="34" t="s">
        <v>5339</v>
      </c>
    </row>
    <row r="1200" spans="1:5" x14ac:dyDescent="0.25">
      <c r="A1200" s="33" t="str" cm="1">
        <f t="array" ref="A1200">IFERROR(INDEX(Register!$B$3:$B$1409,ROW(),0), "")</f>
        <v>TE Technology Inc</v>
      </c>
      <c r="B1200" s="32" t="e">
        <f>VLOOKUP($A1200,Register!$B$3:$E$1409,6,FALSE)</f>
        <v>#REF!</v>
      </c>
      <c r="C1200" s="32" t="e">
        <f>VLOOKUP($A1200,Register!$B$3:$E$1409,7,FALSE)</f>
        <v>#REF!</v>
      </c>
      <c r="D1200" s="32" t="e">
        <f>VLOOKUP($A1200,Register!$B$3:$E$1409,8,FALSE)</f>
        <v>#REF!</v>
      </c>
      <c r="E1200" s="34" t="s">
        <v>5339</v>
      </c>
    </row>
    <row r="1201" spans="1:5" x14ac:dyDescent="0.25">
      <c r="A1201" s="33" cm="1">
        <f t="array" ref="A1201">IFERROR(INDEX(Register!$B$3:$B$1409,ROW(),0), "")</f>
        <v>0</v>
      </c>
      <c r="B1201" s="32" t="e">
        <f>VLOOKUP($A1201,Register!$B$3:$E$1409,6,FALSE)</f>
        <v>#N/A</v>
      </c>
      <c r="C1201" s="32" t="e">
        <f>VLOOKUP($A1201,Register!$B$3:$E$1409,7,FALSE)</f>
        <v>#N/A</v>
      </c>
      <c r="D1201" s="32" t="e">
        <f>VLOOKUP($A1201,Register!$B$3:$E$1409,8,FALSE)</f>
        <v>#N/A</v>
      </c>
      <c r="E1201" s="34" t="s">
        <v>5339</v>
      </c>
    </row>
    <row r="1202" spans="1:5" x14ac:dyDescent="0.25">
      <c r="A1202" s="33" cm="1">
        <f t="array" ref="A1202">IFERROR(INDEX(Register!$B$3:$B$1409,ROW(),0), "")</f>
        <v>0</v>
      </c>
      <c r="B1202" s="32" t="e">
        <f>VLOOKUP($A1202,Register!$B$3:$E$1409,6,FALSE)</f>
        <v>#N/A</v>
      </c>
      <c r="C1202" s="32" t="e">
        <f>VLOOKUP($A1202,Register!$B$3:$E$1409,7,FALSE)</f>
        <v>#N/A</v>
      </c>
      <c r="D1202" s="32" t="e">
        <f>VLOOKUP($A1202,Register!$B$3:$E$1409,8,FALSE)</f>
        <v>#N/A</v>
      </c>
      <c r="E1202" s="34" t="s">
        <v>5339</v>
      </c>
    </row>
    <row r="1203" spans="1:5" x14ac:dyDescent="0.25">
      <c r="A1203" s="33" cm="1">
        <f t="array" ref="A1203">IFERROR(INDEX(Register!$B$3:$B$1409,ROW(),0), "")</f>
        <v>0</v>
      </c>
      <c r="B1203" s="32" t="e">
        <f>VLOOKUP($A1203,Register!$B$3:$E$1409,6,FALSE)</f>
        <v>#N/A</v>
      </c>
      <c r="C1203" s="32" t="e">
        <f>VLOOKUP($A1203,Register!$B$3:$E$1409,7,FALSE)</f>
        <v>#N/A</v>
      </c>
      <c r="D1203" s="32" t="e">
        <f>VLOOKUP($A1203,Register!$B$3:$E$1409,8,FALSE)</f>
        <v>#N/A</v>
      </c>
      <c r="E1203" s="34" t="s">
        <v>5339</v>
      </c>
    </row>
    <row r="1204" spans="1:5" x14ac:dyDescent="0.25">
      <c r="A1204" s="33" cm="1">
        <f t="array" ref="A1204">IFERROR(INDEX(Register!$B$3:$B$1409,ROW(),0), "")</f>
        <v>0</v>
      </c>
      <c r="B1204" s="32" t="e">
        <f>VLOOKUP($A1204,Register!$B$3:$E$1409,6,FALSE)</f>
        <v>#N/A</v>
      </c>
      <c r="C1204" s="32" t="e">
        <f>VLOOKUP($A1204,Register!$B$3:$E$1409,7,FALSE)</f>
        <v>#N/A</v>
      </c>
      <c r="D1204" s="32" t="e">
        <f>VLOOKUP($A1204,Register!$B$3:$E$1409,8,FALSE)</f>
        <v>#N/A</v>
      </c>
      <c r="E1204" s="34" t="s">
        <v>5339</v>
      </c>
    </row>
    <row r="1205" spans="1:5" x14ac:dyDescent="0.25">
      <c r="A1205" s="33" cm="1">
        <f t="array" ref="A1205">IFERROR(INDEX(Register!$B$3:$B$1409,ROW(),0), "")</f>
        <v>0</v>
      </c>
      <c r="B1205" s="32" t="e">
        <f>VLOOKUP($A1205,Register!$B$3:$E$1409,6,FALSE)</f>
        <v>#N/A</v>
      </c>
      <c r="C1205" s="32" t="e">
        <f>VLOOKUP($A1205,Register!$B$3:$E$1409,7,FALSE)</f>
        <v>#N/A</v>
      </c>
      <c r="D1205" s="32" t="e">
        <f>VLOOKUP($A1205,Register!$B$3:$E$1409,8,FALSE)</f>
        <v>#N/A</v>
      </c>
      <c r="E1205" s="34" t="s">
        <v>5339</v>
      </c>
    </row>
    <row r="1206" spans="1:5" x14ac:dyDescent="0.25">
      <c r="A1206" s="33" cm="1">
        <f t="array" ref="A1206">IFERROR(INDEX(Register!$B$3:$B$1409,ROW(),0), "")</f>
        <v>0</v>
      </c>
      <c r="B1206" s="32" t="e">
        <f>VLOOKUP($A1206,Register!$B$3:$E$1409,6,FALSE)</f>
        <v>#N/A</v>
      </c>
      <c r="C1206" s="32" t="e">
        <f>VLOOKUP($A1206,Register!$B$3:$E$1409,7,FALSE)</f>
        <v>#N/A</v>
      </c>
      <c r="D1206" s="32" t="e">
        <f>VLOOKUP($A1206,Register!$B$3:$E$1409,8,FALSE)</f>
        <v>#N/A</v>
      </c>
      <c r="E1206" s="34" t="s">
        <v>5339</v>
      </c>
    </row>
    <row r="1207" spans="1:5" x14ac:dyDescent="0.25">
      <c r="A1207" s="33" cm="1">
        <f t="array" ref="A1207">IFERROR(INDEX(Register!$B$3:$B$1409,ROW(),0), "")</f>
        <v>0</v>
      </c>
      <c r="B1207" s="32" t="e">
        <f>VLOOKUP($A1207,Register!$B$3:$E$1409,6,FALSE)</f>
        <v>#N/A</v>
      </c>
      <c r="C1207" s="32" t="e">
        <f>VLOOKUP($A1207,Register!$B$3:$E$1409,7,FALSE)</f>
        <v>#N/A</v>
      </c>
      <c r="D1207" s="32" t="e">
        <f>VLOOKUP($A1207,Register!$B$3:$E$1409,8,FALSE)</f>
        <v>#N/A</v>
      </c>
      <c r="E1207" s="34" t="s">
        <v>5339</v>
      </c>
    </row>
    <row r="1208" spans="1:5" x14ac:dyDescent="0.25">
      <c r="A1208" s="33" cm="1">
        <f t="array" ref="A1208">IFERROR(INDEX(Register!$B$3:$B$1409,ROW(),0), "")</f>
        <v>0</v>
      </c>
      <c r="B1208" s="32" t="e">
        <f>VLOOKUP($A1208,Register!$B$3:$E$1409,6,FALSE)</f>
        <v>#N/A</v>
      </c>
      <c r="C1208" s="32" t="e">
        <f>VLOOKUP($A1208,Register!$B$3:$E$1409,7,FALSE)</f>
        <v>#N/A</v>
      </c>
      <c r="D1208" s="32" t="e">
        <f>VLOOKUP($A1208,Register!$B$3:$E$1409,8,FALSE)</f>
        <v>#N/A</v>
      </c>
      <c r="E1208" s="34" t="s">
        <v>5339</v>
      </c>
    </row>
    <row r="1209" spans="1:5" x14ac:dyDescent="0.25">
      <c r="A1209" s="33" cm="1">
        <f t="array" ref="A1209">IFERROR(INDEX(Register!$B$3:$B$1409,ROW(),0), "")</f>
        <v>0</v>
      </c>
      <c r="B1209" s="32" t="e">
        <f>VLOOKUP($A1209,Register!$B$3:$E$1409,6,FALSE)</f>
        <v>#N/A</v>
      </c>
      <c r="C1209" s="32" t="e">
        <f>VLOOKUP($A1209,Register!$B$3:$E$1409,7,FALSE)</f>
        <v>#N/A</v>
      </c>
      <c r="D1209" s="32" t="e">
        <f>VLOOKUP($A1209,Register!$B$3:$E$1409,8,FALSE)</f>
        <v>#N/A</v>
      </c>
      <c r="E1209" s="34" t="s">
        <v>5339</v>
      </c>
    </row>
    <row r="1210" spans="1:5" x14ac:dyDescent="0.25">
      <c r="A1210" s="33" cm="1">
        <f t="array" ref="A1210">IFERROR(INDEX(Register!$B$3:$B$1409,ROW(),0), "")</f>
        <v>0</v>
      </c>
      <c r="B1210" s="32" t="e">
        <f>VLOOKUP($A1210,Register!$B$3:$E$1409,6,FALSE)</f>
        <v>#N/A</v>
      </c>
      <c r="C1210" s="32" t="e">
        <f>VLOOKUP($A1210,Register!$B$3:$E$1409,7,FALSE)</f>
        <v>#N/A</v>
      </c>
      <c r="D1210" s="32" t="e">
        <f>VLOOKUP($A1210,Register!$B$3:$E$1409,8,FALSE)</f>
        <v>#N/A</v>
      </c>
      <c r="E1210" s="34" t="s">
        <v>5339</v>
      </c>
    </row>
    <row r="1211" spans="1:5" x14ac:dyDescent="0.25">
      <c r="A1211" s="33" cm="1">
        <f t="array" ref="A1211">IFERROR(INDEX(Register!$B$3:$B$1409,ROW(),0), "")</f>
        <v>0</v>
      </c>
      <c r="B1211" s="32" t="e">
        <f>VLOOKUP($A1211,Register!$B$3:$E$1409,6,FALSE)</f>
        <v>#N/A</v>
      </c>
      <c r="C1211" s="32" t="e">
        <f>VLOOKUP($A1211,Register!$B$3:$E$1409,7,FALSE)</f>
        <v>#N/A</v>
      </c>
      <c r="D1211" s="32" t="e">
        <f>VLOOKUP($A1211,Register!$B$3:$E$1409,8,FALSE)</f>
        <v>#N/A</v>
      </c>
      <c r="E1211" s="34" t="s">
        <v>5339</v>
      </c>
    </row>
    <row r="1212" spans="1:5" x14ac:dyDescent="0.25">
      <c r="A1212" s="33" cm="1">
        <f t="array" ref="A1212">IFERROR(INDEX(Register!$B$3:$B$1409,ROW(),0), "")</f>
        <v>0</v>
      </c>
      <c r="B1212" s="32" t="e">
        <f>VLOOKUP($A1212,Register!$B$3:$E$1409,6,FALSE)</f>
        <v>#N/A</v>
      </c>
      <c r="C1212" s="32" t="e">
        <f>VLOOKUP($A1212,Register!$B$3:$E$1409,7,FALSE)</f>
        <v>#N/A</v>
      </c>
      <c r="D1212" s="32" t="e">
        <f>VLOOKUP($A1212,Register!$B$3:$E$1409,8,FALSE)</f>
        <v>#N/A</v>
      </c>
      <c r="E1212" s="34" t="s">
        <v>5339</v>
      </c>
    </row>
    <row r="1213" spans="1:5" x14ac:dyDescent="0.25">
      <c r="A1213" s="33" cm="1">
        <f t="array" ref="A1213">IFERROR(INDEX(Register!$B$3:$B$1409,ROW(),0), "")</f>
        <v>0</v>
      </c>
      <c r="B1213" s="32" t="e">
        <f>VLOOKUP($A1213,Register!$B$3:$E$1409,6,FALSE)</f>
        <v>#N/A</v>
      </c>
      <c r="C1213" s="32" t="e">
        <f>VLOOKUP($A1213,Register!$B$3:$E$1409,7,FALSE)</f>
        <v>#N/A</v>
      </c>
      <c r="D1213" s="32" t="e">
        <f>VLOOKUP($A1213,Register!$B$3:$E$1409,8,FALSE)</f>
        <v>#N/A</v>
      </c>
      <c r="E1213" s="34" t="s">
        <v>5339</v>
      </c>
    </row>
    <row r="1214" spans="1:5" x14ac:dyDescent="0.25">
      <c r="A1214" s="33" cm="1">
        <f t="array" ref="A1214">IFERROR(INDEX(Register!$B$3:$B$1409,ROW(),0), "")</f>
        <v>0</v>
      </c>
      <c r="B1214" s="32" t="e">
        <f>VLOOKUP($A1214,Register!$B$3:$E$1409,6,FALSE)</f>
        <v>#N/A</v>
      </c>
      <c r="C1214" s="32" t="e">
        <f>VLOOKUP($A1214,Register!$B$3:$E$1409,7,FALSE)</f>
        <v>#N/A</v>
      </c>
      <c r="D1214" s="32" t="e">
        <f>VLOOKUP($A1214,Register!$B$3:$E$1409,8,FALSE)</f>
        <v>#N/A</v>
      </c>
      <c r="E1214" s="34" t="s">
        <v>5339</v>
      </c>
    </row>
    <row r="1215" spans="1:5" x14ac:dyDescent="0.25">
      <c r="A1215" s="33" cm="1">
        <f t="array" ref="A1215">IFERROR(INDEX(Register!$B$3:$B$1409,ROW(),0), "")</f>
        <v>0</v>
      </c>
      <c r="B1215" s="32" t="e">
        <f>VLOOKUP($A1215,Register!$B$3:$E$1409,6,FALSE)</f>
        <v>#N/A</v>
      </c>
      <c r="C1215" s="32" t="e">
        <f>VLOOKUP($A1215,Register!$B$3:$E$1409,7,FALSE)</f>
        <v>#N/A</v>
      </c>
      <c r="D1215" s="32" t="e">
        <f>VLOOKUP($A1215,Register!$B$3:$E$1409,8,FALSE)</f>
        <v>#N/A</v>
      </c>
      <c r="E1215" s="34" t="s">
        <v>5339</v>
      </c>
    </row>
    <row r="1216" spans="1:5" x14ac:dyDescent="0.25">
      <c r="A1216" s="33" cm="1">
        <f t="array" ref="A1216">IFERROR(INDEX(Register!$B$3:$B$1409,ROW(),0), "")</f>
        <v>0</v>
      </c>
      <c r="B1216" s="32" t="e">
        <f>VLOOKUP($A1216,Register!$B$3:$E$1409,6,FALSE)</f>
        <v>#N/A</v>
      </c>
      <c r="C1216" s="32" t="e">
        <f>VLOOKUP($A1216,Register!$B$3:$E$1409,7,FALSE)</f>
        <v>#N/A</v>
      </c>
      <c r="D1216" s="32" t="e">
        <f>VLOOKUP($A1216,Register!$B$3:$E$1409,8,FALSE)</f>
        <v>#N/A</v>
      </c>
      <c r="E1216" s="34" t="s">
        <v>5339</v>
      </c>
    </row>
    <row r="1217" spans="1:5" x14ac:dyDescent="0.25">
      <c r="A1217" s="33" cm="1">
        <f t="array" ref="A1217">IFERROR(INDEX(Register!$B$3:$B$1409,ROW(),0), "")</f>
        <v>0</v>
      </c>
      <c r="B1217" s="32" t="e">
        <f>VLOOKUP($A1217,Register!$B$3:$E$1409,6,FALSE)</f>
        <v>#N/A</v>
      </c>
      <c r="C1217" s="32" t="e">
        <f>VLOOKUP($A1217,Register!$B$3:$E$1409,7,FALSE)</f>
        <v>#N/A</v>
      </c>
      <c r="D1217" s="32" t="e">
        <f>VLOOKUP($A1217,Register!$B$3:$E$1409,8,FALSE)</f>
        <v>#N/A</v>
      </c>
      <c r="E1217" s="34" t="s">
        <v>5339</v>
      </c>
    </row>
    <row r="1218" spans="1:5" x14ac:dyDescent="0.25">
      <c r="A1218" s="33" cm="1">
        <f t="array" ref="A1218">IFERROR(INDEX(Register!$B$3:$B$1409,ROW(),0), "")</f>
        <v>0</v>
      </c>
      <c r="B1218" s="32" t="e">
        <f>VLOOKUP($A1218,Register!$B$3:$E$1409,6,FALSE)</f>
        <v>#N/A</v>
      </c>
      <c r="C1218" s="32" t="e">
        <f>VLOOKUP($A1218,Register!$B$3:$E$1409,7,FALSE)</f>
        <v>#N/A</v>
      </c>
      <c r="D1218" s="32" t="e">
        <f>VLOOKUP($A1218,Register!$B$3:$E$1409,8,FALSE)</f>
        <v>#N/A</v>
      </c>
      <c r="E1218" s="34" t="s">
        <v>5339</v>
      </c>
    </row>
    <row r="1219" spans="1:5" x14ac:dyDescent="0.25">
      <c r="A1219" s="33" cm="1">
        <f t="array" ref="A1219">IFERROR(INDEX(Register!$B$3:$B$1409,ROW(),0), "")</f>
        <v>0</v>
      </c>
      <c r="B1219" s="32" t="e">
        <f>VLOOKUP($A1219,Register!$B$3:$E$1409,6,FALSE)</f>
        <v>#N/A</v>
      </c>
      <c r="C1219" s="32" t="e">
        <f>VLOOKUP($A1219,Register!$B$3:$E$1409,7,FALSE)</f>
        <v>#N/A</v>
      </c>
      <c r="D1219" s="32" t="e">
        <f>VLOOKUP($A1219,Register!$B$3:$E$1409,8,FALSE)</f>
        <v>#N/A</v>
      </c>
      <c r="E1219" s="34" t="s">
        <v>5339</v>
      </c>
    </row>
    <row r="1220" spans="1:5" x14ac:dyDescent="0.25">
      <c r="A1220" s="33" cm="1">
        <f t="array" ref="A1220">IFERROR(INDEX(Register!$B$3:$B$1409,ROW(),0), "")</f>
        <v>0</v>
      </c>
      <c r="B1220" s="32" t="e">
        <f>VLOOKUP($A1220,Register!$B$3:$E$1409,6,FALSE)</f>
        <v>#N/A</v>
      </c>
      <c r="C1220" s="32" t="e">
        <f>VLOOKUP($A1220,Register!$B$3:$E$1409,7,FALSE)</f>
        <v>#N/A</v>
      </c>
      <c r="D1220" s="32" t="e">
        <f>VLOOKUP($A1220,Register!$B$3:$E$1409,8,FALSE)</f>
        <v>#N/A</v>
      </c>
      <c r="E1220" s="34" t="s">
        <v>5339</v>
      </c>
    </row>
    <row r="1221" spans="1:5" x14ac:dyDescent="0.25">
      <c r="A1221" s="33" cm="1">
        <f t="array" ref="A1221">IFERROR(INDEX(Register!$B$3:$B$1409,ROW(),0), "")</f>
        <v>0</v>
      </c>
      <c r="B1221" s="32" t="e">
        <f>VLOOKUP($A1221,Register!$B$3:$E$1409,6,FALSE)</f>
        <v>#N/A</v>
      </c>
      <c r="C1221" s="32" t="e">
        <f>VLOOKUP($A1221,Register!$B$3:$E$1409,7,FALSE)</f>
        <v>#N/A</v>
      </c>
      <c r="D1221" s="32" t="e">
        <f>VLOOKUP($A1221,Register!$B$3:$E$1409,8,FALSE)</f>
        <v>#N/A</v>
      </c>
      <c r="E1221" s="34" t="s">
        <v>5339</v>
      </c>
    </row>
    <row r="1222" spans="1:5" x14ac:dyDescent="0.25">
      <c r="A1222" s="33" cm="1">
        <f t="array" ref="A1222">IFERROR(INDEX(Register!$B$3:$B$1409,ROW(),0), "")</f>
        <v>0</v>
      </c>
      <c r="B1222" s="32" t="e">
        <f>VLOOKUP($A1222,Register!$B$3:$E$1409,6,FALSE)</f>
        <v>#N/A</v>
      </c>
      <c r="C1222" s="32" t="e">
        <f>VLOOKUP($A1222,Register!$B$3:$E$1409,7,FALSE)</f>
        <v>#N/A</v>
      </c>
      <c r="D1222" s="32" t="e">
        <f>VLOOKUP($A1222,Register!$B$3:$E$1409,8,FALSE)</f>
        <v>#N/A</v>
      </c>
      <c r="E1222" s="34" t="s">
        <v>5339</v>
      </c>
    </row>
    <row r="1223" spans="1:5" x14ac:dyDescent="0.25">
      <c r="A1223" s="33" cm="1">
        <f t="array" ref="A1223">IFERROR(INDEX(Register!$B$3:$B$1409,ROW(),0), "")</f>
        <v>0</v>
      </c>
      <c r="B1223" s="32" t="e">
        <f>VLOOKUP($A1223,Register!$B$3:$E$1409,6,FALSE)</f>
        <v>#N/A</v>
      </c>
      <c r="C1223" s="32" t="e">
        <f>VLOOKUP($A1223,Register!$B$3:$E$1409,7,FALSE)</f>
        <v>#N/A</v>
      </c>
      <c r="D1223" s="32" t="e">
        <f>VLOOKUP($A1223,Register!$B$3:$E$1409,8,FALSE)</f>
        <v>#N/A</v>
      </c>
      <c r="E1223" s="34" t="s">
        <v>5339</v>
      </c>
    </row>
    <row r="1224" spans="1:5" x14ac:dyDescent="0.25">
      <c r="A1224" s="33" cm="1">
        <f t="array" ref="A1224">IFERROR(INDEX(Register!$B$3:$B$1409,ROW(),0), "")</f>
        <v>0</v>
      </c>
      <c r="B1224" s="32" t="e">
        <f>VLOOKUP($A1224,Register!$B$3:$E$1409,6,FALSE)</f>
        <v>#N/A</v>
      </c>
      <c r="C1224" s="32" t="e">
        <f>VLOOKUP($A1224,Register!$B$3:$E$1409,7,FALSE)</f>
        <v>#N/A</v>
      </c>
      <c r="D1224" s="32" t="e">
        <f>VLOOKUP($A1224,Register!$B$3:$E$1409,8,FALSE)</f>
        <v>#N/A</v>
      </c>
      <c r="E1224" s="34" t="s">
        <v>5339</v>
      </c>
    </row>
    <row r="1225" spans="1:5" x14ac:dyDescent="0.25">
      <c r="A1225" s="33" cm="1">
        <f t="array" ref="A1225">IFERROR(INDEX(Register!$B$3:$B$1409,ROW(),0), "")</f>
        <v>0</v>
      </c>
      <c r="B1225" s="32" t="e">
        <f>VLOOKUP($A1225,Register!$B$3:$E$1409,6,FALSE)</f>
        <v>#N/A</v>
      </c>
      <c r="C1225" s="32" t="e">
        <f>VLOOKUP($A1225,Register!$B$3:$E$1409,7,FALSE)</f>
        <v>#N/A</v>
      </c>
      <c r="D1225" s="32" t="e">
        <f>VLOOKUP($A1225,Register!$B$3:$E$1409,8,FALSE)</f>
        <v>#N/A</v>
      </c>
      <c r="E1225" s="34" t="s">
        <v>5339</v>
      </c>
    </row>
    <row r="1226" spans="1:5" x14ac:dyDescent="0.25">
      <c r="A1226" s="33" cm="1">
        <f t="array" ref="A1226">IFERROR(INDEX(Register!$B$3:$B$1409,ROW(),0), "")</f>
        <v>0</v>
      </c>
      <c r="B1226" s="32" t="e">
        <f>VLOOKUP($A1226,Register!$B$3:$E$1409,6,FALSE)</f>
        <v>#N/A</v>
      </c>
      <c r="C1226" s="32" t="e">
        <f>VLOOKUP($A1226,Register!$B$3:$E$1409,7,FALSE)</f>
        <v>#N/A</v>
      </c>
      <c r="D1226" s="32" t="e">
        <f>VLOOKUP($A1226,Register!$B$3:$E$1409,8,FALSE)</f>
        <v>#N/A</v>
      </c>
      <c r="E1226" s="34" t="s">
        <v>5339</v>
      </c>
    </row>
    <row r="1227" spans="1:5" x14ac:dyDescent="0.25">
      <c r="A1227" s="33" cm="1">
        <f t="array" ref="A1227">IFERROR(INDEX(Register!$B$3:$B$1409,ROW(),0), "")</f>
        <v>0</v>
      </c>
      <c r="B1227" s="32" t="e">
        <f>VLOOKUP($A1227,Register!$B$3:$E$1409,6,FALSE)</f>
        <v>#N/A</v>
      </c>
      <c r="C1227" s="32" t="e">
        <f>VLOOKUP($A1227,Register!$B$3:$E$1409,7,FALSE)</f>
        <v>#N/A</v>
      </c>
      <c r="D1227" s="32" t="e">
        <f>VLOOKUP($A1227,Register!$B$3:$E$1409,8,FALSE)</f>
        <v>#N/A</v>
      </c>
      <c r="E1227" s="34" t="s">
        <v>5339</v>
      </c>
    </row>
    <row r="1228" spans="1:5" x14ac:dyDescent="0.25">
      <c r="A1228" s="33" cm="1">
        <f t="array" ref="A1228">IFERROR(INDEX(Register!$B$3:$B$1409,ROW(),0), "")</f>
        <v>0</v>
      </c>
      <c r="B1228" s="32" t="e">
        <f>VLOOKUP($A1228,Register!$B$3:$E$1409,6,FALSE)</f>
        <v>#N/A</v>
      </c>
      <c r="C1228" s="32" t="e">
        <f>VLOOKUP($A1228,Register!$B$3:$E$1409,7,FALSE)</f>
        <v>#N/A</v>
      </c>
      <c r="D1228" s="32" t="e">
        <f>VLOOKUP($A1228,Register!$B$3:$E$1409,8,FALSE)</f>
        <v>#N/A</v>
      </c>
      <c r="E1228" s="34" t="s">
        <v>5339</v>
      </c>
    </row>
    <row r="1229" spans="1:5" x14ac:dyDescent="0.25">
      <c r="A1229" s="33" cm="1">
        <f t="array" ref="A1229">IFERROR(INDEX(Register!$B$3:$B$1409,ROW(),0), "")</f>
        <v>0</v>
      </c>
      <c r="B1229" s="32" t="e">
        <f>VLOOKUP($A1229,Register!$B$3:$E$1409,6,FALSE)</f>
        <v>#N/A</v>
      </c>
      <c r="C1229" s="32" t="e">
        <f>VLOOKUP($A1229,Register!$B$3:$E$1409,7,FALSE)</f>
        <v>#N/A</v>
      </c>
      <c r="D1229" s="32" t="e">
        <f>VLOOKUP($A1229,Register!$B$3:$E$1409,8,FALSE)</f>
        <v>#N/A</v>
      </c>
      <c r="E1229" s="34" t="s">
        <v>5339</v>
      </c>
    </row>
    <row r="1230" spans="1:5" x14ac:dyDescent="0.25">
      <c r="A1230" s="33" cm="1">
        <f t="array" ref="A1230">IFERROR(INDEX(Register!$B$3:$B$1409,ROW(),0), "")</f>
        <v>0</v>
      </c>
      <c r="B1230" s="32" t="e">
        <f>VLOOKUP($A1230,Register!$B$3:$E$1409,6,FALSE)</f>
        <v>#N/A</v>
      </c>
      <c r="C1230" s="32" t="e">
        <f>VLOOKUP($A1230,Register!$B$3:$E$1409,7,FALSE)</f>
        <v>#N/A</v>
      </c>
      <c r="D1230" s="32" t="e">
        <f>VLOOKUP($A1230,Register!$B$3:$E$1409,8,FALSE)</f>
        <v>#N/A</v>
      </c>
      <c r="E1230" s="34" t="s">
        <v>5339</v>
      </c>
    </row>
    <row r="1231" spans="1:5" x14ac:dyDescent="0.25">
      <c r="A1231" s="33" cm="1">
        <f t="array" ref="A1231">IFERROR(INDEX(Register!$B$3:$B$1409,ROW(),0), "")</f>
        <v>0</v>
      </c>
      <c r="B1231" s="32" t="e">
        <f>VLOOKUP($A1231,Register!$B$3:$E$1409,6,FALSE)</f>
        <v>#N/A</v>
      </c>
      <c r="C1231" s="32" t="e">
        <f>VLOOKUP($A1231,Register!$B$3:$E$1409,7,FALSE)</f>
        <v>#N/A</v>
      </c>
      <c r="D1231" s="32" t="e">
        <f>VLOOKUP($A1231,Register!$B$3:$E$1409,8,FALSE)</f>
        <v>#N/A</v>
      </c>
      <c r="E1231" s="34" t="s">
        <v>5339</v>
      </c>
    </row>
    <row r="1232" spans="1:5" x14ac:dyDescent="0.25">
      <c r="A1232" s="33" cm="1">
        <f t="array" ref="A1232">IFERROR(INDEX(Register!$B$3:$B$1409,ROW(),0), "")</f>
        <v>0</v>
      </c>
      <c r="B1232" s="32" t="e">
        <f>VLOOKUP($A1232,Register!$B$3:$E$1409,6,FALSE)</f>
        <v>#N/A</v>
      </c>
      <c r="C1232" s="32" t="e">
        <f>VLOOKUP($A1232,Register!$B$3:$E$1409,7,FALSE)</f>
        <v>#N/A</v>
      </c>
      <c r="D1232" s="32" t="e">
        <f>VLOOKUP($A1232,Register!$B$3:$E$1409,8,FALSE)</f>
        <v>#N/A</v>
      </c>
      <c r="E1232" s="34" t="s">
        <v>5339</v>
      </c>
    </row>
    <row r="1233" spans="1:5" x14ac:dyDescent="0.25">
      <c r="A1233" s="33" cm="1">
        <f t="array" ref="A1233">IFERROR(INDEX(Register!$B$3:$B$1409,ROW(),0), "")</f>
        <v>0</v>
      </c>
      <c r="B1233" s="32" t="e">
        <f>VLOOKUP($A1233,Register!$B$3:$E$1409,6,FALSE)</f>
        <v>#N/A</v>
      </c>
      <c r="C1233" s="32" t="e">
        <f>VLOOKUP($A1233,Register!$B$3:$E$1409,7,FALSE)</f>
        <v>#N/A</v>
      </c>
      <c r="D1233" s="32" t="e">
        <f>VLOOKUP($A1233,Register!$B$3:$E$1409,8,FALSE)</f>
        <v>#N/A</v>
      </c>
      <c r="E1233" s="34" t="s">
        <v>5339</v>
      </c>
    </row>
    <row r="1234" spans="1:5" x14ac:dyDescent="0.25">
      <c r="A1234" s="33" cm="1">
        <f t="array" ref="A1234">IFERROR(INDEX(Register!$B$3:$B$1409,ROW(),0), "")</f>
        <v>0</v>
      </c>
      <c r="B1234" s="32" t="e">
        <f>VLOOKUP($A1234,Register!$B$3:$E$1409,6,FALSE)</f>
        <v>#N/A</v>
      </c>
      <c r="C1234" s="32" t="e">
        <f>VLOOKUP($A1234,Register!$B$3:$E$1409,7,FALSE)</f>
        <v>#N/A</v>
      </c>
      <c r="D1234" s="32" t="e">
        <f>VLOOKUP($A1234,Register!$B$3:$E$1409,8,FALSE)</f>
        <v>#N/A</v>
      </c>
      <c r="E1234" s="34" t="s">
        <v>5339</v>
      </c>
    </row>
    <row r="1235" spans="1:5" x14ac:dyDescent="0.25">
      <c r="A1235" s="33" cm="1">
        <f t="array" ref="A1235">IFERROR(INDEX(Register!$B$3:$B$1409,ROW(),0), "")</f>
        <v>0</v>
      </c>
      <c r="B1235" s="32" t="e">
        <f>VLOOKUP($A1235,Register!$B$3:$E$1409,6,FALSE)</f>
        <v>#N/A</v>
      </c>
      <c r="C1235" s="32" t="e">
        <f>VLOOKUP($A1235,Register!$B$3:$E$1409,7,FALSE)</f>
        <v>#N/A</v>
      </c>
      <c r="D1235" s="32" t="e">
        <f>VLOOKUP($A1235,Register!$B$3:$E$1409,8,FALSE)</f>
        <v>#N/A</v>
      </c>
      <c r="E1235" s="34" t="s">
        <v>5339</v>
      </c>
    </row>
    <row r="1236" spans="1:5" x14ac:dyDescent="0.25">
      <c r="A1236" s="33" cm="1">
        <f t="array" ref="A1236">IFERROR(INDEX(Register!$B$3:$B$1409,ROW(),0), "")</f>
        <v>0</v>
      </c>
      <c r="B1236" s="32" t="e">
        <f>VLOOKUP($A1236,Register!$B$3:$E$1409,6,FALSE)</f>
        <v>#N/A</v>
      </c>
      <c r="C1236" s="32" t="e">
        <f>VLOOKUP($A1236,Register!$B$3:$E$1409,7,FALSE)</f>
        <v>#N/A</v>
      </c>
      <c r="D1236" s="32" t="e">
        <f>VLOOKUP($A1236,Register!$B$3:$E$1409,8,FALSE)</f>
        <v>#N/A</v>
      </c>
      <c r="E1236" s="34" t="s">
        <v>5339</v>
      </c>
    </row>
    <row r="1237" spans="1:5" x14ac:dyDescent="0.25">
      <c r="A1237" s="33" cm="1">
        <f t="array" ref="A1237">IFERROR(INDEX(Register!$B$3:$B$1409,ROW(),0), "")</f>
        <v>0</v>
      </c>
      <c r="B1237" s="32" t="e">
        <f>VLOOKUP($A1237,Register!$B$3:$E$1409,6,FALSE)</f>
        <v>#N/A</v>
      </c>
      <c r="C1237" s="32" t="e">
        <f>VLOOKUP($A1237,Register!$B$3:$E$1409,7,FALSE)</f>
        <v>#N/A</v>
      </c>
      <c r="D1237" s="32" t="e">
        <f>VLOOKUP($A1237,Register!$B$3:$E$1409,8,FALSE)</f>
        <v>#N/A</v>
      </c>
      <c r="E1237" s="34" t="s">
        <v>5339</v>
      </c>
    </row>
    <row r="1238" spans="1:5" x14ac:dyDescent="0.25">
      <c r="A1238" s="33" cm="1">
        <f t="array" ref="A1238">IFERROR(INDEX(Register!$B$3:$B$1409,ROW(),0), "")</f>
        <v>0</v>
      </c>
      <c r="B1238" s="32" t="e">
        <f>VLOOKUP($A1238,Register!$B$3:$E$1409,6,FALSE)</f>
        <v>#N/A</v>
      </c>
      <c r="C1238" s="32" t="e">
        <f>VLOOKUP($A1238,Register!$B$3:$E$1409,7,FALSE)</f>
        <v>#N/A</v>
      </c>
      <c r="D1238" s="32" t="e">
        <f>VLOOKUP($A1238,Register!$B$3:$E$1409,8,FALSE)</f>
        <v>#N/A</v>
      </c>
      <c r="E1238" s="34" t="s">
        <v>5339</v>
      </c>
    </row>
    <row r="1239" spans="1:5" x14ac:dyDescent="0.25">
      <c r="A1239" s="33" cm="1">
        <f t="array" ref="A1239">IFERROR(INDEX(Register!$B$3:$B$1409,ROW(),0), "")</f>
        <v>0</v>
      </c>
      <c r="B1239" s="32" t="e">
        <f>VLOOKUP($A1239,Register!$B$3:$E$1409,6,FALSE)</f>
        <v>#N/A</v>
      </c>
      <c r="C1239" s="32" t="e">
        <f>VLOOKUP($A1239,Register!$B$3:$E$1409,7,FALSE)</f>
        <v>#N/A</v>
      </c>
      <c r="D1239" s="32" t="e">
        <f>VLOOKUP($A1239,Register!$B$3:$E$1409,8,FALSE)</f>
        <v>#N/A</v>
      </c>
      <c r="E1239" s="34" t="s">
        <v>5339</v>
      </c>
    </row>
    <row r="1240" spans="1:5" x14ac:dyDescent="0.25">
      <c r="A1240" s="33" cm="1">
        <f t="array" ref="A1240">IFERROR(INDEX(Register!$B$3:$B$1409,ROW(),0), "")</f>
        <v>0</v>
      </c>
      <c r="B1240" s="32" t="e">
        <f>VLOOKUP($A1240,Register!$B$3:$E$1409,6,FALSE)</f>
        <v>#N/A</v>
      </c>
      <c r="C1240" s="32" t="e">
        <f>VLOOKUP($A1240,Register!$B$3:$E$1409,7,FALSE)</f>
        <v>#N/A</v>
      </c>
      <c r="D1240" s="32" t="e">
        <f>VLOOKUP($A1240,Register!$B$3:$E$1409,8,FALSE)</f>
        <v>#N/A</v>
      </c>
      <c r="E1240" s="34" t="s">
        <v>5339</v>
      </c>
    </row>
    <row r="1241" spans="1:5" x14ac:dyDescent="0.25">
      <c r="A1241" s="33" cm="1">
        <f t="array" ref="A1241">IFERROR(INDEX(Register!$B$3:$B$1409,ROW(),0), "")</f>
        <v>0</v>
      </c>
      <c r="B1241" s="32" t="e">
        <f>VLOOKUP($A1241,Register!$B$3:$E$1409,6,FALSE)</f>
        <v>#N/A</v>
      </c>
      <c r="C1241" s="32" t="e">
        <f>VLOOKUP($A1241,Register!$B$3:$E$1409,7,FALSE)</f>
        <v>#N/A</v>
      </c>
      <c r="D1241" s="32" t="e">
        <f>VLOOKUP($A1241,Register!$B$3:$E$1409,8,FALSE)</f>
        <v>#N/A</v>
      </c>
      <c r="E1241" s="34" t="s">
        <v>5339</v>
      </c>
    </row>
    <row r="1242" spans="1:5" x14ac:dyDescent="0.25">
      <c r="A1242" s="33" cm="1">
        <f t="array" ref="A1242">IFERROR(INDEX(Register!$B$3:$B$1409,ROW(),0), "")</f>
        <v>0</v>
      </c>
      <c r="B1242" s="32" t="e">
        <f>VLOOKUP($A1242,Register!$B$3:$E$1409,6,FALSE)</f>
        <v>#N/A</v>
      </c>
      <c r="C1242" s="32" t="e">
        <f>VLOOKUP($A1242,Register!$B$3:$E$1409,7,FALSE)</f>
        <v>#N/A</v>
      </c>
      <c r="D1242" s="32" t="e">
        <f>VLOOKUP($A1242,Register!$B$3:$E$1409,8,FALSE)</f>
        <v>#N/A</v>
      </c>
      <c r="E1242" s="34" t="s">
        <v>5339</v>
      </c>
    </row>
    <row r="1243" spans="1:5" x14ac:dyDescent="0.25">
      <c r="A1243" s="33" cm="1">
        <f t="array" ref="A1243">IFERROR(INDEX(Register!$B$3:$B$1409,ROW(),0), "")</f>
        <v>0</v>
      </c>
      <c r="B1243" s="32" t="e">
        <f>VLOOKUP($A1243,Register!$B$3:$E$1409,6,FALSE)</f>
        <v>#N/A</v>
      </c>
      <c r="C1243" s="32" t="e">
        <f>VLOOKUP($A1243,Register!$B$3:$E$1409,7,FALSE)</f>
        <v>#N/A</v>
      </c>
      <c r="D1243" s="32" t="e">
        <f>VLOOKUP($A1243,Register!$B$3:$E$1409,8,FALSE)</f>
        <v>#N/A</v>
      </c>
      <c r="E1243" s="34" t="s">
        <v>5339</v>
      </c>
    </row>
    <row r="1244" spans="1:5" x14ac:dyDescent="0.25">
      <c r="A1244" s="33" cm="1">
        <f t="array" ref="A1244">IFERROR(INDEX(Register!$B$3:$B$1409,ROW(),0), "")</f>
        <v>0</v>
      </c>
      <c r="B1244" s="32" t="e">
        <f>VLOOKUP($A1244,Register!$B$3:$E$1409,6,FALSE)</f>
        <v>#N/A</v>
      </c>
      <c r="C1244" s="32" t="e">
        <f>VLOOKUP($A1244,Register!$B$3:$E$1409,7,FALSE)</f>
        <v>#N/A</v>
      </c>
      <c r="D1244" s="32" t="e">
        <f>VLOOKUP($A1244,Register!$B$3:$E$1409,8,FALSE)</f>
        <v>#N/A</v>
      </c>
      <c r="E1244" s="34" t="s">
        <v>5339</v>
      </c>
    </row>
    <row r="1245" spans="1:5" x14ac:dyDescent="0.25">
      <c r="A1245" s="33" cm="1">
        <f t="array" ref="A1245">IFERROR(INDEX(Register!$B$3:$B$1409,ROW(),0), "")</f>
        <v>0</v>
      </c>
      <c r="B1245" s="32" t="e">
        <f>VLOOKUP($A1245,Register!$B$3:$E$1409,6,FALSE)</f>
        <v>#N/A</v>
      </c>
      <c r="C1245" s="32" t="e">
        <f>VLOOKUP($A1245,Register!$B$3:$E$1409,7,FALSE)</f>
        <v>#N/A</v>
      </c>
      <c r="D1245" s="32" t="e">
        <f>VLOOKUP($A1245,Register!$B$3:$E$1409,8,FALSE)</f>
        <v>#N/A</v>
      </c>
      <c r="E1245" s="34" t="s">
        <v>5339</v>
      </c>
    </row>
    <row r="1246" spans="1:5" x14ac:dyDescent="0.25">
      <c r="A1246" s="33" cm="1">
        <f t="array" ref="A1246">IFERROR(INDEX(Register!$B$3:$B$1409,ROW(),0), "")</f>
        <v>0</v>
      </c>
      <c r="B1246" s="32" t="e">
        <f>VLOOKUP($A1246,Register!$B$3:$E$1409,6,FALSE)</f>
        <v>#N/A</v>
      </c>
      <c r="C1246" s="32" t="e">
        <f>VLOOKUP($A1246,Register!$B$3:$E$1409,7,FALSE)</f>
        <v>#N/A</v>
      </c>
      <c r="D1246" s="32" t="e">
        <f>VLOOKUP($A1246,Register!$B$3:$E$1409,8,FALSE)</f>
        <v>#N/A</v>
      </c>
      <c r="E1246" s="34" t="s">
        <v>5339</v>
      </c>
    </row>
    <row r="1247" spans="1:5" x14ac:dyDescent="0.25">
      <c r="A1247" s="33" cm="1">
        <f t="array" ref="A1247">IFERROR(INDEX(Register!$B$3:$B$1409,ROW(),0), "")</f>
        <v>0</v>
      </c>
      <c r="B1247" s="32" t="e">
        <f>VLOOKUP($A1247,Register!$B$3:$E$1409,6,FALSE)</f>
        <v>#N/A</v>
      </c>
      <c r="C1247" s="32" t="e">
        <f>VLOOKUP($A1247,Register!$B$3:$E$1409,7,FALSE)</f>
        <v>#N/A</v>
      </c>
      <c r="D1247" s="32" t="e">
        <f>VLOOKUP($A1247,Register!$B$3:$E$1409,8,FALSE)</f>
        <v>#N/A</v>
      </c>
      <c r="E1247" s="34" t="s">
        <v>5339</v>
      </c>
    </row>
    <row r="1248" spans="1:5" x14ac:dyDescent="0.25">
      <c r="A1248" s="33" cm="1">
        <f t="array" ref="A1248">IFERROR(INDEX(Register!$B$3:$B$1409,ROW(),0), "")</f>
        <v>0</v>
      </c>
      <c r="B1248" s="32" t="e">
        <f>VLOOKUP($A1248,Register!$B$3:$E$1409,6,FALSE)</f>
        <v>#N/A</v>
      </c>
      <c r="C1248" s="32" t="e">
        <f>VLOOKUP($A1248,Register!$B$3:$E$1409,7,FALSE)</f>
        <v>#N/A</v>
      </c>
      <c r="D1248" s="32" t="e">
        <f>VLOOKUP($A1248,Register!$B$3:$E$1409,8,FALSE)</f>
        <v>#N/A</v>
      </c>
      <c r="E1248" s="34" t="s">
        <v>5339</v>
      </c>
    </row>
    <row r="1249" spans="1:5" x14ac:dyDescent="0.25">
      <c r="A1249" s="33" cm="1">
        <f t="array" ref="A1249">IFERROR(INDEX(Register!$B$3:$B$1409,ROW(),0), "")</f>
        <v>0</v>
      </c>
      <c r="B1249" s="32" t="e">
        <f>VLOOKUP($A1249,Register!$B$3:$E$1409,6,FALSE)</f>
        <v>#N/A</v>
      </c>
      <c r="C1249" s="32" t="e">
        <f>VLOOKUP($A1249,Register!$B$3:$E$1409,7,FALSE)</f>
        <v>#N/A</v>
      </c>
      <c r="D1249" s="32" t="e">
        <f>VLOOKUP($A1249,Register!$B$3:$E$1409,8,FALSE)</f>
        <v>#N/A</v>
      </c>
      <c r="E1249" s="34" t="s">
        <v>5339</v>
      </c>
    </row>
    <row r="1250" spans="1:5" x14ac:dyDescent="0.25">
      <c r="A1250" s="33" cm="1">
        <f t="array" ref="A1250">IFERROR(INDEX(Register!$B$3:$B$1409,ROW(),0), "")</f>
        <v>0</v>
      </c>
      <c r="B1250" s="32" t="e">
        <f>VLOOKUP($A1250,Register!$B$3:$E$1409,6,FALSE)</f>
        <v>#N/A</v>
      </c>
      <c r="C1250" s="32" t="e">
        <f>VLOOKUP($A1250,Register!$B$3:$E$1409,7,FALSE)</f>
        <v>#N/A</v>
      </c>
      <c r="D1250" s="32" t="e">
        <f>VLOOKUP($A1250,Register!$B$3:$E$1409,8,FALSE)</f>
        <v>#N/A</v>
      </c>
      <c r="E1250" s="34" t="s">
        <v>5339</v>
      </c>
    </row>
    <row r="1251" spans="1:5" x14ac:dyDescent="0.25">
      <c r="A1251" s="33" cm="1">
        <f t="array" ref="A1251">IFERROR(INDEX(Register!$B$3:$B$1409,ROW(),0), "")</f>
        <v>0</v>
      </c>
      <c r="B1251" s="32" t="e">
        <f>VLOOKUP($A1251,Register!$B$3:$E$1409,6,FALSE)</f>
        <v>#N/A</v>
      </c>
      <c r="C1251" s="32" t="e">
        <f>VLOOKUP($A1251,Register!$B$3:$E$1409,7,FALSE)</f>
        <v>#N/A</v>
      </c>
      <c r="D1251" s="32" t="e">
        <f>VLOOKUP($A1251,Register!$B$3:$E$1409,8,FALSE)</f>
        <v>#N/A</v>
      </c>
      <c r="E1251" s="34" t="s">
        <v>5339</v>
      </c>
    </row>
    <row r="1252" spans="1:5" x14ac:dyDescent="0.25">
      <c r="A1252" s="33" cm="1">
        <f t="array" ref="A1252">IFERROR(INDEX(Register!$B$3:$B$1409,ROW(),0), "")</f>
        <v>0</v>
      </c>
      <c r="B1252" s="32" t="e">
        <f>VLOOKUP($A1252,Register!$B$3:$E$1409,6,FALSE)</f>
        <v>#N/A</v>
      </c>
      <c r="C1252" s="32" t="e">
        <f>VLOOKUP($A1252,Register!$B$3:$E$1409,7,FALSE)</f>
        <v>#N/A</v>
      </c>
      <c r="D1252" s="32" t="e">
        <f>VLOOKUP($A1252,Register!$B$3:$E$1409,8,FALSE)</f>
        <v>#N/A</v>
      </c>
      <c r="E1252" s="34" t="s">
        <v>5339</v>
      </c>
    </row>
    <row r="1253" spans="1:5" x14ac:dyDescent="0.25">
      <c r="A1253" s="33" cm="1">
        <f t="array" ref="A1253">IFERROR(INDEX(Register!$B$3:$B$1409,ROW(),0), "")</f>
        <v>0</v>
      </c>
      <c r="B1253" s="32" t="e">
        <f>VLOOKUP($A1253,Register!$B$3:$E$1409,6,FALSE)</f>
        <v>#N/A</v>
      </c>
      <c r="C1253" s="32" t="e">
        <f>VLOOKUP($A1253,Register!$B$3:$E$1409,7,FALSE)</f>
        <v>#N/A</v>
      </c>
      <c r="D1253" s="32" t="e">
        <f>VLOOKUP($A1253,Register!$B$3:$E$1409,8,FALSE)</f>
        <v>#N/A</v>
      </c>
      <c r="E1253" s="34" t="s">
        <v>5339</v>
      </c>
    </row>
    <row r="1254" spans="1:5" x14ac:dyDescent="0.25">
      <c r="A1254" s="33" cm="1">
        <f t="array" ref="A1254">IFERROR(INDEX(Register!$B$3:$B$1409,ROW(),0), "")</f>
        <v>0</v>
      </c>
      <c r="B1254" s="32" t="e">
        <f>VLOOKUP($A1254,Register!$B$3:$E$1409,6,FALSE)</f>
        <v>#N/A</v>
      </c>
      <c r="C1254" s="32" t="e">
        <f>VLOOKUP($A1254,Register!$B$3:$E$1409,7,FALSE)</f>
        <v>#N/A</v>
      </c>
      <c r="D1254" s="32" t="e">
        <f>VLOOKUP($A1254,Register!$B$3:$E$1409,8,FALSE)</f>
        <v>#N/A</v>
      </c>
      <c r="E1254" s="34" t="s">
        <v>5339</v>
      </c>
    </row>
    <row r="1255" spans="1:5" x14ac:dyDescent="0.25">
      <c r="A1255" s="33" cm="1">
        <f t="array" ref="A1255">IFERROR(INDEX(Register!$B$3:$B$1409,ROW(),0), "")</f>
        <v>0</v>
      </c>
      <c r="B1255" s="32" t="e">
        <f>VLOOKUP($A1255,Register!$B$3:$E$1409,6,FALSE)</f>
        <v>#N/A</v>
      </c>
      <c r="C1255" s="32" t="e">
        <f>VLOOKUP($A1255,Register!$B$3:$E$1409,7,FALSE)</f>
        <v>#N/A</v>
      </c>
      <c r="D1255" s="32" t="e">
        <f>VLOOKUP($A1255,Register!$B$3:$E$1409,8,FALSE)</f>
        <v>#N/A</v>
      </c>
      <c r="E1255" s="34" t="s">
        <v>5339</v>
      </c>
    </row>
    <row r="1256" spans="1:5" x14ac:dyDescent="0.25">
      <c r="A1256" s="33" cm="1">
        <f t="array" ref="A1256">IFERROR(INDEX(Register!$B$3:$B$1409,ROW(),0), "")</f>
        <v>0</v>
      </c>
      <c r="B1256" s="32" t="e">
        <f>VLOOKUP($A1256,Register!$B$3:$E$1409,6,FALSE)</f>
        <v>#N/A</v>
      </c>
      <c r="C1256" s="32" t="e">
        <f>VLOOKUP($A1256,Register!$B$3:$E$1409,7,FALSE)</f>
        <v>#N/A</v>
      </c>
      <c r="D1256" s="32" t="e">
        <f>VLOOKUP($A1256,Register!$B$3:$E$1409,8,FALSE)</f>
        <v>#N/A</v>
      </c>
      <c r="E1256" s="34" t="s">
        <v>5339</v>
      </c>
    </row>
    <row r="1257" spans="1:5" x14ac:dyDescent="0.25">
      <c r="A1257" s="33" cm="1">
        <f t="array" ref="A1257">IFERROR(INDEX(Register!$B$3:$B$1409,ROW(),0), "")</f>
        <v>0</v>
      </c>
      <c r="B1257" s="32" t="e">
        <f>VLOOKUP($A1257,Register!$B$3:$E$1409,6,FALSE)</f>
        <v>#N/A</v>
      </c>
      <c r="C1257" s="32" t="e">
        <f>VLOOKUP($A1257,Register!$B$3:$E$1409,7,FALSE)</f>
        <v>#N/A</v>
      </c>
      <c r="D1257" s="32" t="e">
        <f>VLOOKUP($A1257,Register!$B$3:$E$1409,8,FALSE)</f>
        <v>#N/A</v>
      </c>
      <c r="E1257" s="34" t="s">
        <v>5339</v>
      </c>
    </row>
    <row r="1258" spans="1:5" x14ac:dyDescent="0.25">
      <c r="A1258" s="33" cm="1">
        <f t="array" ref="A1258">IFERROR(INDEX(Register!$B$3:$B$1409,ROW(),0), "")</f>
        <v>0</v>
      </c>
      <c r="B1258" s="32" t="e">
        <f>VLOOKUP($A1258,Register!$B$3:$E$1409,6,FALSE)</f>
        <v>#N/A</v>
      </c>
      <c r="C1258" s="32" t="e">
        <f>VLOOKUP($A1258,Register!$B$3:$E$1409,7,FALSE)</f>
        <v>#N/A</v>
      </c>
      <c r="D1258" s="32" t="e">
        <f>VLOOKUP($A1258,Register!$B$3:$E$1409,8,FALSE)</f>
        <v>#N/A</v>
      </c>
      <c r="E1258" s="34" t="s">
        <v>5339</v>
      </c>
    </row>
    <row r="1259" spans="1:5" x14ac:dyDescent="0.25">
      <c r="A1259" s="33" cm="1">
        <f t="array" ref="A1259">IFERROR(INDEX(Register!$B$3:$B$1409,ROW(),0), "")</f>
        <v>0</v>
      </c>
      <c r="B1259" s="32" t="e">
        <f>VLOOKUP($A1259,Register!$B$3:$E$1409,6,FALSE)</f>
        <v>#N/A</v>
      </c>
      <c r="C1259" s="32" t="e">
        <f>VLOOKUP($A1259,Register!$B$3:$E$1409,7,FALSE)</f>
        <v>#N/A</v>
      </c>
      <c r="D1259" s="32" t="e">
        <f>VLOOKUP($A1259,Register!$B$3:$E$1409,8,FALSE)</f>
        <v>#N/A</v>
      </c>
      <c r="E1259" s="34" t="s">
        <v>5339</v>
      </c>
    </row>
    <row r="1260" spans="1:5" x14ac:dyDescent="0.25">
      <c r="A1260" s="33" cm="1">
        <f t="array" ref="A1260">IFERROR(INDEX(Register!$B$3:$B$1409,ROW(),0), "")</f>
        <v>0</v>
      </c>
      <c r="B1260" s="32" t="e">
        <f>VLOOKUP($A1260,Register!$B$3:$E$1409,6,FALSE)</f>
        <v>#N/A</v>
      </c>
      <c r="C1260" s="32" t="e">
        <f>VLOOKUP($A1260,Register!$B$3:$E$1409,7,FALSE)</f>
        <v>#N/A</v>
      </c>
      <c r="D1260" s="32" t="e">
        <f>VLOOKUP($A1260,Register!$B$3:$E$1409,8,FALSE)</f>
        <v>#N/A</v>
      </c>
      <c r="E1260" s="34" t="s">
        <v>5339</v>
      </c>
    </row>
    <row r="1261" spans="1:5" x14ac:dyDescent="0.25">
      <c r="A1261" s="33" cm="1">
        <f t="array" ref="A1261">IFERROR(INDEX(Register!$B$3:$B$1409,ROW(),0), "")</f>
        <v>0</v>
      </c>
      <c r="B1261" s="32" t="e">
        <f>VLOOKUP($A1261,Register!$B$3:$E$1409,6,FALSE)</f>
        <v>#N/A</v>
      </c>
      <c r="C1261" s="32" t="e">
        <f>VLOOKUP($A1261,Register!$B$3:$E$1409,7,FALSE)</f>
        <v>#N/A</v>
      </c>
      <c r="D1261" s="32" t="e">
        <f>VLOOKUP($A1261,Register!$B$3:$E$1409,8,FALSE)</f>
        <v>#N/A</v>
      </c>
      <c r="E1261" s="34" t="s">
        <v>5339</v>
      </c>
    </row>
    <row r="1262" spans="1:5" x14ac:dyDescent="0.25">
      <c r="A1262" s="33" cm="1">
        <f t="array" ref="A1262">IFERROR(INDEX(Register!$B$3:$B$1409,ROW(),0), "")</f>
        <v>0</v>
      </c>
      <c r="B1262" s="32" t="e">
        <f>VLOOKUP($A1262,Register!$B$3:$E$1409,6,FALSE)</f>
        <v>#N/A</v>
      </c>
      <c r="C1262" s="32" t="e">
        <f>VLOOKUP($A1262,Register!$B$3:$E$1409,7,FALSE)</f>
        <v>#N/A</v>
      </c>
      <c r="D1262" s="32" t="e">
        <f>VLOOKUP($A1262,Register!$B$3:$E$1409,8,FALSE)</f>
        <v>#N/A</v>
      </c>
      <c r="E1262" s="34" t="s">
        <v>5339</v>
      </c>
    </row>
    <row r="1263" spans="1:5" x14ac:dyDescent="0.25">
      <c r="A1263" s="33" cm="1">
        <f t="array" ref="A1263">IFERROR(INDEX(Register!$B$3:$B$1409,ROW(),0), "")</f>
        <v>0</v>
      </c>
      <c r="B1263" s="32" t="e">
        <f>VLOOKUP($A1263,Register!$B$3:$E$1409,6,FALSE)</f>
        <v>#N/A</v>
      </c>
      <c r="C1263" s="32" t="e">
        <f>VLOOKUP($A1263,Register!$B$3:$E$1409,7,FALSE)</f>
        <v>#N/A</v>
      </c>
      <c r="D1263" s="32" t="e">
        <f>VLOOKUP($A1263,Register!$B$3:$E$1409,8,FALSE)</f>
        <v>#N/A</v>
      </c>
      <c r="E1263" s="34" t="s">
        <v>5339</v>
      </c>
    </row>
    <row r="1264" spans="1:5" x14ac:dyDescent="0.25">
      <c r="A1264" s="33" cm="1">
        <f t="array" ref="A1264">IFERROR(INDEX(Register!$B$3:$B$1409,ROW(),0), "")</f>
        <v>0</v>
      </c>
      <c r="B1264" s="32" t="e">
        <f>VLOOKUP($A1264,Register!$B$3:$E$1409,6,FALSE)</f>
        <v>#N/A</v>
      </c>
      <c r="C1264" s="32" t="e">
        <f>VLOOKUP($A1264,Register!$B$3:$E$1409,7,FALSE)</f>
        <v>#N/A</v>
      </c>
      <c r="D1264" s="32" t="e">
        <f>VLOOKUP($A1264,Register!$B$3:$E$1409,8,FALSE)</f>
        <v>#N/A</v>
      </c>
      <c r="E1264" s="34" t="s">
        <v>5339</v>
      </c>
    </row>
    <row r="1265" spans="1:5" x14ac:dyDescent="0.25">
      <c r="A1265" s="33" cm="1">
        <f t="array" ref="A1265">IFERROR(INDEX(Register!$B$3:$B$1409,ROW(),0), "")</f>
        <v>0</v>
      </c>
      <c r="B1265" s="32" t="e">
        <f>VLOOKUP($A1265,Register!$B$3:$E$1409,6,FALSE)</f>
        <v>#N/A</v>
      </c>
      <c r="C1265" s="32" t="e">
        <f>VLOOKUP($A1265,Register!$B$3:$E$1409,7,FALSE)</f>
        <v>#N/A</v>
      </c>
      <c r="D1265" s="32" t="e">
        <f>VLOOKUP($A1265,Register!$B$3:$E$1409,8,FALSE)</f>
        <v>#N/A</v>
      </c>
      <c r="E1265" s="34" t="s">
        <v>5339</v>
      </c>
    </row>
    <row r="1266" spans="1:5" x14ac:dyDescent="0.25">
      <c r="A1266" s="33" cm="1">
        <f t="array" ref="A1266">IFERROR(INDEX(Register!$B$3:$B$1409,ROW(),0), "")</f>
        <v>0</v>
      </c>
      <c r="B1266" s="32" t="e">
        <f>VLOOKUP($A1266,Register!$B$3:$E$1409,6,FALSE)</f>
        <v>#N/A</v>
      </c>
      <c r="C1266" s="32" t="e">
        <f>VLOOKUP($A1266,Register!$B$3:$E$1409,7,FALSE)</f>
        <v>#N/A</v>
      </c>
      <c r="D1266" s="32" t="e">
        <f>VLOOKUP($A1266,Register!$B$3:$E$1409,8,FALSE)</f>
        <v>#N/A</v>
      </c>
      <c r="E1266" s="34" t="s">
        <v>5339</v>
      </c>
    </row>
    <row r="1267" spans="1:5" x14ac:dyDescent="0.25">
      <c r="A1267" s="33" cm="1">
        <f t="array" ref="A1267">IFERROR(INDEX(Register!$B$3:$B$1409,ROW(),0), "")</f>
        <v>0</v>
      </c>
      <c r="B1267" s="32" t="e">
        <f>VLOOKUP($A1267,Register!$B$3:$E$1409,6,FALSE)</f>
        <v>#N/A</v>
      </c>
      <c r="C1267" s="32" t="e">
        <f>VLOOKUP($A1267,Register!$B$3:$E$1409,7,FALSE)</f>
        <v>#N/A</v>
      </c>
      <c r="D1267" s="32" t="e">
        <f>VLOOKUP($A1267,Register!$B$3:$E$1409,8,FALSE)</f>
        <v>#N/A</v>
      </c>
      <c r="E1267" s="34" t="s">
        <v>5339</v>
      </c>
    </row>
    <row r="1268" spans="1:5" x14ac:dyDescent="0.25">
      <c r="A1268" s="33" cm="1">
        <f t="array" ref="A1268">IFERROR(INDEX(Register!$B$3:$B$1409,ROW(),0), "")</f>
        <v>0</v>
      </c>
      <c r="B1268" s="32" t="e">
        <f>VLOOKUP($A1268,Register!$B$3:$E$1409,6,FALSE)</f>
        <v>#N/A</v>
      </c>
      <c r="C1268" s="32" t="e">
        <f>VLOOKUP($A1268,Register!$B$3:$E$1409,7,FALSE)</f>
        <v>#N/A</v>
      </c>
      <c r="D1268" s="32" t="e">
        <f>VLOOKUP($A1268,Register!$B$3:$E$1409,8,FALSE)</f>
        <v>#N/A</v>
      </c>
      <c r="E1268" s="34" t="s">
        <v>5339</v>
      </c>
    </row>
    <row r="1269" spans="1:5" x14ac:dyDescent="0.25">
      <c r="A1269" s="33" cm="1">
        <f t="array" ref="A1269">IFERROR(INDEX(Register!$B$3:$B$1409,ROW(),0), "")</f>
        <v>0</v>
      </c>
      <c r="B1269" s="32" t="e">
        <f>VLOOKUP($A1269,Register!$B$3:$E$1409,6,FALSE)</f>
        <v>#N/A</v>
      </c>
      <c r="C1269" s="32" t="e">
        <f>VLOOKUP($A1269,Register!$B$3:$E$1409,7,FALSE)</f>
        <v>#N/A</v>
      </c>
      <c r="D1269" s="32" t="e">
        <f>VLOOKUP($A1269,Register!$B$3:$E$1409,8,FALSE)</f>
        <v>#N/A</v>
      </c>
      <c r="E1269" s="34" t="s">
        <v>5339</v>
      </c>
    </row>
    <row r="1270" spans="1:5" x14ac:dyDescent="0.25">
      <c r="A1270" s="33" cm="1">
        <f t="array" ref="A1270">IFERROR(INDEX(Register!$B$3:$B$1409,ROW(),0), "")</f>
        <v>0</v>
      </c>
      <c r="B1270" s="32" t="e">
        <f>VLOOKUP($A1270,Register!$B$3:$E$1409,6,FALSE)</f>
        <v>#N/A</v>
      </c>
      <c r="C1270" s="32" t="e">
        <f>VLOOKUP($A1270,Register!$B$3:$E$1409,7,FALSE)</f>
        <v>#N/A</v>
      </c>
      <c r="D1270" s="32" t="e">
        <f>VLOOKUP($A1270,Register!$B$3:$E$1409,8,FALSE)</f>
        <v>#N/A</v>
      </c>
      <c r="E1270" s="34" t="s">
        <v>5339</v>
      </c>
    </row>
    <row r="1271" spans="1:5" x14ac:dyDescent="0.25">
      <c r="A1271" s="33" cm="1">
        <f t="array" ref="A1271">IFERROR(INDEX(Register!$B$3:$B$1409,ROW(),0), "")</f>
        <v>0</v>
      </c>
      <c r="B1271" s="32" t="e">
        <f>VLOOKUP($A1271,Register!$B$3:$E$1409,6,FALSE)</f>
        <v>#N/A</v>
      </c>
      <c r="C1271" s="32" t="e">
        <f>VLOOKUP($A1271,Register!$B$3:$E$1409,7,FALSE)</f>
        <v>#N/A</v>
      </c>
      <c r="D1271" s="32" t="e">
        <f>VLOOKUP($A1271,Register!$B$3:$E$1409,8,FALSE)</f>
        <v>#N/A</v>
      </c>
      <c r="E1271" s="34" t="s">
        <v>5339</v>
      </c>
    </row>
    <row r="1272" spans="1:5" x14ac:dyDescent="0.25">
      <c r="A1272" s="33" cm="1">
        <f t="array" ref="A1272">IFERROR(INDEX(Register!$B$3:$B$1409,ROW(),0), "")</f>
        <v>0</v>
      </c>
      <c r="B1272" s="32" t="e">
        <f>VLOOKUP($A1272,Register!$B$3:$E$1409,6,FALSE)</f>
        <v>#N/A</v>
      </c>
      <c r="C1272" s="32" t="e">
        <f>VLOOKUP($A1272,Register!$B$3:$E$1409,7,FALSE)</f>
        <v>#N/A</v>
      </c>
      <c r="D1272" s="32" t="e">
        <f>VLOOKUP($A1272,Register!$B$3:$E$1409,8,FALSE)</f>
        <v>#N/A</v>
      </c>
      <c r="E1272" s="34" t="s">
        <v>5339</v>
      </c>
    </row>
    <row r="1273" spans="1:5" x14ac:dyDescent="0.25">
      <c r="A1273" s="33" cm="1">
        <f t="array" ref="A1273">IFERROR(INDEX(Register!$B$3:$B$1409,ROW(),0), "")</f>
        <v>0</v>
      </c>
      <c r="B1273" s="32" t="e">
        <f>VLOOKUP($A1273,Register!$B$3:$E$1409,6,FALSE)</f>
        <v>#N/A</v>
      </c>
      <c r="C1273" s="32" t="e">
        <f>VLOOKUP($A1273,Register!$B$3:$E$1409,7,FALSE)</f>
        <v>#N/A</v>
      </c>
      <c r="D1273" s="32" t="e">
        <f>VLOOKUP($A1273,Register!$B$3:$E$1409,8,FALSE)</f>
        <v>#N/A</v>
      </c>
      <c r="E1273" s="34" t="s">
        <v>5339</v>
      </c>
    </row>
    <row r="1274" spans="1:5" x14ac:dyDescent="0.25">
      <c r="A1274" s="33" cm="1">
        <f t="array" ref="A1274">IFERROR(INDEX(Register!$B$3:$B$1409,ROW(),0), "")</f>
        <v>0</v>
      </c>
      <c r="B1274" s="32" t="e">
        <f>VLOOKUP($A1274,Register!$B$3:$E$1409,6,FALSE)</f>
        <v>#N/A</v>
      </c>
      <c r="C1274" s="32" t="e">
        <f>VLOOKUP($A1274,Register!$B$3:$E$1409,7,FALSE)</f>
        <v>#N/A</v>
      </c>
      <c r="D1274" s="32" t="e">
        <f>VLOOKUP($A1274,Register!$B$3:$E$1409,8,FALSE)</f>
        <v>#N/A</v>
      </c>
      <c r="E1274" s="34" t="s">
        <v>5339</v>
      </c>
    </row>
    <row r="1275" spans="1:5" x14ac:dyDescent="0.25">
      <c r="A1275" s="33" cm="1">
        <f t="array" ref="A1275">IFERROR(INDEX(Register!$B$3:$B$1409,ROW(),0), "")</f>
        <v>0</v>
      </c>
      <c r="B1275" s="32" t="e">
        <f>VLOOKUP($A1275,Register!$B$3:$E$1409,6,FALSE)</f>
        <v>#N/A</v>
      </c>
      <c r="C1275" s="32" t="e">
        <f>VLOOKUP($A1275,Register!$B$3:$E$1409,7,FALSE)</f>
        <v>#N/A</v>
      </c>
      <c r="D1275" s="32" t="e">
        <f>VLOOKUP($A1275,Register!$B$3:$E$1409,8,FALSE)</f>
        <v>#N/A</v>
      </c>
      <c r="E1275" s="34" t="s">
        <v>5339</v>
      </c>
    </row>
    <row r="1276" spans="1:5" x14ac:dyDescent="0.25">
      <c r="A1276" s="33" cm="1">
        <f t="array" ref="A1276">IFERROR(INDEX(Register!$B$3:$B$1409,ROW(),0), "")</f>
        <v>0</v>
      </c>
      <c r="B1276" s="32" t="e">
        <f>VLOOKUP($A1276,Register!$B$3:$E$1409,6,FALSE)</f>
        <v>#N/A</v>
      </c>
      <c r="C1276" s="32" t="e">
        <f>VLOOKUP($A1276,Register!$B$3:$E$1409,7,FALSE)</f>
        <v>#N/A</v>
      </c>
      <c r="D1276" s="32" t="e">
        <f>VLOOKUP($A1276,Register!$B$3:$E$1409,8,FALSE)</f>
        <v>#N/A</v>
      </c>
      <c r="E1276" s="34" t="s">
        <v>5339</v>
      </c>
    </row>
    <row r="1277" spans="1:5" x14ac:dyDescent="0.25">
      <c r="A1277" s="33" cm="1">
        <f t="array" ref="A1277">IFERROR(INDEX(Register!$B$3:$B$1409,ROW(),0), "")</f>
        <v>0</v>
      </c>
      <c r="B1277" s="32" t="e">
        <f>VLOOKUP($A1277,Register!$B$3:$E$1409,6,FALSE)</f>
        <v>#N/A</v>
      </c>
      <c r="C1277" s="32" t="e">
        <f>VLOOKUP($A1277,Register!$B$3:$E$1409,7,FALSE)</f>
        <v>#N/A</v>
      </c>
      <c r="D1277" s="32" t="e">
        <f>VLOOKUP($A1277,Register!$B$3:$E$1409,8,FALSE)</f>
        <v>#N/A</v>
      </c>
      <c r="E1277" s="34" t="s">
        <v>5339</v>
      </c>
    </row>
    <row r="1278" spans="1:5" x14ac:dyDescent="0.25">
      <c r="A1278" s="33" cm="1">
        <f t="array" ref="A1278">IFERROR(INDEX(Register!$B$3:$B$1409,ROW(),0), "")</f>
        <v>0</v>
      </c>
      <c r="B1278" s="32" t="e">
        <f>VLOOKUP($A1278,Register!$B$3:$E$1409,6,FALSE)</f>
        <v>#N/A</v>
      </c>
      <c r="C1278" s="32" t="e">
        <f>VLOOKUP($A1278,Register!$B$3:$E$1409,7,FALSE)</f>
        <v>#N/A</v>
      </c>
      <c r="D1278" s="32" t="e">
        <f>VLOOKUP($A1278,Register!$B$3:$E$1409,8,FALSE)</f>
        <v>#N/A</v>
      </c>
      <c r="E1278" s="34" t="s">
        <v>5339</v>
      </c>
    </row>
    <row r="1279" spans="1:5" x14ac:dyDescent="0.25">
      <c r="A1279" s="33" cm="1">
        <f t="array" ref="A1279">IFERROR(INDEX(Register!$B$3:$B$1409,ROW(),0), "")</f>
        <v>0</v>
      </c>
      <c r="B1279" s="32" t="e">
        <f>VLOOKUP($A1279,Register!$B$3:$E$1409,6,FALSE)</f>
        <v>#N/A</v>
      </c>
      <c r="C1279" s="32" t="e">
        <f>VLOOKUP($A1279,Register!$B$3:$E$1409,7,FALSE)</f>
        <v>#N/A</v>
      </c>
      <c r="D1279" s="32" t="e">
        <f>VLOOKUP($A1279,Register!$B$3:$E$1409,8,FALSE)</f>
        <v>#N/A</v>
      </c>
      <c r="E1279" s="34" t="s">
        <v>5339</v>
      </c>
    </row>
    <row r="1280" spans="1:5" x14ac:dyDescent="0.25">
      <c r="A1280" s="33" cm="1">
        <f t="array" ref="A1280">IFERROR(INDEX(Register!$B$3:$B$1409,ROW(),0), "")</f>
        <v>0</v>
      </c>
      <c r="B1280" s="32" t="e">
        <f>VLOOKUP($A1280,Register!$B$3:$E$1409,6,FALSE)</f>
        <v>#N/A</v>
      </c>
      <c r="C1280" s="32" t="e">
        <f>VLOOKUP($A1280,Register!$B$3:$E$1409,7,FALSE)</f>
        <v>#N/A</v>
      </c>
      <c r="D1280" s="32" t="e">
        <f>VLOOKUP($A1280,Register!$B$3:$E$1409,8,FALSE)</f>
        <v>#N/A</v>
      </c>
      <c r="E1280" s="34" t="s">
        <v>5339</v>
      </c>
    </row>
    <row r="1281" spans="1:5" x14ac:dyDescent="0.25">
      <c r="A1281" s="33" cm="1">
        <f t="array" ref="A1281">IFERROR(INDEX(Register!$B$3:$B$1409,ROW(),0), "")</f>
        <v>0</v>
      </c>
      <c r="B1281" s="32" t="e">
        <f>VLOOKUP($A1281,Register!$B$3:$E$1409,6,FALSE)</f>
        <v>#N/A</v>
      </c>
      <c r="C1281" s="32" t="e">
        <f>VLOOKUP($A1281,Register!$B$3:$E$1409,7,FALSE)</f>
        <v>#N/A</v>
      </c>
      <c r="D1281" s="32" t="e">
        <f>VLOOKUP($A1281,Register!$B$3:$E$1409,8,FALSE)</f>
        <v>#N/A</v>
      </c>
      <c r="E1281" s="34" t="s">
        <v>5339</v>
      </c>
    </row>
    <row r="1282" spans="1:5" x14ac:dyDescent="0.25">
      <c r="A1282" s="33" cm="1">
        <f t="array" ref="A1282">IFERROR(INDEX(Register!$B$3:$B$1409,ROW(),0), "")</f>
        <v>0</v>
      </c>
      <c r="B1282" s="32" t="e">
        <f>VLOOKUP($A1282,Register!$B$3:$E$1409,6,FALSE)</f>
        <v>#N/A</v>
      </c>
      <c r="C1282" s="32" t="e">
        <f>VLOOKUP($A1282,Register!$B$3:$E$1409,7,FALSE)</f>
        <v>#N/A</v>
      </c>
      <c r="D1282" s="32" t="e">
        <f>VLOOKUP($A1282,Register!$B$3:$E$1409,8,FALSE)</f>
        <v>#N/A</v>
      </c>
      <c r="E1282" s="34" t="s">
        <v>5339</v>
      </c>
    </row>
    <row r="1283" spans="1:5" x14ac:dyDescent="0.25">
      <c r="A1283" s="33" cm="1">
        <f t="array" ref="A1283">IFERROR(INDEX(Register!$B$3:$B$1409,ROW(),0), "")</f>
        <v>0</v>
      </c>
      <c r="B1283" s="32" t="e">
        <f>VLOOKUP($A1283,Register!$B$3:$E$1409,6,FALSE)</f>
        <v>#N/A</v>
      </c>
      <c r="C1283" s="32" t="e">
        <f>VLOOKUP($A1283,Register!$B$3:$E$1409,7,FALSE)</f>
        <v>#N/A</v>
      </c>
      <c r="D1283" s="32" t="e">
        <f>VLOOKUP($A1283,Register!$B$3:$E$1409,8,FALSE)</f>
        <v>#N/A</v>
      </c>
      <c r="E1283" s="34" t="s">
        <v>5339</v>
      </c>
    </row>
    <row r="1284" spans="1:5" x14ac:dyDescent="0.25">
      <c r="A1284" s="33" cm="1">
        <f t="array" ref="A1284">IFERROR(INDEX(Register!$B$3:$B$1409,ROW(),0), "")</f>
        <v>0</v>
      </c>
      <c r="B1284" s="32" t="e">
        <f>VLOOKUP($A1284,Register!$B$3:$E$1409,6,FALSE)</f>
        <v>#N/A</v>
      </c>
      <c r="C1284" s="32" t="e">
        <f>VLOOKUP($A1284,Register!$B$3:$E$1409,7,FALSE)</f>
        <v>#N/A</v>
      </c>
      <c r="D1284" s="32" t="e">
        <f>VLOOKUP($A1284,Register!$B$3:$E$1409,8,FALSE)</f>
        <v>#N/A</v>
      </c>
      <c r="E1284" s="34" t="s">
        <v>5339</v>
      </c>
    </row>
    <row r="1285" spans="1:5" x14ac:dyDescent="0.25">
      <c r="A1285" s="33" cm="1">
        <f t="array" ref="A1285">IFERROR(INDEX(Register!$B$3:$B$1409,ROW(),0), "")</f>
        <v>0</v>
      </c>
      <c r="B1285" s="32" t="e">
        <f>VLOOKUP($A1285,Register!$B$3:$E$1409,6,FALSE)</f>
        <v>#N/A</v>
      </c>
      <c r="C1285" s="32" t="e">
        <f>VLOOKUP($A1285,Register!$B$3:$E$1409,7,FALSE)</f>
        <v>#N/A</v>
      </c>
      <c r="D1285" s="32" t="e">
        <f>VLOOKUP($A1285,Register!$B$3:$E$1409,8,FALSE)</f>
        <v>#N/A</v>
      </c>
      <c r="E1285" s="34" t="s">
        <v>5339</v>
      </c>
    </row>
    <row r="1286" spans="1:5" x14ac:dyDescent="0.25">
      <c r="A1286" s="33" cm="1">
        <f t="array" ref="A1286">IFERROR(INDEX(Register!$B$3:$B$1409,ROW(),0), "")</f>
        <v>0</v>
      </c>
      <c r="B1286" s="32" t="e">
        <f>VLOOKUP($A1286,Register!$B$3:$E$1409,6,FALSE)</f>
        <v>#N/A</v>
      </c>
      <c r="C1286" s="32" t="e">
        <f>VLOOKUP($A1286,Register!$B$3:$E$1409,7,FALSE)</f>
        <v>#N/A</v>
      </c>
      <c r="D1286" s="32" t="e">
        <f>VLOOKUP($A1286,Register!$B$3:$E$1409,8,FALSE)</f>
        <v>#N/A</v>
      </c>
      <c r="E1286" s="34" t="s">
        <v>5339</v>
      </c>
    </row>
    <row r="1287" spans="1:5" x14ac:dyDescent="0.25">
      <c r="A1287" s="33" cm="1">
        <f t="array" ref="A1287">IFERROR(INDEX(Register!$B$3:$B$1409,ROW(),0), "")</f>
        <v>0</v>
      </c>
      <c r="B1287" s="32" t="e">
        <f>VLOOKUP($A1287,Register!$B$3:$E$1409,6,FALSE)</f>
        <v>#N/A</v>
      </c>
      <c r="C1287" s="32" t="e">
        <f>VLOOKUP($A1287,Register!$B$3:$E$1409,7,FALSE)</f>
        <v>#N/A</v>
      </c>
      <c r="D1287" s="32" t="e">
        <f>VLOOKUP($A1287,Register!$B$3:$E$1409,8,FALSE)</f>
        <v>#N/A</v>
      </c>
      <c r="E1287" s="34" t="s">
        <v>5339</v>
      </c>
    </row>
    <row r="1288" spans="1:5" x14ac:dyDescent="0.25">
      <c r="A1288" s="33" cm="1">
        <f t="array" ref="A1288">IFERROR(INDEX(Register!$B$3:$B$1409,ROW(),0), "")</f>
        <v>0</v>
      </c>
      <c r="B1288" s="32" t="e">
        <f>VLOOKUP($A1288,Register!$B$3:$E$1409,6,FALSE)</f>
        <v>#N/A</v>
      </c>
      <c r="C1288" s="32" t="e">
        <f>VLOOKUP($A1288,Register!$B$3:$E$1409,7,FALSE)</f>
        <v>#N/A</v>
      </c>
      <c r="D1288" s="32" t="e">
        <f>VLOOKUP($A1288,Register!$B$3:$E$1409,8,FALSE)</f>
        <v>#N/A</v>
      </c>
      <c r="E1288" s="34" t="s">
        <v>5339</v>
      </c>
    </row>
    <row r="1289" spans="1:5" x14ac:dyDescent="0.25">
      <c r="A1289" s="33" cm="1">
        <f t="array" ref="A1289">IFERROR(INDEX(Register!$B$3:$B$1409,ROW(),0), "")</f>
        <v>0</v>
      </c>
      <c r="B1289" s="32" t="e">
        <f>VLOOKUP($A1289,Register!$B$3:$E$1409,6,FALSE)</f>
        <v>#N/A</v>
      </c>
      <c r="C1289" s="32" t="e">
        <f>VLOOKUP($A1289,Register!$B$3:$E$1409,7,FALSE)</f>
        <v>#N/A</v>
      </c>
      <c r="D1289" s="32" t="e">
        <f>VLOOKUP($A1289,Register!$B$3:$E$1409,8,FALSE)</f>
        <v>#N/A</v>
      </c>
      <c r="E1289" s="34" t="s">
        <v>5339</v>
      </c>
    </row>
    <row r="1290" spans="1:5" x14ac:dyDescent="0.25">
      <c r="A1290" s="33" cm="1">
        <f t="array" ref="A1290">IFERROR(INDEX(Register!$B$3:$B$1409,ROW(),0), "")</f>
        <v>0</v>
      </c>
      <c r="B1290" s="32" t="e">
        <f>VLOOKUP($A1290,Register!$B$3:$E$1409,6,FALSE)</f>
        <v>#N/A</v>
      </c>
      <c r="C1290" s="32" t="e">
        <f>VLOOKUP($A1290,Register!$B$3:$E$1409,7,FALSE)</f>
        <v>#N/A</v>
      </c>
      <c r="D1290" s="32" t="e">
        <f>VLOOKUP($A1290,Register!$B$3:$E$1409,8,FALSE)</f>
        <v>#N/A</v>
      </c>
      <c r="E1290" s="34" t="s">
        <v>5339</v>
      </c>
    </row>
    <row r="1291" spans="1:5" x14ac:dyDescent="0.25">
      <c r="A1291" s="33" cm="1">
        <f t="array" ref="A1291">IFERROR(INDEX(Register!$B$3:$B$1409,ROW(),0), "")</f>
        <v>0</v>
      </c>
      <c r="B1291" s="32" t="e">
        <f>VLOOKUP($A1291,Register!$B$3:$E$1409,6,FALSE)</f>
        <v>#N/A</v>
      </c>
      <c r="C1291" s="32" t="e">
        <f>VLOOKUP($A1291,Register!$B$3:$E$1409,7,FALSE)</f>
        <v>#N/A</v>
      </c>
      <c r="D1291" s="32" t="e">
        <f>VLOOKUP($A1291,Register!$B$3:$E$1409,8,FALSE)</f>
        <v>#N/A</v>
      </c>
      <c r="E1291" s="34" t="s">
        <v>5339</v>
      </c>
    </row>
    <row r="1292" spans="1:5" x14ac:dyDescent="0.25">
      <c r="A1292" s="33" cm="1">
        <f t="array" ref="A1292">IFERROR(INDEX(Register!$B$3:$B$1409,ROW(),0), "")</f>
        <v>0</v>
      </c>
      <c r="B1292" s="32" t="e">
        <f>VLOOKUP($A1292,Register!$B$3:$E$1409,6,FALSE)</f>
        <v>#N/A</v>
      </c>
      <c r="C1292" s="32" t="e">
        <f>VLOOKUP($A1292,Register!$B$3:$E$1409,7,FALSE)</f>
        <v>#N/A</v>
      </c>
      <c r="D1292" s="32" t="e">
        <f>VLOOKUP($A1292,Register!$B$3:$E$1409,8,FALSE)</f>
        <v>#N/A</v>
      </c>
      <c r="E1292" s="34" t="s">
        <v>5339</v>
      </c>
    </row>
    <row r="1293" spans="1:5" x14ac:dyDescent="0.25">
      <c r="A1293" s="33" cm="1">
        <f t="array" ref="A1293">IFERROR(INDEX(Register!$B$3:$B$1409,ROW(),0), "")</f>
        <v>0</v>
      </c>
      <c r="B1293" s="32" t="e">
        <f>VLOOKUP($A1293,Register!$B$3:$E$1409,6,FALSE)</f>
        <v>#N/A</v>
      </c>
      <c r="C1293" s="32" t="e">
        <f>VLOOKUP($A1293,Register!$B$3:$E$1409,7,FALSE)</f>
        <v>#N/A</v>
      </c>
      <c r="D1293" s="32" t="e">
        <f>VLOOKUP($A1293,Register!$B$3:$E$1409,8,FALSE)</f>
        <v>#N/A</v>
      </c>
      <c r="E1293" s="34" t="s">
        <v>5339</v>
      </c>
    </row>
    <row r="1294" spans="1:5" x14ac:dyDescent="0.25">
      <c r="A1294" s="33" cm="1">
        <f t="array" ref="A1294">IFERROR(INDEX(Register!$B$3:$B$1409,ROW(),0), "")</f>
        <v>0</v>
      </c>
      <c r="B1294" s="32" t="e">
        <f>VLOOKUP($A1294,Register!$B$3:$E$1409,6,FALSE)</f>
        <v>#N/A</v>
      </c>
      <c r="C1294" s="32" t="e">
        <f>VLOOKUP($A1294,Register!$B$3:$E$1409,7,FALSE)</f>
        <v>#N/A</v>
      </c>
      <c r="D1294" s="32" t="e">
        <f>VLOOKUP($A1294,Register!$B$3:$E$1409,8,FALSE)</f>
        <v>#N/A</v>
      </c>
      <c r="E1294" s="34" t="s">
        <v>5339</v>
      </c>
    </row>
    <row r="1295" spans="1:5" x14ac:dyDescent="0.25">
      <c r="A1295" s="33" cm="1">
        <f t="array" ref="A1295">IFERROR(INDEX(Register!$B$3:$B$1409,ROW(),0), "")</f>
        <v>0</v>
      </c>
      <c r="B1295" s="32" t="e">
        <f>VLOOKUP($A1295,Register!$B$3:$E$1409,6,FALSE)</f>
        <v>#N/A</v>
      </c>
      <c r="C1295" s="32" t="e">
        <f>VLOOKUP($A1295,Register!$B$3:$E$1409,7,FALSE)</f>
        <v>#N/A</v>
      </c>
      <c r="D1295" s="32" t="e">
        <f>VLOOKUP($A1295,Register!$B$3:$E$1409,8,FALSE)</f>
        <v>#N/A</v>
      </c>
      <c r="E1295" s="34" t="s">
        <v>5339</v>
      </c>
    </row>
    <row r="1296" spans="1:5" x14ac:dyDescent="0.25">
      <c r="A1296" s="33" cm="1">
        <f t="array" ref="A1296">IFERROR(INDEX(Register!$B$3:$B$1409,ROW(),0), "")</f>
        <v>0</v>
      </c>
      <c r="B1296" s="32" t="e">
        <f>VLOOKUP($A1296,Register!$B$3:$E$1409,6,FALSE)</f>
        <v>#N/A</v>
      </c>
      <c r="C1296" s="32" t="e">
        <f>VLOOKUP($A1296,Register!$B$3:$E$1409,7,FALSE)</f>
        <v>#N/A</v>
      </c>
      <c r="D1296" s="32" t="e">
        <f>VLOOKUP($A1296,Register!$B$3:$E$1409,8,FALSE)</f>
        <v>#N/A</v>
      </c>
      <c r="E1296" s="34" t="s">
        <v>5339</v>
      </c>
    </row>
    <row r="1297" spans="1:5" x14ac:dyDescent="0.25">
      <c r="A1297" s="33" cm="1">
        <f t="array" ref="A1297">IFERROR(INDEX(Register!$B$3:$B$1409,ROW(),0), "")</f>
        <v>0</v>
      </c>
      <c r="B1297" s="32" t="e">
        <f>VLOOKUP($A1297,Register!$B$3:$E$1409,6,FALSE)</f>
        <v>#N/A</v>
      </c>
      <c r="C1297" s="32" t="e">
        <f>VLOOKUP($A1297,Register!$B$3:$E$1409,7,FALSE)</f>
        <v>#N/A</v>
      </c>
      <c r="D1297" s="32" t="e">
        <f>VLOOKUP($A1297,Register!$B$3:$E$1409,8,FALSE)</f>
        <v>#N/A</v>
      </c>
      <c r="E1297" s="34" t="s">
        <v>5339</v>
      </c>
    </row>
    <row r="1298" spans="1:5" x14ac:dyDescent="0.25">
      <c r="A1298" s="33" cm="1">
        <f t="array" ref="A1298">IFERROR(INDEX(Register!$B$3:$B$1409,ROW(),0), "")</f>
        <v>0</v>
      </c>
      <c r="B1298" s="32" t="e">
        <f>VLOOKUP($A1298,Register!$B$3:$E$1409,6,FALSE)</f>
        <v>#N/A</v>
      </c>
      <c r="C1298" s="32" t="e">
        <f>VLOOKUP($A1298,Register!$B$3:$E$1409,7,FALSE)</f>
        <v>#N/A</v>
      </c>
      <c r="D1298" s="32" t="e">
        <f>VLOOKUP($A1298,Register!$B$3:$E$1409,8,FALSE)</f>
        <v>#N/A</v>
      </c>
      <c r="E1298" s="34" t="s">
        <v>5339</v>
      </c>
    </row>
    <row r="1299" spans="1:5" x14ac:dyDescent="0.25">
      <c r="A1299" s="33" cm="1">
        <f t="array" ref="A1299">IFERROR(INDEX(Register!$B$3:$B$1409,ROW(),0), "")</f>
        <v>0</v>
      </c>
      <c r="B1299" s="32" t="e">
        <f>VLOOKUP($A1299,Register!$B$3:$E$1409,6,FALSE)</f>
        <v>#N/A</v>
      </c>
      <c r="C1299" s="32" t="e">
        <f>VLOOKUP($A1299,Register!$B$3:$E$1409,7,FALSE)</f>
        <v>#N/A</v>
      </c>
      <c r="D1299" s="32" t="e">
        <f>VLOOKUP($A1299,Register!$B$3:$E$1409,8,FALSE)</f>
        <v>#N/A</v>
      </c>
      <c r="E1299" s="34" t="s">
        <v>5339</v>
      </c>
    </row>
    <row r="1300" spans="1:5" x14ac:dyDescent="0.25">
      <c r="A1300" s="33" cm="1">
        <f t="array" ref="A1300">IFERROR(INDEX(Register!$B$3:$B$1409,ROW(),0), "")</f>
        <v>0</v>
      </c>
      <c r="B1300" s="32" t="e">
        <f>VLOOKUP($A1300,Register!$B$3:$E$1409,6,FALSE)</f>
        <v>#N/A</v>
      </c>
      <c r="C1300" s="32" t="e">
        <f>VLOOKUP($A1300,Register!$B$3:$E$1409,7,FALSE)</f>
        <v>#N/A</v>
      </c>
      <c r="D1300" s="32" t="e">
        <f>VLOOKUP($A1300,Register!$B$3:$E$1409,8,FALSE)</f>
        <v>#N/A</v>
      </c>
      <c r="E1300" s="34" t="s">
        <v>5339</v>
      </c>
    </row>
    <row r="1301" spans="1:5" x14ac:dyDescent="0.25">
      <c r="A1301" s="33" cm="1">
        <f t="array" ref="A1301">IFERROR(INDEX(Register!$B$3:$B$1409,ROW(),0), "")</f>
        <v>0</v>
      </c>
      <c r="B1301" s="32" t="e">
        <f>VLOOKUP($A1301,Register!$B$3:$E$1409,6,FALSE)</f>
        <v>#N/A</v>
      </c>
      <c r="C1301" s="32" t="e">
        <f>VLOOKUP($A1301,Register!$B$3:$E$1409,7,FALSE)</f>
        <v>#N/A</v>
      </c>
      <c r="D1301" s="32" t="e">
        <f>VLOOKUP($A1301,Register!$B$3:$E$1409,8,FALSE)</f>
        <v>#N/A</v>
      </c>
      <c r="E1301" s="34" t="s">
        <v>5339</v>
      </c>
    </row>
    <row r="1302" spans="1:5" x14ac:dyDescent="0.25">
      <c r="A1302" s="33" cm="1">
        <f t="array" ref="A1302">IFERROR(INDEX(Register!$B$3:$B$1409,ROW(),0), "")</f>
        <v>0</v>
      </c>
      <c r="B1302" s="32" t="e">
        <f>VLOOKUP($A1302,Register!$B$3:$E$1409,6,FALSE)</f>
        <v>#N/A</v>
      </c>
      <c r="C1302" s="32" t="e">
        <f>VLOOKUP($A1302,Register!$B$3:$E$1409,7,FALSE)</f>
        <v>#N/A</v>
      </c>
      <c r="D1302" s="32" t="e">
        <f>VLOOKUP($A1302,Register!$B$3:$E$1409,8,FALSE)</f>
        <v>#N/A</v>
      </c>
      <c r="E1302" s="34" t="s">
        <v>5339</v>
      </c>
    </row>
    <row r="1303" spans="1:5" x14ac:dyDescent="0.25">
      <c r="A1303" s="33" cm="1">
        <f t="array" ref="A1303">IFERROR(INDEX(Register!$B$3:$B$1409,ROW(),0), "")</f>
        <v>0</v>
      </c>
      <c r="B1303" s="32" t="e">
        <f>VLOOKUP($A1303,Register!$B$3:$E$1409,6,FALSE)</f>
        <v>#N/A</v>
      </c>
      <c r="C1303" s="32" t="e">
        <f>VLOOKUP($A1303,Register!$B$3:$E$1409,7,FALSE)</f>
        <v>#N/A</v>
      </c>
      <c r="D1303" s="32" t="e">
        <f>VLOOKUP($A1303,Register!$B$3:$E$1409,8,FALSE)</f>
        <v>#N/A</v>
      </c>
      <c r="E1303" s="34" t="s">
        <v>5339</v>
      </c>
    </row>
    <row r="1304" spans="1:5" x14ac:dyDescent="0.25">
      <c r="A1304" s="33" cm="1">
        <f t="array" ref="A1304">IFERROR(INDEX(Register!$B$3:$B$1409,ROW(),0), "")</f>
        <v>0</v>
      </c>
      <c r="B1304" s="32" t="e">
        <f>VLOOKUP($A1304,Register!$B$3:$E$1409,6,FALSE)</f>
        <v>#N/A</v>
      </c>
      <c r="C1304" s="32" t="e">
        <f>VLOOKUP($A1304,Register!$B$3:$E$1409,7,FALSE)</f>
        <v>#N/A</v>
      </c>
      <c r="D1304" s="32" t="e">
        <f>VLOOKUP($A1304,Register!$B$3:$E$1409,8,FALSE)</f>
        <v>#N/A</v>
      </c>
      <c r="E1304" s="34" t="s">
        <v>5339</v>
      </c>
    </row>
    <row r="1305" spans="1:5" x14ac:dyDescent="0.25">
      <c r="A1305" s="33" cm="1">
        <f t="array" ref="A1305">IFERROR(INDEX(Register!$B$3:$B$1409,ROW(),0), "")</f>
        <v>0</v>
      </c>
      <c r="B1305" s="32" t="e">
        <f>VLOOKUP($A1305,Register!$B$3:$E$1409,6,FALSE)</f>
        <v>#N/A</v>
      </c>
      <c r="C1305" s="32" t="e">
        <f>VLOOKUP($A1305,Register!$B$3:$E$1409,7,FALSE)</f>
        <v>#N/A</v>
      </c>
      <c r="D1305" s="32" t="e">
        <f>VLOOKUP($A1305,Register!$B$3:$E$1409,8,FALSE)</f>
        <v>#N/A</v>
      </c>
      <c r="E1305" s="34" t="s">
        <v>5339</v>
      </c>
    </row>
    <row r="1306" spans="1:5" x14ac:dyDescent="0.25">
      <c r="A1306" s="33" cm="1">
        <f t="array" ref="A1306">IFERROR(INDEX(Register!$B$3:$B$1409,ROW(),0), "")</f>
        <v>0</v>
      </c>
      <c r="B1306" s="32" t="e">
        <f>VLOOKUP($A1306,Register!$B$3:$E$1409,6,FALSE)</f>
        <v>#N/A</v>
      </c>
      <c r="C1306" s="32" t="e">
        <f>VLOOKUP($A1306,Register!$B$3:$E$1409,7,FALSE)</f>
        <v>#N/A</v>
      </c>
      <c r="D1306" s="32" t="e">
        <f>VLOOKUP($A1306,Register!$B$3:$E$1409,8,FALSE)</f>
        <v>#N/A</v>
      </c>
      <c r="E1306" s="34" t="s">
        <v>5339</v>
      </c>
    </row>
    <row r="1307" spans="1:5" x14ac:dyDescent="0.25">
      <c r="A1307" s="33" cm="1">
        <f t="array" ref="A1307">IFERROR(INDEX(Register!$B$3:$B$1409,ROW(),0), "")</f>
        <v>0</v>
      </c>
      <c r="B1307" s="32" t="e">
        <f>VLOOKUP($A1307,Register!$B$3:$E$1409,6,FALSE)</f>
        <v>#N/A</v>
      </c>
      <c r="C1307" s="32" t="e">
        <f>VLOOKUP($A1307,Register!$B$3:$E$1409,7,FALSE)</f>
        <v>#N/A</v>
      </c>
      <c r="D1307" s="32" t="e">
        <f>VLOOKUP($A1307,Register!$B$3:$E$1409,8,FALSE)</f>
        <v>#N/A</v>
      </c>
      <c r="E1307" s="34" t="s">
        <v>5339</v>
      </c>
    </row>
    <row r="1308" spans="1:5" x14ac:dyDescent="0.25">
      <c r="A1308" s="33" cm="1">
        <f t="array" ref="A1308">IFERROR(INDEX(Register!$B$3:$B$1409,ROW(),0), "")</f>
        <v>0</v>
      </c>
      <c r="B1308" s="32" t="e">
        <f>VLOOKUP($A1308,Register!$B$3:$E$1409,6,FALSE)</f>
        <v>#N/A</v>
      </c>
      <c r="C1308" s="32" t="e">
        <f>VLOOKUP($A1308,Register!$B$3:$E$1409,7,FALSE)</f>
        <v>#N/A</v>
      </c>
      <c r="D1308" s="32" t="e">
        <f>VLOOKUP($A1308,Register!$B$3:$E$1409,8,FALSE)</f>
        <v>#N/A</v>
      </c>
      <c r="E1308" s="34" t="s">
        <v>5339</v>
      </c>
    </row>
    <row r="1309" spans="1:5" x14ac:dyDescent="0.25">
      <c r="A1309" s="33" cm="1">
        <f t="array" ref="A1309">IFERROR(INDEX(Register!$B$3:$B$1409,ROW(),0), "")</f>
        <v>0</v>
      </c>
      <c r="B1309" s="32" t="e">
        <f>VLOOKUP($A1309,Register!$B$3:$E$1409,6,FALSE)</f>
        <v>#N/A</v>
      </c>
      <c r="C1309" s="32" t="e">
        <f>VLOOKUP($A1309,Register!$B$3:$E$1409,7,FALSE)</f>
        <v>#N/A</v>
      </c>
      <c r="D1309" s="32" t="e">
        <f>VLOOKUP($A1309,Register!$B$3:$E$1409,8,FALSE)</f>
        <v>#N/A</v>
      </c>
      <c r="E1309" s="34" t="s">
        <v>5339</v>
      </c>
    </row>
    <row r="1310" spans="1:5" x14ac:dyDescent="0.25">
      <c r="A1310" s="33" cm="1">
        <f t="array" ref="A1310">IFERROR(INDEX(Register!$B$3:$B$1409,ROW(),0), "")</f>
        <v>0</v>
      </c>
      <c r="B1310" s="32" t="e">
        <f>VLOOKUP($A1310,Register!$B$3:$E$1409,6,FALSE)</f>
        <v>#N/A</v>
      </c>
      <c r="C1310" s="32" t="e">
        <f>VLOOKUP($A1310,Register!$B$3:$E$1409,7,FALSE)</f>
        <v>#N/A</v>
      </c>
      <c r="D1310" s="32" t="e">
        <f>VLOOKUP($A1310,Register!$B$3:$E$1409,8,FALSE)</f>
        <v>#N/A</v>
      </c>
      <c r="E1310" s="34" t="s">
        <v>5339</v>
      </c>
    </row>
    <row r="1311" spans="1:5" x14ac:dyDescent="0.25">
      <c r="A1311" s="33" cm="1">
        <f t="array" ref="A1311">IFERROR(INDEX(Register!$B$3:$B$1409,ROW(),0), "")</f>
        <v>0</v>
      </c>
      <c r="B1311" s="32" t="e">
        <f>VLOOKUP($A1311,Register!$B$3:$E$1409,6,FALSE)</f>
        <v>#N/A</v>
      </c>
      <c r="C1311" s="32" t="e">
        <f>VLOOKUP($A1311,Register!$B$3:$E$1409,7,FALSE)</f>
        <v>#N/A</v>
      </c>
      <c r="D1311" s="32" t="e">
        <f>VLOOKUP($A1311,Register!$B$3:$E$1409,8,FALSE)</f>
        <v>#N/A</v>
      </c>
      <c r="E1311" s="34" t="s">
        <v>5339</v>
      </c>
    </row>
    <row r="1312" spans="1:5" x14ac:dyDescent="0.25">
      <c r="A1312" s="33" cm="1">
        <f t="array" ref="A1312">IFERROR(INDEX(Register!$B$3:$B$1409,ROW(),0), "")</f>
        <v>0</v>
      </c>
      <c r="B1312" s="32" t="e">
        <f>VLOOKUP($A1312,Register!$B$3:$E$1409,6,FALSE)</f>
        <v>#N/A</v>
      </c>
      <c r="C1312" s="32" t="e">
        <f>VLOOKUP($A1312,Register!$B$3:$E$1409,7,FALSE)</f>
        <v>#N/A</v>
      </c>
      <c r="D1312" s="32" t="e">
        <f>VLOOKUP($A1312,Register!$B$3:$E$1409,8,FALSE)</f>
        <v>#N/A</v>
      </c>
      <c r="E1312" s="34" t="s">
        <v>5339</v>
      </c>
    </row>
    <row r="1313" spans="1:5" x14ac:dyDescent="0.25">
      <c r="A1313" s="33" cm="1">
        <f t="array" ref="A1313">IFERROR(INDEX(Register!$B$3:$B$1409,ROW(),0), "")</f>
        <v>0</v>
      </c>
      <c r="B1313" s="32" t="e">
        <f>VLOOKUP($A1313,Register!$B$3:$E$1409,6,FALSE)</f>
        <v>#N/A</v>
      </c>
      <c r="C1313" s="32" t="e">
        <f>VLOOKUP($A1313,Register!$B$3:$E$1409,7,FALSE)</f>
        <v>#N/A</v>
      </c>
      <c r="D1313" s="32" t="e">
        <f>VLOOKUP($A1313,Register!$B$3:$E$1409,8,FALSE)</f>
        <v>#N/A</v>
      </c>
      <c r="E1313" s="34" t="s">
        <v>5339</v>
      </c>
    </row>
    <row r="1314" spans="1:5" x14ac:dyDescent="0.25">
      <c r="A1314" s="33" cm="1">
        <f t="array" ref="A1314">IFERROR(INDEX(Register!$B$3:$B$1409,ROW(),0), "")</f>
        <v>0</v>
      </c>
      <c r="B1314" s="32" t="e">
        <f>VLOOKUP($A1314,Register!$B$3:$E$1409,6,FALSE)</f>
        <v>#N/A</v>
      </c>
      <c r="C1314" s="32" t="e">
        <f>VLOOKUP($A1314,Register!$B$3:$E$1409,7,FALSE)</f>
        <v>#N/A</v>
      </c>
      <c r="D1314" s="32" t="e">
        <f>VLOOKUP($A1314,Register!$B$3:$E$1409,8,FALSE)</f>
        <v>#N/A</v>
      </c>
      <c r="E1314" s="34" t="s">
        <v>5339</v>
      </c>
    </row>
    <row r="1315" spans="1:5" x14ac:dyDescent="0.25">
      <c r="A1315" s="33" cm="1">
        <f t="array" ref="A1315">IFERROR(INDEX(Register!$B$3:$B$1409,ROW(),0), "")</f>
        <v>0</v>
      </c>
      <c r="B1315" s="32" t="e">
        <f>VLOOKUP($A1315,Register!$B$3:$E$1409,6,FALSE)</f>
        <v>#N/A</v>
      </c>
      <c r="C1315" s="32" t="e">
        <f>VLOOKUP($A1315,Register!$B$3:$E$1409,7,FALSE)</f>
        <v>#N/A</v>
      </c>
      <c r="D1315" s="32" t="e">
        <f>VLOOKUP($A1315,Register!$B$3:$E$1409,8,FALSE)</f>
        <v>#N/A</v>
      </c>
      <c r="E1315" s="34" t="s">
        <v>5339</v>
      </c>
    </row>
    <row r="1316" spans="1:5" x14ac:dyDescent="0.25">
      <c r="A1316" s="33" cm="1">
        <f t="array" ref="A1316">IFERROR(INDEX(Register!$B$3:$B$1409,ROW(),0), "")</f>
        <v>0</v>
      </c>
      <c r="B1316" s="32" t="e">
        <f>VLOOKUP($A1316,Register!$B$3:$E$1409,6,FALSE)</f>
        <v>#N/A</v>
      </c>
      <c r="C1316" s="32" t="e">
        <f>VLOOKUP($A1316,Register!$B$3:$E$1409,7,FALSE)</f>
        <v>#N/A</v>
      </c>
      <c r="D1316" s="32" t="e">
        <f>VLOOKUP($A1316,Register!$B$3:$E$1409,8,FALSE)</f>
        <v>#N/A</v>
      </c>
      <c r="E1316" s="34" t="s">
        <v>5339</v>
      </c>
    </row>
    <row r="1317" spans="1:5" x14ac:dyDescent="0.25">
      <c r="A1317" s="33" cm="1">
        <f t="array" ref="A1317">IFERROR(INDEX(Register!$B$3:$B$1409,ROW(),0), "")</f>
        <v>0</v>
      </c>
      <c r="B1317" s="32" t="e">
        <f>VLOOKUP($A1317,Register!$B$3:$E$1409,6,FALSE)</f>
        <v>#N/A</v>
      </c>
      <c r="C1317" s="32" t="e">
        <f>VLOOKUP($A1317,Register!$B$3:$E$1409,7,FALSE)</f>
        <v>#N/A</v>
      </c>
      <c r="D1317" s="32" t="e">
        <f>VLOOKUP($A1317,Register!$B$3:$E$1409,8,FALSE)</f>
        <v>#N/A</v>
      </c>
      <c r="E1317" s="34" t="s">
        <v>5339</v>
      </c>
    </row>
    <row r="1318" spans="1:5" x14ac:dyDescent="0.25">
      <c r="A1318" s="33" cm="1">
        <f t="array" ref="A1318">IFERROR(INDEX(Register!$B$3:$B$1409,ROW(),0), "")</f>
        <v>0</v>
      </c>
      <c r="B1318" s="32" t="e">
        <f>VLOOKUP($A1318,Register!$B$3:$E$1409,6,FALSE)</f>
        <v>#N/A</v>
      </c>
      <c r="C1318" s="32" t="e">
        <f>VLOOKUP($A1318,Register!$B$3:$E$1409,7,FALSE)</f>
        <v>#N/A</v>
      </c>
      <c r="D1318" s="32" t="e">
        <f>VLOOKUP($A1318,Register!$B$3:$E$1409,8,FALSE)</f>
        <v>#N/A</v>
      </c>
      <c r="E1318" s="34" t="s">
        <v>5339</v>
      </c>
    </row>
    <row r="1319" spans="1:5" x14ac:dyDescent="0.25">
      <c r="A1319" s="33" cm="1">
        <f t="array" ref="A1319">IFERROR(INDEX(Register!$B$3:$B$1409,ROW(),0), "")</f>
        <v>0</v>
      </c>
      <c r="B1319" s="32" t="e">
        <f>VLOOKUP($A1319,Register!$B$3:$E$1409,6,FALSE)</f>
        <v>#N/A</v>
      </c>
      <c r="C1319" s="32" t="e">
        <f>VLOOKUP($A1319,Register!$B$3:$E$1409,7,FALSE)</f>
        <v>#N/A</v>
      </c>
      <c r="D1319" s="32" t="e">
        <f>VLOOKUP($A1319,Register!$B$3:$E$1409,8,FALSE)</f>
        <v>#N/A</v>
      </c>
      <c r="E1319" s="34" t="s">
        <v>5339</v>
      </c>
    </row>
    <row r="1320" spans="1:5" x14ac:dyDescent="0.25">
      <c r="A1320" s="33" cm="1">
        <f t="array" ref="A1320">IFERROR(INDEX(Register!$B$3:$B$1409,ROW(),0), "")</f>
        <v>0</v>
      </c>
      <c r="B1320" s="32" t="e">
        <f>VLOOKUP($A1320,Register!$B$3:$E$1409,6,FALSE)</f>
        <v>#N/A</v>
      </c>
      <c r="C1320" s="32" t="e">
        <f>VLOOKUP($A1320,Register!$B$3:$E$1409,7,FALSE)</f>
        <v>#N/A</v>
      </c>
      <c r="D1320" s="32" t="e">
        <f>VLOOKUP($A1320,Register!$B$3:$E$1409,8,FALSE)</f>
        <v>#N/A</v>
      </c>
      <c r="E1320" s="34" t="s">
        <v>5339</v>
      </c>
    </row>
    <row r="1321" spans="1:5" x14ac:dyDescent="0.25">
      <c r="A1321" s="33" cm="1">
        <f t="array" ref="A1321">IFERROR(INDEX(Register!$B$3:$B$1409,ROW(),0), "")</f>
        <v>0</v>
      </c>
      <c r="B1321" s="32" t="e">
        <f>VLOOKUP($A1321,Register!$B$3:$E$1409,6,FALSE)</f>
        <v>#N/A</v>
      </c>
      <c r="C1321" s="32" t="e">
        <f>VLOOKUP($A1321,Register!$B$3:$E$1409,7,FALSE)</f>
        <v>#N/A</v>
      </c>
      <c r="D1321" s="32" t="e">
        <f>VLOOKUP($A1321,Register!$B$3:$E$1409,8,FALSE)</f>
        <v>#N/A</v>
      </c>
      <c r="E1321" s="34" t="s">
        <v>5339</v>
      </c>
    </row>
    <row r="1322" spans="1:5" x14ac:dyDescent="0.25">
      <c r="A1322" s="33" cm="1">
        <f t="array" ref="A1322">IFERROR(INDEX(Register!$B$3:$B$1409,ROW(),0), "")</f>
        <v>0</v>
      </c>
      <c r="B1322" s="32" t="e">
        <f>VLOOKUP($A1322,Register!$B$3:$E$1409,6,FALSE)</f>
        <v>#N/A</v>
      </c>
      <c r="C1322" s="32" t="e">
        <f>VLOOKUP($A1322,Register!$B$3:$E$1409,7,FALSE)</f>
        <v>#N/A</v>
      </c>
      <c r="D1322" s="32" t="e">
        <f>VLOOKUP($A1322,Register!$B$3:$E$1409,8,FALSE)</f>
        <v>#N/A</v>
      </c>
      <c r="E1322" s="34" t="s">
        <v>5339</v>
      </c>
    </row>
    <row r="1323" spans="1:5" x14ac:dyDescent="0.25">
      <c r="A1323" s="33" cm="1">
        <f t="array" ref="A1323">IFERROR(INDEX(Register!$B$3:$B$1409,ROW(),0), "")</f>
        <v>0</v>
      </c>
      <c r="B1323" s="32" t="e">
        <f>VLOOKUP($A1323,Register!$B$3:$E$1409,6,FALSE)</f>
        <v>#N/A</v>
      </c>
      <c r="C1323" s="32" t="e">
        <f>VLOOKUP($A1323,Register!$B$3:$E$1409,7,FALSE)</f>
        <v>#N/A</v>
      </c>
      <c r="D1323" s="32" t="e">
        <f>VLOOKUP($A1323,Register!$B$3:$E$1409,8,FALSE)</f>
        <v>#N/A</v>
      </c>
      <c r="E1323" s="34" t="s">
        <v>5339</v>
      </c>
    </row>
    <row r="1324" spans="1:5" x14ac:dyDescent="0.25">
      <c r="A1324" s="33" cm="1">
        <f t="array" ref="A1324">IFERROR(INDEX(Register!$B$3:$B$1409,ROW(),0), "")</f>
        <v>0</v>
      </c>
      <c r="B1324" s="32" t="e">
        <f>VLOOKUP($A1324,Register!$B$3:$E$1409,6,FALSE)</f>
        <v>#N/A</v>
      </c>
      <c r="C1324" s="32" t="e">
        <f>VLOOKUP($A1324,Register!$B$3:$E$1409,7,FALSE)</f>
        <v>#N/A</v>
      </c>
      <c r="D1324" s="32" t="e">
        <f>VLOOKUP($A1324,Register!$B$3:$E$1409,8,FALSE)</f>
        <v>#N/A</v>
      </c>
      <c r="E1324" s="34" t="s">
        <v>5339</v>
      </c>
    </row>
    <row r="1325" spans="1:5" x14ac:dyDescent="0.25">
      <c r="A1325" s="33" cm="1">
        <f t="array" ref="A1325">IFERROR(INDEX(Register!$B$3:$B$1409,ROW(),0), "")</f>
        <v>0</v>
      </c>
      <c r="B1325" s="32" t="e">
        <f>VLOOKUP($A1325,Register!$B$3:$E$1409,6,FALSE)</f>
        <v>#N/A</v>
      </c>
      <c r="C1325" s="32" t="e">
        <f>VLOOKUP($A1325,Register!$B$3:$E$1409,7,FALSE)</f>
        <v>#N/A</v>
      </c>
      <c r="D1325" s="32" t="e">
        <f>VLOOKUP($A1325,Register!$B$3:$E$1409,8,FALSE)</f>
        <v>#N/A</v>
      </c>
      <c r="E1325" s="34" t="s">
        <v>5339</v>
      </c>
    </row>
    <row r="1326" spans="1:5" x14ac:dyDescent="0.25">
      <c r="A1326" s="33" cm="1">
        <f t="array" ref="A1326">IFERROR(INDEX(Register!$B$3:$B$1409,ROW(),0), "")</f>
        <v>0</v>
      </c>
      <c r="B1326" s="32" t="e">
        <f>VLOOKUP($A1326,Register!$B$3:$E$1409,6,FALSE)</f>
        <v>#N/A</v>
      </c>
      <c r="C1326" s="32" t="e">
        <f>VLOOKUP($A1326,Register!$B$3:$E$1409,7,FALSE)</f>
        <v>#N/A</v>
      </c>
      <c r="D1326" s="32" t="e">
        <f>VLOOKUP($A1326,Register!$B$3:$E$1409,8,FALSE)</f>
        <v>#N/A</v>
      </c>
      <c r="E1326" s="34" t="s">
        <v>5339</v>
      </c>
    </row>
    <row r="1327" spans="1:5" x14ac:dyDescent="0.25">
      <c r="A1327" s="33" cm="1">
        <f t="array" ref="A1327">IFERROR(INDEX(Register!$B$3:$B$1409,ROW(),0), "")</f>
        <v>0</v>
      </c>
      <c r="B1327" s="32" t="e">
        <f>VLOOKUP($A1327,Register!$B$3:$E$1409,6,FALSE)</f>
        <v>#N/A</v>
      </c>
      <c r="C1327" s="32" t="e">
        <f>VLOOKUP($A1327,Register!$B$3:$E$1409,7,FALSE)</f>
        <v>#N/A</v>
      </c>
      <c r="D1327" s="32" t="e">
        <f>VLOOKUP($A1327,Register!$B$3:$E$1409,8,FALSE)</f>
        <v>#N/A</v>
      </c>
      <c r="E1327" s="34" t="s">
        <v>5339</v>
      </c>
    </row>
    <row r="1328" spans="1:5" x14ac:dyDescent="0.25">
      <c r="A1328" s="33" cm="1">
        <f t="array" ref="A1328">IFERROR(INDEX(Register!$B$3:$B$1409,ROW(),0), "")</f>
        <v>0</v>
      </c>
      <c r="B1328" s="32" t="e">
        <f>VLOOKUP($A1328,Register!$B$3:$E$1409,6,FALSE)</f>
        <v>#N/A</v>
      </c>
      <c r="C1328" s="32" t="e">
        <f>VLOOKUP($A1328,Register!$B$3:$E$1409,7,FALSE)</f>
        <v>#N/A</v>
      </c>
      <c r="D1328" s="32" t="e">
        <f>VLOOKUP($A1328,Register!$B$3:$E$1409,8,FALSE)</f>
        <v>#N/A</v>
      </c>
      <c r="E1328" s="34" t="s">
        <v>5339</v>
      </c>
    </row>
    <row r="1329" spans="1:5" x14ac:dyDescent="0.25">
      <c r="A1329" s="33" cm="1">
        <f t="array" ref="A1329">IFERROR(INDEX(Register!$B$3:$B$1409,ROW(),0), "")</f>
        <v>0</v>
      </c>
      <c r="B1329" s="32" t="e">
        <f>VLOOKUP($A1329,Register!$B$3:$E$1409,6,FALSE)</f>
        <v>#N/A</v>
      </c>
      <c r="C1329" s="32" t="e">
        <f>VLOOKUP($A1329,Register!$B$3:$E$1409,7,FALSE)</f>
        <v>#N/A</v>
      </c>
      <c r="D1329" s="32" t="e">
        <f>VLOOKUP($A1329,Register!$B$3:$E$1409,8,FALSE)</f>
        <v>#N/A</v>
      </c>
      <c r="E1329" s="34" t="s">
        <v>5339</v>
      </c>
    </row>
    <row r="1330" spans="1:5" x14ac:dyDescent="0.25">
      <c r="A1330" s="33" cm="1">
        <f t="array" ref="A1330">IFERROR(INDEX(Register!$B$3:$B$1409,ROW(),0), "")</f>
        <v>0</v>
      </c>
      <c r="B1330" s="32" t="e">
        <f>VLOOKUP($A1330,Register!$B$3:$E$1409,6,FALSE)</f>
        <v>#N/A</v>
      </c>
      <c r="C1330" s="32" t="e">
        <f>VLOOKUP($A1330,Register!$B$3:$E$1409,7,FALSE)</f>
        <v>#N/A</v>
      </c>
      <c r="D1330" s="32" t="e">
        <f>VLOOKUP($A1330,Register!$B$3:$E$1409,8,FALSE)</f>
        <v>#N/A</v>
      </c>
      <c r="E1330" s="34" t="s">
        <v>5339</v>
      </c>
    </row>
    <row r="1331" spans="1:5" x14ac:dyDescent="0.25">
      <c r="A1331" s="33" cm="1">
        <f t="array" ref="A1331">IFERROR(INDEX(Register!$B$3:$B$1409,ROW(),0), "")</f>
        <v>0</v>
      </c>
      <c r="B1331" s="32" t="e">
        <f>VLOOKUP($A1331,Register!$B$3:$E$1409,6,FALSE)</f>
        <v>#N/A</v>
      </c>
      <c r="C1331" s="32" t="e">
        <f>VLOOKUP($A1331,Register!$B$3:$E$1409,7,FALSE)</f>
        <v>#N/A</v>
      </c>
      <c r="D1331" s="32" t="e">
        <f>VLOOKUP($A1331,Register!$B$3:$E$1409,8,FALSE)</f>
        <v>#N/A</v>
      </c>
      <c r="E1331" s="34" t="s">
        <v>5339</v>
      </c>
    </row>
    <row r="1332" spans="1:5" x14ac:dyDescent="0.25">
      <c r="A1332" s="33" cm="1">
        <f t="array" ref="A1332">IFERROR(INDEX(Register!$B$3:$B$1409,ROW(),0), "")</f>
        <v>0</v>
      </c>
      <c r="B1332" s="32" t="e">
        <f>VLOOKUP($A1332,Register!$B$3:$E$1409,6,FALSE)</f>
        <v>#N/A</v>
      </c>
      <c r="C1332" s="32" t="e">
        <f>VLOOKUP($A1332,Register!$B$3:$E$1409,7,FALSE)</f>
        <v>#N/A</v>
      </c>
      <c r="D1332" s="32" t="e">
        <f>VLOOKUP($A1332,Register!$B$3:$E$1409,8,FALSE)</f>
        <v>#N/A</v>
      </c>
      <c r="E1332" s="34" t="s">
        <v>5339</v>
      </c>
    </row>
    <row r="1333" spans="1:5" x14ac:dyDescent="0.25">
      <c r="A1333" s="33" cm="1">
        <f t="array" ref="A1333">IFERROR(INDEX(Register!$B$3:$B$1409,ROW(),0), "")</f>
        <v>0</v>
      </c>
      <c r="B1333" s="32" t="e">
        <f>VLOOKUP($A1333,Register!$B$3:$E$1409,6,FALSE)</f>
        <v>#N/A</v>
      </c>
      <c r="C1333" s="32" t="e">
        <f>VLOOKUP($A1333,Register!$B$3:$E$1409,7,FALSE)</f>
        <v>#N/A</v>
      </c>
      <c r="D1333" s="32" t="e">
        <f>VLOOKUP($A1333,Register!$B$3:$E$1409,8,FALSE)</f>
        <v>#N/A</v>
      </c>
      <c r="E1333" s="34" t="s">
        <v>5339</v>
      </c>
    </row>
    <row r="1334" spans="1:5" x14ac:dyDescent="0.25">
      <c r="A1334" s="33" cm="1">
        <f t="array" ref="A1334">IFERROR(INDEX(Register!$B$3:$B$1409,ROW(),0), "")</f>
        <v>0</v>
      </c>
      <c r="B1334" s="32" t="e">
        <f>VLOOKUP($A1334,Register!$B$3:$E$1409,6,FALSE)</f>
        <v>#N/A</v>
      </c>
      <c r="C1334" s="32" t="e">
        <f>VLOOKUP($A1334,Register!$B$3:$E$1409,7,FALSE)</f>
        <v>#N/A</v>
      </c>
      <c r="D1334" s="32" t="e">
        <f>VLOOKUP($A1334,Register!$B$3:$E$1409,8,FALSE)</f>
        <v>#N/A</v>
      </c>
      <c r="E1334" s="34" t="s">
        <v>5339</v>
      </c>
    </row>
    <row r="1335" spans="1:5" x14ac:dyDescent="0.25">
      <c r="A1335" s="33" cm="1">
        <f t="array" ref="A1335">IFERROR(INDEX(Register!$B$3:$B$1409,ROW(),0), "")</f>
        <v>0</v>
      </c>
      <c r="B1335" s="32" t="e">
        <f>VLOOKUP($A1335,Register!$B$3:$E$1409,6,FALSE)</f>
        <v>#N/A</v>
      </c>
      <c r="C1335" s="32" t="e">
        <f>VLOOKUP($A1335,Register!$B$3:$E$1409,7,FALSE)</f>
        <v>#N/A</v>
      </c>
      <c r="D1335" s="32" t="e">
        <f>VLOOKUP($A1335,Register!$B$3:$E$1409,8,FALSE)</f>
        <v>#N/A</v>
      </c>
      <c r="E1335" s="34" t="s">
        <v>5339</v>
      </c>
    </row>
    <row r="1336" spans="1:5" x14ac:dyDescent="0.25">
      <c r="A1336" s="33" cm="1">
        <f t="array" ref="A1336">IFERROR(INDEX(Register!$B$3:$B$1409,ROW(),0), "")</f>
        <v>0</v>
      </c>
      <c r="B1336" s="32" t="e">
        <f>VLOOKUP($A1336,Register!$B$3:$E$1409,6,FALSE)</f>
        <v>#N/A</v>
      </c>
      <c r="C1336" s="32" t="e">
        <f>VLOOKUP($A1336,Register!$B$3:$E$1409,7,FALSE)</f>
        <v>#N/A</v>
      </c>
      <c r="D1336" s="32" t="e">
        <f>VLOOKUP($A1336,Register!$B$3:$E$1409,8,FALSE)</f>
        <v>#N/A</v>
      </c>
      <c r="E1336" s="34" t="s">
        <v>5339</v>
      </c>
    </row>
    <row r="1337" spans="1:5" x14ac:dyDescent="0.25">
      <c r="A1337" s="33" cm="1">
        <f t="array" ref="A1337">IFERROR(INDEX(Register!$B$3:$B$1409,ROW(),0), "")</f>
        <v>0</v>
      </c>
      <c r="B1337" s="32" t="e">
        <f>VLOOKUP($A1337,Register!$B$3:$E$1409,6,FALSE)</f>
        <v>#N/A</v>
      </c>
      <c r="C1337" s="32" t="e">
        <f>VLOOKUP($A1337,Register!$B$3:$E$1409,7,FALSE)</f>
        <v>#N/A</v>
      </c>
      <c r="D1337" s="32" t="e">
        <f>VLOOKUP($A1337,Register!$B$3:$E$1409,8,FALSE)</f>
        <v>#N/A</v>
      </c>
      <c r="E1337" s="34" t="s">
        <v>5339</v>
      </c>
    </row>
    <row r="1338" spans="1:5" x14ac:dyDescent="0.25">
      <c r="A1338" s="33" cm="1">
        <f t="array" ref="A1338">IFERROR(INDEX(Register!$B$3:$B$1409,ROW(),0), "")</f>
        <v>0</v>
      </c>
      <c r="B1338" s="32" t="e">
        <f>VLOOKUP($A1338,Register!$B$3:$E$1409,6,FALSE)</f>
        <v>#N/A</v>
      </c>
      <c r="C1338" s="32" t="e">
        <f>VLOOKUP($A1338,Register!$B$3:$E$1409,7,FALSE)</f>
        <v>#N/A</v>
      </c>
      <c r="D1338" s="32" t="e">
        <f>VLOOKUP($A1338,Register!$B$3:$E$1409,8,FALSE)</f>
        <v>#N/A</v>
      </c>
      <c r="E1338" s="34" t="s">
        <v>5339</v>
      </c>
    </row>
    <row r="1339" spans="1:5" x14ac:dyDescent="0.25">
      <c r="A1339" s="33" cm="1">
        <f t="array" ref="A1339">IFERROR(INDEX(Register!$B$3:$B$1409,ROW(),0), "")</f>
        <v>0</v>
      </c>
      <c r="B1339" s="32" t="e">
        <f>VLOOKUP($A1339,Register!$B$3:$E$1409,6,FALSE)</f>
        <v>#N/A</v>
      </c>
      <c r="C1339" s="32" t="e">
        <f>VLOOKUP($A1339,Register!$B$3:$E$1409,7,FALSE)</f>
        <v>#N/A</v>
      </c>
      <c r="D1339" s="32" t="e">
        <f>VLOOKUP($A1339,Register!$B$3:$E$1409,8,FALSE)</f>
        <v>#N/A</v>
      </c>
      <c r="E1339" s="34" t="s">
        <v>5339</v>
      </c>
    </row>
    <row r="1340" spans="1:5" x14ac:dyDescent="0.25">
      <c r="A1340" s="33" cm="1">
        <f t="array" ref="A1340">IFERROR(INDEX(Register!$B$3:$B$1409,ROW(),0), "")</f>
        <v>0</v>
      </c>
      <c r="B1340" s="32" t="e">
        <f>VLOOKUP($A1340,Register!$B$3:$E$1409,6,FALSE)</f>
        <v>#N/A</v>
      </c>
      <c r="C1340" s="32" t="e">
        <f>VLOOKUP($A1340,Register!$B$3:$E$1409,7,FALSE)</f>
        <v>#N/A</v>
      </c>
      <c r="D1340" s="32" t="e">
        <f>VLOOKUP($A1340,Register!$B$3:$E$1409,8,FALSE)</f>
        <v>#N/A</v>
      </c>
      <c r="E1340" s="34" t="s">
        <v>5339</v>
      </c>
    </row>
    <row r="1341" spans="1:5" x14ac:dyDescent="0.25">
      <c r="A1341" s="33" cm="1">
        <f t="array" ref="A1341">IFERROR(INDEX(Register!$B$3:$B$1409,ROW(),0), "")</f>
        <v>0</v>
      </c>
      <c r="B1341" s="32" t="e">
        <f>VLOOKUP($A1341,Register!$B$3:$E$1409,6,FALSE)</f>
        <v>#N/A</v>
      </c>
      <c r="C1341" s="32" t="e">
        <f>VLOOKUP($A1341,Register!$B$3:$E$1409,7,FALSE)</f>
        <v>#N/A</v>
      </c>
      <c r="D1341" s="32" t="e">
        <f>VLOOKUP($A1341,Register!$B$3:$E$1409,8,FALSE)</f>
        <v>#N/A</v>
      </c>
      <c r="E1341" s="34" t="s">
        <v>5339</v>
      </c>
    </row>
    <row r="1342" spans="1:5" x14ac:dyDescent="0.25">
      <c r="A1342" s="33" cm="1">
        <f t="array" ref="A1342">IFERROR(INDEX(Register!$B$3:$B$1409,ROW(),0), "")</f>
        <v>0</v>
      </c>
      <c r="B1342" s="32" t="e">
        <f>VLOOKUP($A1342,Register!$B$3:$E$1409,6,FALSE)</f>
        <v>#N/A</v>
      </c>
      <c r="C1342" s="32" t="e">
        <f>VLOOKUP($A1342,Register!$B$3:$E$1409,7,FALSE)</f>
        <v>#N/A</v>
      </c>
      <c r="D1342" s="32" t="e">
        <f>VLOOKUP($A1342,Register!$B$3:$E$1409,8,FALSE)</f>
        <v>#N/A</v>
      </c>
      <c r="E1342" s="34" t="s">
        <v>5339</v>
      </c>
    </row>
    <row r="1343" spans="1:5" x14ac:dyDescent="0.25">
      <c r="A1343" s="33" cm="1">
        <f t="array" ref="A1343">IFERROR(INDEX(Register!$B$3:$B$1409,ROW(),0), "")</f>
        <v>0</v>
      </c>
      <c r="B1343" s="32" t="e">
        <f>VLOOKUP($A1343,Register!$B$3:$E$1409,6,FALSE)</f>
        <v>#N/A</v>
      </c>
      <c r="C1343" s="32" t="e">
        <f>VLOOKUP($A1343,Register!$B$3:$E$1409,7,FALSE)</f>
        <v>#N/A</v>
      </c>
      <c r="D1343" s="32" t="e">
        <f>VLOOKUP($A1343,Register!$B$3:$E$1409,8,FALSE)</f>
        <v>#N/A</v>
      </c>
      <c r="E1343" s="34" t="s">
        <v>5339</v>
      </c>
    </row>
    <row r="1344" spans="1:5" x14ac:dyDescent="0.25">
      <c r="A1344" s="33" cm="1">
        <f t="array" ref="A1344">IFERROR(INDEX(Register!$B$3:$B$1409,ROW(),0), "")</f>
        <v>0</v>
      </c>
      <c r="B1344" s="32" t="e">
        <f>VLOOKUP($A1344,Register!$B$3:$E$1409,6,FALSE)</f>
        <v>#N/A</v>
      </c>
      <c r="C1344" s="32" t="e">
        <f>VLOOKUP($A1344,Register!$B$3:$E$1409,7,FALSE)</f>
        <v>#N/A</v>
      </c>
      <c r="D1344" s="32" t="e">
        <f>VLOOKUP($A1344,Register!$B$3:$E$1409,8,FALSE)</f>
        <v>#N/A</v>
      </c>
      <c r="E1344" s="34" t="s">
        <v>5339</v>
      </c>
    </row>
    <row r="1345" spans="1:5" x14ac:dyDescent="0.25">
      <c r="A1345" s="33" cm="1">
        <f t="array" ref="A1345">IFERROR(INDEX(Register!$B$3:$B$1409,ROW(),0), "")</f>
        <v>0</v>
      </c>
      <c r="B1345" s="32" t="e">
        <f>VLOOKUP($A1345,Register!$B$3:$E$1409,6,FALSE)</f>
        <v>#N/A</v>
      </c>
      <c r="C1345" s="32" t="e">
        <f>VLOOKUP($A1345,Register!$B$3:$E$1409,7,FALSE)</f>
        <v>#N/A</v>
      </c>
      <c r="D1345" s="32" t="e">
        <f>VLOOKUP($A1345,Register!$B$3:$E$1409,8,FALSE)</f>
        <v>#N/A</v>
      </c>
      <c r="E1345" s="34" t="s">
        <v>5339</v>
      </c>
    </row>
    <row r="1346" spans="1:5" x14ac:dyDescent="0.25">
      <c r="A1346" s="33" cm="1">
        <f t="array" ref="A1346">IFERROR(INDEX(Register!$B$3:$B$1409,ROW(),0), "")</f>
        <v>0</v>
      </c>
      <c r="B1346" s="32" t="e">
        <f>VLOOKUP($A1346,Register!$B$3:$E$1409,6,FALSE)</f>
        <v>#N/A</v>
      </c>
      <c r="C1346" s="32" t="e">
        <f>VLOOKUP($A1346,Register!$B$3:$E$1409,7,FALSE)</f>
        <v>#N/A</v>
      </c>
      <c r="D1346" s="32" t="e">
        <f>VLOOKUP($A1346,Register!$B$3:$E$1409,8,FALSE)</f>
        <v>#N/A</v>
      </c>
      <c r="E1346" s="34" t="s">
        <v>5339</v>
      </c>
    </row>
    <row r="1347" spans="1:5" x14ac:dyDescent="0.25">
      <c r="A1347" s="33" cm="1">
        <f t="array" ref="A1347">IFERROR(INDEX(Register!$B$3:$B$1409,ROW(),0), "")</f>
        <v>0</v>
      </c>
      <c r="B1347" s="32" t="e">
        <f>VLOOKUP($A1347,Register!$B$3:$E$1409,6,FALSE)</f>
        <v>#N/A</v>
      </c>
      <c r="C1347" s="32" t="e">
        <f>VLOOKUP($A1347,Register!$B$3:$E$1409,7,FALSE)</f>
        <v>#N/A</v>
      </c>
      <c r="D1347" s="32" t="e">
        <f>VLOOKUP($A1347,Register!$B$3:$E$1409,8,FALSE)</f>
        <v>#N/A</v>
      </c>
      <c r="E1347" s="34" t="s">
        <v>5339</v>
      </c>
    </row>
    <row r="1348" spans="1:5" x14ac:dyDescent="0.25">
      <c r="A1348" s="33" cm="1">
        <f t="array" ref="A1348">IFERROR(INDEX(Register!$B$3:$B$1409,ROW(),0), "")</f>
        <v>0</v>
      </c>
      <c r="B1348" s="32" t="e">
        <f>VLOOKUP($A1348,Register!$B$3:$E$1409,6,FALSE)</f>
        <v>#N/A</v>
      </c>
      <c r="C1348" s="32" t="e">
        <f>VLOOKUP($A1348,Register!$B$3:$E$1409,7,FALSE)</f>
        <v>#N/A</v>
      </c>
      <c r="D1348" s="32" t="e">
        <f>VLOOKUP($A1348,Register!$B$3:$E$1409,8,FALSE)</f>
        <v>#N/A</v>
      </c>
      <c r="E1348" s="34" t="s">
        <v>5339</v>
      </c>
    </row>
    <row r="1349" spans="1:5" x14ac:dyDescent="0.25">
      <c r="A1349" s="33" cm="1">
        <f t="array" ref="A1349">IFERROR(INDEX(Register!$B$3:$B$1409,ROW(),0), "")</f>
        <v>0</v>
      </c>
      <c r="B1349" s="32" t="e">
        <f>VLOOKUP($A1349,Register!$B$3:$E$1409,6,FALSE)</f>
        <v>#N/A</v>
      </c>
      <c r="C1349" s="32" t="e">
        <f>VLOOKUP($A1349,Register!$B$3:$E$1409,7,FALSE)</f>
        <v>#N/A</v>
      </c>
      <c r="D1349" s="32" t="e">
        <f>VLOOKUP($A1349,Register!$B$3:$E$1409,8,FALSE)</f>
        <v>#N/A</v>
      </c>
      <c r="E1349" s="34" t="s">
        <v>5339</v>
      </c>
    </row>
    <row r="1350" spans="1:5" x14ac:dyDescent="0.25">
      <c r="A1350" s="33" cm="1">
        <f t="array" ref="A1350">IFERROR(INDEX(Register!$B$3:$B$1409,ROW(),0), "")</f>
        <v>0</v>
      </c>
      <c r="B1350" s="32" t="e">
        <f>VLOOKUP($A1350,Register!$B$3:$E$1409,6,FALSE)</f>
        <v>#N/A</v>
      </c>
      <c r="C1350" s="32" t="e">
        <f>VLOOKUP($A1350,Register!$B$3:$E$1409,7,FALSE)</f>
        <v>#N/A</v>
      </c>
      <c r="D1350" s="32" t="e">
        <f>VLOOKUP($A1350,Register!$B$3:$E$1409,8,FALSE)</f>
        <v>#N/A</v>
      </c>
      <c r="E1350" s="34" t="s">
        <v>5339</v>
      </c>
    </row>
    <row r="1351" spans="1:5" x14ac:dyDescent="0.25">
      <c r="A1351" s="33" cm="1">
        <f t="array" ref="A1351">IFERROR(INDEX(Register!$B$3:$B$1409,ROW(),0), "")</f>
        <v>0</v>
      </c>
      <c r="B1351" s="32" t="e">
        <f>VLOOKUP($A1351,Register!$B$3:$E$1409,6,FALSE)</f>
        <v>#N/A</v>
      </c>
      <c r="C1351" s="32" t="e">
        <f>VLOOKUP($A1351,Register!$B$3:$E$1409,7,FALSE)</f>
        <v>#N/A</v>
      </c>
      <c r="D1351" s="32" t="e">
        <f>VLOOKUP($A1351,Register!$B$3:$E$1409,8,FALSE)</f>
        <v>#N/A</v>
      </c>
      <c r="E1351" s="34" t="s">
        <v>5339</v>
      </c>
    </row>
    <row r="1352" spans="1:5" x14ac:dyDescent="0.25">
      <c r="A1352" s="33" cm="1">
        <f t="array" ref="A1352">IFERROR(INDEX(Register!$B$3:$B$1409,ROW(),0), "")</f>
        <v>0</v>
      </c>
      <c r="B1352" s="32" t="e">
        <f>VLOOKUP($A1352,Register!$B$3:$E$1409,6,FALSE)</f>
        <v>#N/A</v>
      </c>
      <c r="C1352" s="32" t="e">
        <f>VLOOKUP($A1352,Register!$B$3:$E$1409,7,FALSE)</f>
        <v>#N/A</v>
      </c>
      <c r="D1352" s="32" t="e">
        <f>VLOOKUP($A1352,Register!$B$3:$E$1409,8,FALSE)</f>
        <v>#N/A</v>
      </c>
      <c r="E1352" s="34" t="s">
        <v>5339</v>
      </c>
    </row>
    <row r="1353" spans="1:5" x14ac:dyDescent="0.25">
      <c r="A1353" s="33" cm="1">
        <f t="array" ref="A1353">IFERROR(INDEX(Register!$B$3:$B$1409,ROW(),0), "")</f>
        <v>0</v>
      </c>
      <c r="B1353" s="32" t="e">
        <f>VLOOKUP($A1353,Register!$B$3:$E$1409,6,FALSE)</f>
        <v>#N/A</v>
      </c>
      <c r="C1353" s="32" t="e">
        <f>VLOOKUP($A1353,Register!$B$3:$E$1409,7,FALSE)</f>
        <v>#N/A</v>
      </c>
      <c r="D1353" s="32" t="e">
        <f>VLOOKUP($A1353,Register!$B$3:$E$1409,8,FALSE)</f>
        <v>#N/A</v>
      </c>
      <c r="E1353" s="34" t="s">
        <v>5339</v>
      </c>
    </row>
    <row r="1354" spans="1:5" x14ac:dyDescent="0.25">
      <c r="A1354" s="33" cm="1">
        <f t="array" ref="A1354">IFERROR(INDEX(Register!$B$3:$B$1409,ROW(),0), "")</f>
        <v>0</v>
      </c>
      <c r="B1354" s="32" t="e">
        <f>VLOOKUP($A1354,Register!$B$3:$E$1409,6,FALSE)</f>
        <v>#N/A</v>
      </c>
      <c r="C1354" s="32" t="e">
        <f>VLOOKUP($A1354,Register!$B$3:$E$1409,7,FALSE)</f>
        <v>#N/A</v>
      </c>
      <c r="D1354" s="32" t="e">
        <f>VLOOKUP($A1354,Register!$B$3:$E$1409,8,FALSE)</f>
        <v>#N/A</v>
      </c>
      <c r="E1354" s="34" t="s">
        <v>5339</v>
      </c>
    </row>
    <row r="1355" spans="1:5" x14ac:dyDescent="0.25">
      <c r="A1355" s="33" cm="1">
        <f t="array" ref="A1355">IFERROR(INDEX(Register!$B$3:$B$1409,ROW(),0), "")</f>
        <v>0</v>
      </c>
      <c r="B1355" s="32" t="e">
        <f>VLOOKUP($A1355,Register!$B$3:$E$1409,6,FALSE)</f>
        <v>#N/A</v>
      </c>
      <c r="C1355" s="32" t="e">
        <f>VLOOKUP($A1355,Register!$B$3:$E$1409,7,FALSE)</f>
        <v>#N/A</v>
      </c>
      <c r="D1355" s="32" t="e">
        <f>VLOOKUP($A1355,Register!$B$3:$E$1409,8,FALSE)</f>
        <v>#N/A</v>
      </c>
      <c r="E1355" s="34" t="s">
        <v>5339</v>
      </c>
    </row>
    <row r="1356" spans="1:5" x14ac:dyDescent="0.25">
      <c r="A1356" s="33" cm="1">
        <f t="array" ref="A1356">IFERROR(INDEX(Register!$B$3:$B$1409,ROW(),0), "")</f>
        <v>0</v>
      </c>
      <c r="B1356" s="32" t="e">
        <f>VLOOKUP($A1356,Register!$B$3:$E$1409,6,FALSE)</f>
        <v>#N/A</v>
      </c>
      <c r="C1356" s="32" t="e">
        <f>VLOOKUP($A1356,Register!$B$3:$E$1409,7,FALSE)</f>
        <v>#N/A</v>
      </c>
      <c r="D1356" s="32" t="e">
        <f>VLOOKUP($A1356,Register!$B$3:$E$1409,8,FALSE)</f>
        <v>#N/A</v>
      </c>
      <c r="E1356" s="34" t="s">
        <v>5339</v>
      </c>
    </row>
    <row r="1357" spans="1:5" x14ac:dyDescent="0.25">
      <c r="A1357" s="33" cm="1">
        <f t="array" ref="A1357">IFERROR(INDEX(Register!$B$3:$B$1409,ROW(),0), "")</f>
        <v>0</v>
      </c>
      <c r="B1357" s="32" t="e">
        <f>VLOOKUP($A1357,Register!$B$3:$E$1409,6,FALSE)</f>
        <v>#N/A</v>
      </c>
      <c r="C1357" s="32" t="e">
        <f>VLOOKUP($A1357,Register!$B$3:$E$1409,7,FALSE)</f>
        <v>#N/A</v>
      </c>
      <c r="D1357" s="32" t="e">
        <f>VLOOKUP($A1357,Register!$B$3:$E$1409,8,FALSE)</f>
        <v>#N/A</v>
      </c>
      <c r="E1357" s="34" t="s">
        <v>5339</v>
      </c>
    </row>
    <row r="1358" spans="1:5" x14ac:dyDescent="0.25">
      <c r="A1358" s="33" cm="1">
        <f t="array" ref="A1358">IFERROR(INDEX(Register!$B$3:$B$1409,ROW(),0), "")</f>
        <v>0</v>
      </c>
      <c r="B1358" s="32" t="e">
        <f>VLOOKUP($A1358,Register!$B$3:$E$1409,6,FALSE)</f>
        <v>#N/A</v>
      </c>
      <c r="C1358" s="32" t="e">
        <f>VLOOKUP($A1358,Register!$B$3:$E$1409,7,FALSE)</f>
        <v>#N/A</v>
      </c>
      <c r="D1358" s="32" t="e">
        <f>VLOOKUP($A1358,Register!$B$3:$E$1409,8,FALSE)</f>
        <v>#N/A</v>
      </c>
      <c r="E1358" s="34" t="s">
        <v>5339</v>
      </c>
    </row>
    <row r="1359" spans="1:5" x14ac:dyDescent="0.25">
      <c r="A1359" s="33" cm="1">
        <f t="array" ref="A1359">IFERROR(INDEX(Register!$B$3:$B$1409,ROW(),0), "")</f>
        <v>0</v>
      </c>
      <c r="B1359" s="32" t="e">
        <f>VLOOKUP($A1359,Register!$B$3:$E$1409,6,FALSE)</f>
        <v>#N/A</v>
      </c>
      <c r="C1359" s="32" t="e">
        <f>VLOOKUP($A1359,Register!$B$3:$E$1409,7,FALSE)</f>
        <v>#N/A</v>
      </c>
      <c r="D1359" s="32" t="e">
        <f>VLOOKUP($A1359,Register!$B$3:$E$1409,8,FALSE)</f>
        <v>#N/A</v>
      </c>
      <c r="E1359" s="34" t="s">
        <v>5339</v>
      </c>
    </row>
    <row r="1360" spans="1:5" x14ac:dyDescent="0.25">
      <c r="A1360" s="33" cm="1">
        <f t="array" ref="A1360">IFERROR(INDEX(Register!$B$3:$B$1409,ROW(),0), "")</f>
        <v>0</v>
      </c>
      <c r="B1360" s="32" t="e">
        <f>VLOOKUP($A1360,Register!$B$3:$E$1409,6,FALSE)</f>
        <v>#N/A</v>
      </c>
      <c r="C1360" s="32" t="e">
        <f>VLOOKUP($A1360,Register!$B$3:$E$1409,7,FALSE)</f>
        <v>#N/A</v>
      </c>
      <c r="D1360" s="32" t="e">
        <f>VLOOKUP($A1360,Register!$B$3:$E$1409,8,FALSE)</f>
        <v>#N/A</v>
      </c>
      <c r="E1360" s="34" t="s">
        <v>5339</v>
      </c>
    </row>
  </sheetData>
  <autoFilter ref="J4:J1360" xr:uid="{15D46D8A-4251-4AC4-9BA1-E83D78DC73CB}"/>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6334eb3-16ed-4ca4-97d1-4ca8561ae9e7">
      <Terms xmlns="http://schemas.microsoft.com/office/infopath/2007/PartnerControls"/>
    </lcf76f155ced4ddcb4097134ff3c332f>
    <TaxCatchAll xmlns="0fce6e02-b195-41d5-b085-bf8466aa572e" xsi:nil="true"/>
    <SharedWithUsers xmlns="0fce6e02-b195-41d5-b085-bf8466aa572e">
      <UserInfo>
        <DisplayName>Emma Flett</DisplayName>
        <AccountId>223</AccountId>
        <AccountType/>
      </UserInfo>
      <UserInfo>
        <DisplayName>Kurt Taylor</DisplayName>
        <AccountId>225</AccountId>
        <AccountType/>
      </UserInfo>
      <UserInfo>
        <DisplayName>Sue Tan</DisplayName>
        <AccountId>245</AccountId>
        <AccountType/>
      </UserInfo>
      <UserInfo>
        <DisplayName>Andrew Hornby</DisplayName>
        <AccountId>83</AccountId>
        <AccountType/>
      </UserInfo>
      <UserInfo>
        <DisplayName>Kenny Kallarackal Raju</DisplayName>
        <AccountId>30</AccountId>
        <AccountType/>
      </UserInfo>
      <UserInfo>
        <DisplayName>Lachie Wright</DisplayName>
        <AccountId>258</AccountId>
        <AccountType/>
      </UserInfo>
      <UserInfo>
        <DisplayName>Atharva Gajendragadkar</DisplayName>
        <AccountId>267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A5529E75818D445A09D00ABF6B06322" ma:contentTypeVersion="16" ma:contentTypeDescription="Create a new document." ma:contentTypeScope="" ma:versionID="1ca317b23d16de093082baac8df41f59">
  <xsd:schema xmlns:xsd="http://www.w3.org/2001/XMLSchema" xmlns:xs="http://www.w3.org/2001/XMLSchema" xmlns:p="http://schemas.microsoft.com/office/2006/metadata/properties" xmlns:ns2="16334eb3-16ed-4ca4-97d1-4ca8561ae9e7" xmlns:ns3="0fce6e02-b195-41d5-b085-bf8466aa572e" targetNamespace="http://schemas.microsoft.com/office/2006/metadata/properties" ma:root="true" ma:fieldsID="1bbbc06659f3205e36159431d8c6b43f" ns2:_="" ns3:_="">
    <xsd:import namespace="16334eb3-16ed-4ca4-97d1-4ca8561ae9e7"/>
    <xsd:import namespace="0fce6e02-b195-41d5-b085-bf8466aa572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3:TaxCatchAll"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334eb3-16ed-4ca4-97d1-4ca8561ae9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7a75aada-22a4-4e6c-9de8-026c0a8185d6" ma:termSetId="09814cd3-568e-fe90-9814-8d621ff8fb84" ma:anchorId="fba54fb3-c3e1-fe81-a776-ca4b69148c4d" ma:open="true" ma:isKeyword="false">
      <xsd:complexType>
        <xsd:sequence>
          <xsd:element ref="pc:Terms" minOccurs="0" maxOccurs="1"/>
        </xsd:sequence>
      </xsd:complexType>
    </xsd:element>
    <xsd:element name="MediaServiceLocation" ma:index="21"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fce6e02-b195-41d5-b085-bf8466aa572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c345d81-5d5c-40c5-be2d-2b2f85c1b768}" ma:internalName="TaxCatchAll" ma:showField="CatchAllData" ma:web="0fce6e02-b195-41d5-b085-bf8466aa572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873F237-2D0A-48A3-A310-6524ECAB4172}">
  <ds:schemaRefs>
    <ds:schemaRef ds:uri="http://schemas.microsoft.com/office/2006/metadata/properties"/>
    <ds:schemaRef ds:uri="http://www.w3.org/2000/xmlns/"/>
    <ds:schemaRef ds:uri="16334eb3-16ed-4ca4-97d1-4ca8561ae9e7"/>
    <ds:schemaRef ds:uri="http://schemas.microsoft.com/office/infopath/2007/PartnerControls"/>
    <ds:schemaRef ds:uri="0fce6e02-b195-41d5-b085-bf8466aa572e"/>
    <ds:schemaRef ds:uri="http://www.w3.org/2001/XMLSchema-instance"/>
  </ds:schemaRefs>
</ds:datastoreItem>
</file>

<file path=customXml/itemProps2.xml><?xml version="1.0" encoding="utf-8"?>
<ds:datastoreItem xmlns:ds="http://schemas.openxmlformats.org/officeDocument/2006/customXml" ds:itemID="{9DAA59CC-68CD-419A-B75A-B28500476B5B}">
  <ds:schemaRefs>
    <ds:schemaRef ds:uri="http://schemas.microsoft.com/sharepoint/v3/contenttype/forms"/>
  </ds:schemaRefs>
</ds:datastoreItem>
</file>

<file path=customXml/itemProps3.xml><?xml version="1.0" encoding="utf-8"?>
<ds:datastoreItem xmlns:ds="http://schemas.openxmlformats.org/officeDocument/2006/customXml" ds:itemID="{B4276EF6-291B-42DE-B369-7F4435C09D36}">
  <ds:schemaRefs>
    <ds:schemaRef ds:uri="http://schemas.microsoft.com/office/2006/metadata/contentType"/>
    <ds:schemaRef ds:uri="http://schemas.microsoft.com/office/2006/metadata/properties/metaAttributes"/>
    <ds:schemaRef ds:uri="http://www.w3.org/2000/xmlns/"/>
    <ds:schemaRef ds:uri="http://www.w3.org/2001/XMLSchema"/>
    <ds:schemaRef ds:uri="16334eb3-16ed-4ca4-97d1-4ca8561ae9e7"/>
    <ds:schemaRef ds:uri="0fce6e02-b195-41d5-b085-bf8466aa572e"/>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Revision History</vt:lpstr>
      <vt:lpstr>Search Tool</vt:lpstr>
      <vt:lpstr>Register</vt:lpstr>
      <vt:lpstr>Sheet2 (2)</vt:lpstr>
      <vt:lpstr>Projects</vt:lpstr>
      <vt:lpstr>$$$ Spread</vt:lpstr>
      <vt:lpstr>Malaysia Expl.</vt:lpstr>
      <vt:lpstr>Thailand Expl.</vt:lpstr>
      <vt:lpstr>TAGS</vt:lpstr>
      <vt:lpstr>Register!Print_Area</vt:lpstr>
      <vt:lpstr>'Revision History'!Print_Area</vt:lpstr>
      <vt:lpstr>Register!Print_Titles</vt:lpstr>
    </vt:vector>
  </TitlesOfParts>
  <Manager/>
  <Company>Planet Innovation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Natasha Feutrill</dc:creator>
  <cp:keywords/>
  <dc:description/>
  <cp:lastModifiedBy>Marco Sebastiani</cp:lastModifiedBy>
  <cp:revision/>
  <dcterms:created xsi:type="dcterms:W3CDTF">2015-02-26T00:30:21Z</dcterms:created>
  <dcterms:modified xsi:type="dcterms:W3CDTF">2026-04-03T20:58:30Z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0x0101004A5529E75818D445A09D00ABF6B06322</vt:lpwstr>
  </property>
  <property fmtid="{D5CDD505-2E9C-101B-9397-08002B2CF9AE}" pid="3" name="MediaServiceImageTags">
    <vt:lpwstr/>
  </property>
</Properties>
</file>